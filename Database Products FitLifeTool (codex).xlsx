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castelijns/Projects/tabellen database/"/>
    </mc:Choice>
  </mc:AlternateContent>
  <xr:revisionPtr revIDLastSave="0" documentId="13_ncr:1_{574B90BC-1606-8744-8AAB-09FCADD0C5E7}" xr6:coauthVersionLast="47" xr6:coauthVersionMax="47" xr10:uidLastSave="{00000000-0000-0000-0000-000000000000}"/>
  <bookViews>
    <workbookView xWindow="28800" yWindow="-13740" windowWidth="51200" windowHeight="28300" activeTab="3" xr2:uid="{BA665A49-2094-3D43-92EC-F3B552741131}"/>
  </bookViews>
  <sheets>
    <sheet name="PRODUCT_GROUPS" sheetId="3" r:id="rId1"/>
    <sheet name="PRODUCT_GROUP_TRANSLATIONS" sheetId="4" r:id="rId2"/>
    <sheet name="GROUP_GOAL_MODEL" sheetId="18" r:id="rId3"/>
    <sheet name="PRODUCTS" sheetId="1" r:id="rId4"/>
    <sheet name="DB_PRODUCTS" sheetId="17" r:id="rId5"/>
    <sheet name="PRODUCT_TRANSLATIONS" sheetId="2" r:id="rId6"/>
    <sheet name="PREPARATIONS" sheetId="8" r:id="rId7"/>
    <sheet name="PREPARATION_TRANSLATIONS" sheetId="9" r:id="rId8"/>
    <sheet name="PRODUCT_PREPARATIONS" sheetId="10" r:id="rId9"/>
    <sheet name="DB_PRODUCT_PREPARATIONS" sheetId="16" r:id="rId10"/>
    <sheet name="PRODUCT_SCORES" sheetId="14" r:id="rId11"/>
    <sheet name="UNITS" sheetId="6" r:id="rId12"/>
    <sheet name="UNIT_TRANSLATIONS" sheetId="7" r:id="rId13"/>
    <sheet name="PORTIONS" sheetId="5" r:id="rId14"/>
    <sheet name="BONUS_MALUS" sheetId="19" r:id="rId15"/>
    <sheet name="DATA_SOURCES" sheetId="12" r:id="rId16"/>
    <sheet name="CONFIG" sheetId="13" r:id="rId17"/>
    <sheet name="DROPDOWN" sheetId="11" r:id="rId18"/>
  </sheets>
  <definedNames>
    <definedName name="_xlnm._FilterDatabase" localSheetId="10" hidden="1">PRODUCT_SCORES!$H$1:$H$5001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9" i="14" l="1" a="1"/>
  <c r="D119" i="14" s="1"/>
  <c r="D120" i="14" a="1"/>
  <c r="D120" i="14" s="1"/>
  <c r="D121" i="14" a="1"/>
  <c r="D121" i="14" s="1"/>
  <c r="D122" i="14" a="1"/>
  <c r="D122" i="14" s="1"/>
  <c r="D123" i="14" a="1"/>
  <c r="D123" i="14" s="1"/>
  <c r="D124" i="14" a="1"/>
  <c r="D124" i="14" s="1"/>
  <c r="E119" i="14" a="1"/>
  <c r="E119" i="14" s="1"/>
  <c r="E120" i="14" a="1"/>
  <c r="E120" i="14" s="1"/>
  <c r="E121" i="14" a="1"/>
  <c r="E121" i="14" s="1"/>
  <c r="E122" i="14" a="1"/>
  <c r="E122" i="14" s="1"/>
  <c r="E123" i="14" a="1"/>
  <c r="E123" i="14" s="1"/>
  <c r="E124" i="14" a="1"/>
  <c r="E124" i="14" s="1"/>
  <c r="E41" i="10"/>
  <c r="E42" i="10"/>
  <c r="F41" i="10"/>
  <c r="F42" i="10"/>
  <c r="O41" i="10"/>
  <c r="O42" i="10"/>
  <c r="R41" i="10"/>
  <c r="Q41" i="10" s="1"/>
  <c r="R42" i="10"/>
  <c r="Q42" i="10" s="1"/>
  <c r="V41" i="10"/>
  <c r="W41" i="10" s="1"/>
  <c r="U41" i="10" s="1"/>
  <c r="V42" i="10"/>
  <c r="X42" i="10" s="1"/>
  <c r="Y41" i="10"/>
  <c r="Z41" i="10" s="1"/>
  <c r="Y42" i="10"/>
  <c r="Z42" i="10" s="1"/>
  <c r="AA41" i="10"/>
  <c r="H41" i="10" s="1"/>
  <c r="AA42" i="10"/>
  <c r="H42" i="10" s="1"/>
  <c r="AF41" i="10"/>
  <c r="AF42" i="10"/>
  <c r="AG41" i="10"/>
  <c r="AG42" i="10"/>
  <c r="AH41" i="10"/>
  <c r="AH42" i="10"/>
  <c r="AI41" i="10"/>
  <c r="AI42" i="10"/>
  <c r="AJ41" i="10"/>
  <c r="AJ42" i="10"/>
  <c r="AQ41" i="10"/>
  <c r="AC41" i="10" s="1" a="1"/>
  <c r="AC41" i="10" s="1"/>
  <c r="AQ42" i="10"/>
  <c r="AC42" i="10" s="1" a="1"/>
  <c r="AC42" i="10" s="1"/>
  <c r="AS41" i="10"/>
  <c r="AT41" i="10" s="1"/>
  <c r="AS42" i="10"/>
  <c r="AT42" i="10" s="1"/>
  <c r="AU41" i="10"/>
  <c r="AV41" i="10" s="1"/>
  <c r="AU42" i="10"/>
  <c r="AV42" i="10" s="1"/>
  <c r="AW41" i="10"/>
  <c r="AX41" i="10" s="1"/>
  <c r="AW42" i="10"/>
  <c r="AX42" i="10" s="1"/>
  <c r="AY41" i="10"/>
  <c r="AY42" i="10"/>
  <c r="AZ41" i="10"/>
  <c r="AZ42" i="10"/>
  <c r="BA41" i="10"/>
  <c r="BA42" i="10"/>
  <c r="E33" i="10"/>
  <c r="E34" i="10"/>
  <c r="E35" i="10"/>
  <c r="E36" i="10"/>
  <c r="E37" i="10"/>
  <c r="E38" i="10"/>
  <c r="F33" i="10"/>
  <c r="F34" i="10"/>
  <c r="F35" i="10"/>
  <c r="F36" i="10"/>
  <c r="F37" i="10"/>
  <c r="F38" i="10"/>
  <c r="O33" i="10"/>
  <c r="O34" i="10"/>
  <c r="O35" i="10"/>
  <c r="O36" i="10"/>
  <c r="O37" i="10"/>
  <c r="O38" i="10"/>
  <c r="Q33" i="10"/>
  <c r="R33" i="10"/>
  <c r="S33" i="10" s="1"/>
  <c r="R34" i="10"/>
  <c r="Q34" i="10" s="1"/>
  <c r="R35" i="10"/>
  <c r="Q35" i="10" s="1"/>
  <c r="R36" i="10"/>
  <c r="Q36" i="10" s="1"/>
  <c r="R37" i="10"/>
  <c r="Q37" i="10" s="1"/>
  <c r="R38" i="10"/>
  <c r="S38" i="10" s="1"/>
  <c r="V33" i="10"/>
  <c r="W33" i="10" s="1"/>
  <c r="U33" i="10" s="1"/>
  <c r="V34" i="10"/>
  <c r="W34" i="10" s="1"/>
  <c r="U34" i="10" s="1"/>
  <c r="V35" i="10"/>
  <c r="X35" i="10" s="1"/>
  <c r="V36" i="10"/>
  <c r="W36" i="10" s="1"/>
  <c r="U36" i="10" s="1"/>
  <c r="V37" i="10"/>
  <c r="X37" i="10" s="1"/>
  <c r="V38" i="10"/>
  <c r="X38" i="10" s="1"/>
  <c r="Y33" i="10"/>
  <c r="Z33" i="10" s="1"/>
  <c r="Y34" i="10"/>
  <c r="Z34" i="10" s="1"/>
  <c r="Y35" i="10"/>
  <c r="Z35" i="10" s="1"/>
  <c r="Y36" i="10"/>
  <c r="Z36" i="10" s="1"/>
  <c r="Y37" i="10"/>
  <c r="Z37" i="10" s="1"/>
  <c r="Y38" i="10"/>
  <c r="Z38" i="10" s="1"/>
  <c r="AA33" i="10"/>
  <c r="H33" i="10" s="1"/>
  <c r="AA34" i="10"/>
  <c r="H34" i="10" s="1"/>
  <c r="AA35" i="10"/>
  <c r="H35" i="10" s="1"/>
  <c r="AA36" i="10"/>
  <c r="H36" i="10" s="1"/>
  <c r="AA37" i="10"/>
  <c r="H37" i="10" s="1"/>
  <c r="AA38" i="10"/>
  <c r="H38" i="10" s="1"/>
  <c r="AF33" i="10"/>
  <c r="AF34" i="10"/>
  <c r="AF35" i="10"/>
  <c r="AF36" i="10"/>
  <c r="AF37" i="10"/>
  <c r="AF38" i="10"/>
  <c r="AG33" i="10"/>
  <c r="AG34" i="10"/>
  <c r="AG35" i="10"/>
  <c r="AG36" i="10"/>
  <c r="AG37" i="10"/>
  <c r="AG38" i="10"/>
  <c r="AH33" i="10"/>
  <c r="AH34" i="10"/>
  <c r="AH35" i="10"/>
  <c r="AH36" i="10"/>
  <c r="AH37" i="10"/>
  <c r="AH38" i="10"/>
  <c r="AI33" i="10"/>
  <c r="AI34" i="10"/>
  <c r="AI35" i="10"/>
  <c r="AI36" i="10"/>
  <c r="AI37" i="10"/>
  <c r="AI38" i="10"/>
  <c r="AJ33" i="10"/>
  <c r="AJ34" i="10"/>
  <c r="AJ35" i="10"/>
  <c r="AJ36" i="10"/>
  <c r="AJ37" i="10"/>
  <c r="AJ38" i="10"/>
  <c r="AQ33" i="10"/>
  <c r="AD33" i="10" s="1" a="1"/>
  <c r="AD33" i="10" s="1"/>
  <c r="AQ34" i="10"/>
  <c r="AD34" i="10" s="1" a="1"/>
  <c r="AD34" i="10" s="1"/>
  <c r="AQ35" i="10"/>
  <c r="AD35" i="10" s="1" a="1"/>
  <c r="AD35" i="10" s="1"/>
  <c r="AQ36" i="10"/>
  <c r="AC36" i="10" s="1" a="1"/>
  <c r="AC36" i="10" s="1"/>
  <c r="AQ37" i="10"/>
  <c r="AD37" i="10" s="1" a="1"/>
  <c r="AD37" i="10" s="1"/>
  <c r="AQ38" i="10"/>
  <c r="AD38" i="10" s="1" a="1"/>
  <c r="AD38" i="10" s="1"/>
  <c r="AS33" i="10"/>
  <c r="AT33" i="10" s="1"/>
  <c r="AS34" i="10"/>
  <c r="AT34" i="10" s="1"/>
  <c r="AS35" i="10"/>
  <c r="AT35" i="10" s="1"/>
  <c r="AS36" i="10"/>
  <c r="AT36" i="10" s="1"/>
  <c r="AS37" i="10"/>
  <c r="AT37" i="10" s="1"/>
  <c r="AS38" i="10"/>
  <c r="AT38" i="10" s="1"/>
  <c r="AU33" i="10"/>
  <c r="AV33" i="10" s="1"/>
  <c r="AU34" i="10"/>
  <c r="AV34" i="10" s="1"/>
  <c r="AU35" i="10"/>
  <c r="AV35" i="10" s="1"/>
  <c r="AU36" i="10"/>
  <c r="AV36" i="10" s="1"/>
  <c r="AU37" i="10"/>
  <c r="AV37" i="10" s="1"/>
  <c r="AU38" i="10"/>
  <c r="AV38" i="10" s="1"/>
  <c r="AW33" i="10"/>
  <c r="AX33" i="10" s="1"/>
  <c r="AW34" i="10"/>
  <c r="AX34" i="10" s="1"/>
  <c r="AW35" i="10"/>
  <c r="AX35" i="10" s="1"/>
  <c r="AW36" i="10"/>
  <c r="AX36" i="10" s="1"/>
  <c r="AW37" i="10"/>
  <c r="AX37" i="10" s="1"/>
  <c r="AW38" i="10"/>
  <c r="AX38" i="10" s="1"/>
  <c r="AY33" i="10"/>
  <c r="AY34" i="10"/>
  <c r="AY35" i="10"/>
  <c r="AY36" i="10"/>
  <c r="AY37" i="10"/>
  <c r="AY38" i="10"/>
  <c r="AZ33" i="10"/>
  <c r="AZ34" i="10"/>
  <c r="AZ35" i="10"/>
  <c r="AZ36" i="10"/>
  <c r="AZ37" i="10"/>
  <c r="AZ38" i="10"/>
  <c r="BA33" i="10"/>
  <c r="BA34" i="10"/>
  <c r="BA35" i="10"/>
  <c r="BA36" i="10"/>
  <c r="BA37" i="10"/>
  <c r="BA38" i="10"/>
  <c r="E31" i="10"/>
  <c r="E32" i="10"/>
  <c r="F31" i="10"/>
  <c r="F32" i="10"/>
  <c r="O31" i="10"/>
  <c r="O32" i="10"/>
  <c r="R31" i="10"/>
  <c r="Q31" i="10" s="1"/>
  <c r="R32" i="10"/>
  <c r="Q32" i="10" s="1"/>
  <c r="V31" i="10"/>
  <c r="W31" i="10" s="1"/>
  <c r="U31" i="10" s="1"/>
  <c r="V32" i="10"/>
  <c r="W32" i="10" s="1"/>
  <c r="U32" i="10" s="1"/>
  <c r="Y31" i="10"/>
  <c r="Z31" i="10" s="1"/>
  <c r="Y32" i="10"/>
  <c r="Z32" i="10" s="1"/>
  <c r="AA31" i="10"/>
  <c r="H31" i="10" s="1"/>
  <c r="AA32" i="10"/>
  <c r="H32" i="10" s="1"/>
  <c r="AF31" i="10"/>
  <c r="AF32" i="10"/>
  <c r="AG31" i="10"/>
  <c r="AG32" i="10"/>
  <c r="AH31" i="10"/>
  <c r="AH32" i="10"/>
  <c r="AI31" i="10"/>
  <c r="AI32" i="10"/>
  <c r="AJ31" i="10"/>
  <c r="AJ32" i="10"/>
  <c r="AQ31" i="10"/>
  <c r="AC31" i="10" s="1" a="1"/>
  <c r="AC31" i="10" s="1"/>
  <c r="AQ32" i="10"/>
  <c r="AC32" i="10" s="1" a="1"/>
  <c r="AC32" i="10" s="1"/>
  <c r="AS31" i="10"/>
  <c r="AT31" i="10" s="1"/>
  <c r="AS32" i="10"/>
  <c r="AT32" i="10" s="1"/>
  <c r="AU31" i="10"/>
  <c r="AV31" i="10" s="1"/>
  <c r="AU32" i="10"/>
  <c r="AV32" i="10" s="1"/>
  <c r="AW31" i="10"/>
  <c r="AX31" i="10" s="1"/>
  <c r="AW32" i="10"/>
  <c r="AX32" i="10" s="1"/>
  <c r="AY31" i="10"/>
  <c r="AY32" i="10"/>
  <c r="AZ31" i="10"/>
  <c r="AZ32" i="10"/>
  <c r="BA31" i="10"/>
  <c r="BA32" i="10"/>
  <c r="E14" i="10"/>
  <c r="E15" i="10"/>
  <c r="F14" i="10"/>
  <c r="F15" i="10"/>
  <c r="O14" i="10"/>
  <c r="O15" i="10"/>
  <c r="Q14" i="10"/>
  <c r="R14" i="10"/>
  <c r="S14" i="10" s="1"/>
  <c r="R15" i="10"/>
  <c r="Q15" i="10" s="1"/>
  <c r="V14" i="10"/>
  <c r="X14" i="10" s="1"/>
  <c r="V15" i="10"/>
  <c r="X15" i="10" s="1"/>
  <c r="Y14" i="10"/>
  <c r="Z14" i="10" s="1"/>
  <c r="Y15" i="10"/>
  <c r="Z15" i="10" s="1"/>
  <c r="AA14" i="10"/>
  <c r="H14" i="10" s="1"/>
  <c r="AA15" i="10"/>
  <c r="H15" i="10" s="1"/>
  <c r="AF14" i="10"/>
  <c r="AF15" i="10"/>
  <c r="AG14" i="10"/>
  <c r="AG15" i="10"/>
  <c r="AH14" i="10"/>
  <c r="AH15" i="10"/>
  <c r="AI14" i="10"/>
  <c r="AI15" i="10"/>
  <c r="AJ14" i="10"/>
  <c r="AJ15" i="10"/>
  <c r="AQ14" i="10"/>
  <c r="AD14" i="10" s="1" a="1"/>
  <c r="AD14" i="10" s="1"/>
  <c r="AQ15" i="10"/>
  <c r="AC15" i="10" s="1" a="1"/>
  <c r="AC15" i="10" s="1"/>
  <c r="AS14" i="10"/>
  <c r="AT14" i="10" s="1"/>
  <c r="AS15" i="10"/>
  <c r="AT15" i="10" s="1"/>
  <c r="AU14" i="10"/>
  <c r="AV14" i="10" s="1"/>
  <c r="AU15" i="10"/>
  <c r="AV15" i="10" s="1"/>
  <c r="AW14" i="10"/>
  <c r="AX14" i="10" s="1"/>
  <c r="AW15" i="10"/>
  <c r="AX15" i="10" s="1"/>
  <c r="AY14" i="10"/>
  <c r="AY15" i="10"/>
  <c r="AZ14" i="10"/>
  <c r="AZ15" i="10"/>
  <c r="BA14" i="10"/>
  <c r="BA15" i="10"/>
  <c r="E7" i="10"/>
  <c r="E8" i="10"/>
  <c r="E9" i="10"/>
  <c r="E10" i="10"/>
  <c r="E11" i="10"/>
  <c r="E12" i="10"/>
  <c r="F7" i="10"/>
  <c r="F8" i="10"/>
  <c r="F9" i="10"/>
  <c r="F10" i="10"/>
  <c r="F11" i="10"/>
  <c r="F12" i="10"/>
  <c r="O7" i="10"/>
  <c r="O8" i="10"/>
  <c r="O9" i="10"/>
  <c r="O10" i="10"/>
  <c r="O11" i="10"/>
  <c r="O12" i="10"/>
  <c r="R7" i="10"/>
  <c r="Q7" i="10" s="1"/>
  <c r="R8" i="10"/>
  <c r="Q8" i="10" s="1"/>
  <c r="R9" i="10"/>
  <c r="Q9" i="10" s="1"/>
  <c r="R10" i="10"/>
  <c r="Q10" i="10" s="1"/>
  <c r="R11" i="10"/>
  <c r="S11" i="10" s="1"/>
  <c r="R12" i="10"/>
  <c r="Q12" i="10" s="1"/>
  <c r="V7" i="10"/>
  <c r="W7" i="10" s="1"/>
  <c r="U7" i="10" s="1"/>
  <c r="V8" i="10"/>
  <c r="W8" i="10" s="1"/>
  <c r="U8" i="10" s="1"/>
  <c r="V9" i="10"/>
  <c r="X9" i="10" s="1"/>
  <c r="V10" i="10"/>
  <c r="X10" i="10" s="1"/>
  <c r="V11" i="10"/>
  <c r="X11" i="10" s="1"/>
  <c r="V12" i="10"/>
  <c r="X12" i="10" s="1"/>
  <c r="Y7" i="10"/>
  <c r="Z7" i="10" s="1"/>
  <c r="Y8" i="10"/>
  <c r="Z8" i="10" s="1"/>
  <c r="Y9" i="10"/>
  <c r="Z9" i="10" s="1"/>
  <c r="Y10" i="10"/>
  <c r="Z10" i="10" s="1"/>
  <c r="Y11" i="10"/>
  <c r="Z11" i="10" s="1"/>
  <c r="Y12" i="10"/>
  <c r="Z12" i="10" s="1"/>
  <c r="AA7" i="10"/>
  <c r="H7" i="10" s="1"/>
  <c r="AA8" i="10"/>
  <c r="H8" i="10" s="1"/>
  <c r="AA9" i="10"/>
  <c r="H9" i="10" s="1"/>
  <c r="AA10" i="10"/>
  <c r="AB10" i="10" s="1"/>
  <c r="AA11" i="10"/>
  <c r="H11" i="10" s="1"/>
  <c r="AA12" i="10"/>
  <c r="H12" i="10" s="1"/>
  <c r="AF7" i="10"/>
  <c r="AF8" i="10"/>
  <c r="AF9" i="10"/>
  <c r="AF10" i="10"/>
  <c r="AF11" i="10"/>
  <c r="AF12" i="10"/>
  <c r="AG7" i="10"/>
  <c r="AG8" i="10"/>
  <c r="AG9" i="10"/>
  <c r="AG10" i="10"/>
  <c r="AG11" i="10"/>
  <c r="AG12" i="10"/>
  <c r="AH7" i="10"/>
  <c r="AH8" i="10"/>
  <c r="AH9" i="10"/>
  <c r="AH10" i="10"/>
  <c r="AH11" i="10"/>
  <c r="AH12" i="10"/>
  <c r="AI7" i="10"/>
  <c r="AI8" i="10"/>
  <c r="AI9" i="10"/>
  <c r="AI10" i="10"/>
  <c r="AI11" i="10"/>
  <c r="AI12" i="10"/>
  <c r="AJ7" i="10"/>
  <c r="AJ8" i="10"/>
  <c r="AJ9" i="10"/>
  <c r="AJ10" i="10"/>
  <c r="AJ11" i="10"/>
  <c r="AJ12" i="10"/>
  <c r="AQ7" i="10"/>
  <c r="AE7" i="10" s="1" a="1"/>
  <c r="AE7" i="10" s="1"/>
  <c r="AQ8" i="10"/>
  <c r="AD8" i="10" s="1" a="1"/>
  <c r="AD8" i="10" s="1"/>
  <c r="AQ9" i="10"/>
  <c r="AD9" i="10" s="1" a="1"/>
  <c r="AD9" i="10" s="1"/>
  <c r="AQ10" i="10"/>
  <c r="AC10" i="10" s="1" a="1"/>
  <c r="AC10" i="10" s="1"/>
  <c r="AQ11" i="10"/>
  <c r="AC11" i="10" s="1" a="1"/>
  <c r="AC11" i="10" s="1"/>
  <c r="AQ12" i="10"/>
  <c r="AD12" i="10" s="1" a="1"/>
  <c r="AD12" i="10" s="1"/>
  <c r="AS7" i="10"/>
  <c r="AT7" i="10" s="1"/>
  <c r="AS8" i="10"/>
  <c r="AT8" i="10" s="1"/>
  <c r="AS9" i="10"/>
  <c r="AT9" i="10" s="1"/>
  <c r="AS10" i="10"/>
  <c r="AT10" i="10" s="1"/>
  <c r="AS11" i="10"/>
  <c r="AT11" i="10" s="1"/>
  <c r="AS12" i="10"/>
  <c r="AT12" i="10" s="1"/>
  <c r="AU7" i="10"/>
  <c r="AV7" i="10" s="1"/>
  <c r="AU8" i="10"/>
  <c r="AV8" i="10" s="1"/>
  <c r="AU9" i="10"/>
  <c r="AV9" i="10" s="1"/>
  <c r="AU10" i="10"/>
  <c r="AV10" i="10" s="1"/>
  <c r="AU11" i="10"/>
  <c r="AV11" i="10" s="1"/>
  <c r="AU12" i="10"/>
  <c r="AV12" i="10" s="1"/>
  <c r="AW7" i="10"/>
  <c r="AX7" i="10" s="1"/>
  <c r="AW8" i="10"/>
  <c r="AX8" i="10" s="1"/>
  <c r="AW9" i="10"/>
  <c r="AX9" i="10" s="1"/>
  <c r="AW10" i="10"/>
  <c r="AX10" i="10" s="1"/>
  <c r="AW11" i="10"/>
  <c r="AX11" i="10" s="1"/>
  <c r="AW12" i="10"/>
  <c r="AX12" i="10" s="1"/>
  <c r="AY7" i="10"/>
  <c r="AY8" i="10"/>
  <c r="AY9" i="10"/>
  <c r="AY10" i="10"/>
  <c r="AY11" i="10"/>
  <c r="AY12" i="10"/>
  <c r="AZ7" i="10"/>
  <c r="AZ8" i="10"/>
  <c r="AZ9" i="10"/>
  <c r="AZ10" i="10"/>
  <c r="AZ11" i="10"/>
  <c r="AZ12" i="10"/>
  <c r="BA7" i="10"/>
  <c r="BA8" i="10"/>
  <c r="BA9" i="10"/>
  <c r="BA10" i="10"/>
  <c r="BA11" i="10"/>
  <c r="BA12" i="10"/>
  <c r="E6" i="10"/>
  <c r="F6" i="10"/>
  <c r="O6" i="10"/>
  <c r="R6" i="10"/>
  <c r="Q6" i="10" s="1"/>
  <c r="V6" i="10"/>
  <c r="X6" i="10" s="1"/>
  <c r="Y6" i="10"/>
  <c r="Z6" i="10" s="1"/>
  <c r="AA6" i="10"/>
  <c r="H6" i="10" s="1"/>
  <c r="AF6" i="10"/>
  <c r="AG6" i="10"/>
  <c r="AH6" i="10"/>
  <c r="AI6" i="10"/>
  <c r="AJ6" i="10"/>
  <c r="AQ6" i="10"/>
  <c r="AD6" i="10" s="1" a="1"/>
  <c r="AD6" i="10" s="1"/>
  <c r="AS6" i="10"/>
  <c r="AT6" i="10" s="1"/>
  <c r="AU6" i="10"/>
  <c r="AV6" i="10" s="1"/>
  <c r="AW6" i="10"/>
  <c r="AX6" i="10" s="1"/>
  <c r="AY6" i="10"/>
  <c r="AZ6" i="10"/>
  <c r="BA6" i="10"/>
  <c r="E5" i="10"/>
  <c r="F5" i="10"/>
  <c r="O5" i="10"/>
  <c r="R5" i="10"/>
  <c r="Q5" i="10" s="1"/>
  <c r="V5" i="10"/>
  <c r="X5" i="10" s="1"/>
  <c r="Y5" i="10"/>
  <c r="Z5" i="10" s="1"/>
  <c r="AA5" i="10"/>
  <c r="H5" i="10" s="1"/>
  <c r="AF5" i="10"/>
  <c r="AG5" i="10"/>
  <c r="AH5" i="10"/>
  <c r="AI5" i="10"/>
  <c r="AJ5" i="10"/>
  <c r="AQ5" i="10"/>
  <c r="AD5" i="10" s="1" a="1"/>
  <c r="AD5" i="10" s="1"/>
  <c r="AS5" i="10"/>
  <c r="AT5" i="10" s="1"/>
  <c r="AU5" i="10"/>
  <c r="AV5" i="10" s="1"/>
  <c r="AW5" i="10"/>
  <c r="AX5" i="10" s="1"/>
  <c r="AY5" i="10"/>
  <c r="AZ5" i="10"/>
  <c r="BA5" i="10"/>
  <c r="E57" i="10"/>
  <c r="F57" i="10"/>
  <c r="O57" i="10"/>
  <c r="R57" i="10"/>
  <c r="Q57" i="10" s="1"/>
  <c r="V57" i="10"/>
  <c r="X57" i="10" s="1"/>
  <c r="Y57" i="10"/>
  <c r="Z57" i="10" s="1"/>
  <c r="AA57" i="10"/>
  <c r="H57" i="10" s="1"/>
  <c r="AF57" i="10"/>
  <c r="AG57" i="10"/>
  <c r="AH57" i="10"/>
  <c r="AI57" i="10"/>
  <c r="AJ57" i="10"/>
  <c r="AQ57" i="10"/>
  <c r="AD57" i="10" s="1" a="1"/>
  <c r="AD57" i="10" s="1"/>
  <c r="AS57" i="10"/>
  <c r="AT57" i="10" s="1"/>
  <c r="AU57" i="10"/>
  <c r="AV57" i="10" s="1"/>
  <c r="AW57" i="10"/>
  <c r="AX57" i="10" s="1"/>
  <c r="AY57" i="10"/>
  <c r="AZ57" i="10"/>
  <c r="BA57" i="10"/>
  <c r="E59" i="10"/>
  <c r="F59" i="10"/>
  <c r="O59" i="10"/>
  <c r="R59" i="10"/>
  <c r="Q59" i="10" s="1"/>
  <c r="V59" i="10"/>
  <c r="X59" i="10" s="1"/>
  <c r="Y59" i="10"/>
  <c r="Z59" i="10" s="1"/>
  <c r="AA59" i="10"/>
  <c r="H59" i="10" s="1"/>
  <c r="AF59" i="10"/>
  <c r="AG59" i="10"/>
  <c r="AH59" i="10"/>
  <c r="AI59" i="10"/>
  <c r="AJ59" i="10"/>
  <c r="AQ59" i="10"/>
  <c r="AD59" i="10" s="1" a="1"/>
  <c r="AD59" i="10" s="1"/>
  <c r="AS59" i="10"/>
  <c r="AT59" i="10" s="1"/>
  <c r="AU59" i="10"/>
  <c r="AV59" i="10" s="1"/>
  <c r="AW59" i="10"/>
  <c r="AX59" i="10" s="1"/>
  <c r="AY59" i="10"/>
  <c r="AZ59" i="10"/>
  <c r="BA59" i="10"/>
  <c r="E58" i="10"/>
  <c r="F58" i="10"/>
  <c r="O58" i="10"/>
  <c r="R58" i="10"/>
  <c r="Q58" i="10" s="1"/>
  <c r="V58" i="10"/>
  <c r="X58" i="10" s="1"/>
  <c r="Y58" i="10"/>
  <c r="Z58" i="10" s="1"/>
  <c r="AA58" i="10"/>
  <c r="H58" i="10" s="1"/>
  <c r="AF58" i="10"/>
  <c r="AG58" i="10"/>
  <c r="AH58" i="10"/>
  <c r="AI58" i="10"/>
  <c r="AJ58" i="10"/>
  <c r="AQ58" i="10"/>
  <c r="AD58" i="10" s="1" a="1"/>
  <c r="AD58" i="10" s="1"/>
  <c r="AS58" i="10"/>
  <c r="AT58" i="10" s="1"/>
  <c r="AU58" i="10"/>
  <c r="AV58" i="10" s="1"/>
  <c r="AW58" i="10"/>
  <c r="AX58" i="10" s="1"/>
  <c r="AY58" i="10"/>
  <c r="AZ58" i="10"/>
  <c r="BA58" i="10"/>
  <c r="E25" i="10"/>
  <c r="E26" i="10"/>
  <c r="F25" i="10"/>
  <c r="F26" i="10"/>
  <c r="O25" i="10"/>
  <c r="O26" i="10"/>
  <c r="R25" i="10"/>
  <c r="Q25" i="10" s="1"/>
  <c r="R26" i="10"/>
  <c r="Q26" i="10" s="1"/>
  <c r="V25" i="10"/>
  <c r="X25" i="10" s="1"/>
  <c r="V26" i="10"/>
  <c r="X26" i="10" s="1"/>
  <c r="Y25" i="10"/>
  <c r="Z25" i="10" s="1"/>
  <c r="Y26" i="10"/>
  <c r="Z26" i="10" s="1"/>
  <c r="AA25" i="10"/>
  <c r="H25" i="10" s="1"/>
  <c r="AA26" i="10"/>
  <c r="H26" i="10" s="1"/>
  <c r="AF25" i="10"/>
  <c r="AF26" i="10"/>
  <c r="AG25" i="10"/>
  <c r="AG26" i="10"/>
  <c r="AH25" i="10"/>
  <c r="AH26" i="10"/>
  <c r="AI25" i="10"/>
  <c r="AI26" i="10"/>
  <c r="AJ25" i="10"/>
  <c r="AJ26" i="10"/>
  <c r="AQ25" i="10"/>
  <c r="AC25" i="10" s="1" a="1"/>
  <c r="AC25" i="10" s="1"/>
  <c r="AQ26" i="10"/>
  <c r="AC26" i="10" s="1" a="1"/>
  <c r="AC26" i="10" s="1"/>
  <c r="AS25" i="10"/>
  <c r="AT25" i="10" s="1"/>
  <c r="AS26" i="10"/>
  <c r="AT26" i="10" s="1"/>
  <c r="AU25" i="10"/>
  <c r="AV25" i="10" s="1"/>
  <c r="AU26" i="10"/>
  <c r="AV26" i="10" s="1"/>
  <c r="AW25" i="10"/>
  <c r="AX25" i="10" s="1"/>
  <c r="AW26" i="10"/>
  <c r="AX26" i="10" s="1"/>
  <c r="AY25" i="10"/>
  <c r="AY26" i="10"/>
  <c r="AZ25" i="10"/>
  <c r="AZ26" i="10"/>
  <c r="BA25" i="10"/>
  <c r="BA26" i="10"/>
  <c r="E24" i="10"/>
  <c r="F24" i="10"/>
  <c r="O24" i="10"/>
  <c r="R24" i="10"/>
  <c r="Q24" i="10" s="1"/>
  <c r="V24" i="10"/>
  <c r="X24" i="10" s="1"/>
  <c r="Y24" i="10"/>
  <c r="Z24" i="10" s="1"/>
  <c r="AA24" i="10"/>
  <c r="H24" i="10" s="1"/>
  <c r="AF24" i="10"/>
  <c r="AG24" i="10"/>
  <c r="AH24" i="10"/>
  <c r="AI24" i="10"/>
  <c r="AJ24" i="10"/>
  <c r="AQ24" i="10"/>
  <c r="AD24" i="10" s="1" a="1"/>
  <c r="AD24" i="10" s="1"/>
  <c r="AS24" i="10"/>
  <c r="AT24" i="10" s="1"/>
  <c r="AU24" i="10"/>
  <c r="AV24" i="10" s="1"/>
  <c r="AW24" i="10"/>
  <c r="AX24" i="10" s="1"/>
  <c r="AY24" i="10"/>
  <c r="AZ24" i="10"/>
  <c r="BA24" i="10"/>
  <c r="E22" i="10"/>
  <c r="F22" i="10"/>
  <c r="O22" i="10"/>
  <c r="R22" i="10"/>
  <c r="Q22" i="10" s="1"/>
  <c r="V22" i="10"/>
  <c r="X22" i="10" s="1"/>
  <c r="Y22" i="10"/>
  <c r="Z22" i="10" s="1"/>
  <c r="AA22" i="10"/>
  <c r="H22" i="10" s="1"/>
  <c r="AF22" i="10"/>
  <c r="AG22" i="10"/>
  <c r="AH22" i="10"/>
  <c r="AI22" i="10"/>
  <c r="AJ22" i="10"/>
  <c r="AQ22" i="10"/>
  <c r="AD22" i="10" s="1" a="1"/>
  <c r="AD22" i="10" s="1"/>
  <c r="AS22" i="10"/>
  <c r="AT22" i="10" s="1"/>
  <c r="AU22" i="10"/>
  <c r="AV22" i="10" s="1"/>
  <c r="AW22" i="10"/>
  <c r="AX22" i="10" s="1"/>
  <c r="AY22" i="10"/>
  <c r="AZ22" i="10"/>
  <c r="BA22" i="10"/>
  <c r="E18" i="10"/>
  <c r="E19" i="10"/>
  <c r="E20" i="10"/>
  <c r="E21" i="10"/>
  <c r="E23" i="10"/>
  <c r="F18" i="10"/>
  <c r="F19" i="10"/>
  <c r="F20" i="10"/>
  <c r="F21" i="10"/>
  <c r="F23" i="10"/>
  <c r="O18" i="10"/>
  <c r="O19" i="10"/>
  <c r="O20" i="10"/>
  <c r="O21" i="10"/>
  <c r="O23" i="10"/>
  <c r="Q20" i="10"/>
  <c r="R18" i="10"/>
  <c r="Q18" i="10" s="1"/>
  <c r="R19" i="10"/>
  <c r="Q19" i="10" s="1"/>
  <c r="R20" i="10"/>
  <c r="S20" i="10" s="1"/>
  <c r="R21" i="10"/>
  <c r="Q21" i="10" s="1"/>
  <c r="R23" i="10"/>
  <c r="Q23" i="10" s="1"/>
  <c r="V18" i="10"/>
  <c r="X18" i="10" s="1"/>
  <c r="V19" i="10"/>
  <c r="X19" i="10" s="1"/>
  <c r="V20" i="10"/>
  <c r="W20" i="10" s="1"/>
  <c r="U20" i="10" s="1"/>
  <c r="V21" i="10"/>
  <c r="X21" i="10" s="1"/>
  <c r="V23" i="10"/>
  <c r="X23" i="10" s="1"/>
  <c r="Y18" i="10"/>
  <c r="Z18" i="10" s="1"/>
  <c r="Y19" i="10"/>
  <c r="Z19" i="10" s="1"/>
  <c r="Y20" i="10"/>
  <c r="Z20" i="10" s="1"/>
  <c r="Y21" i="10"/>
  <c r="Z21" i="10" s="1"/>
  <c r="Y23" i="10"/>
  <c r="Z23" i="10" s="1"/>
  <c r="AA18" i="10"/>
  <c r="H18" i="10" s="1"/>
  <c r="AA19" i="10"/>
  <c r="H19" i="10" s="1"/>
  <c r="AA20" i="10"/>
  <c r="AB20" i="10" s="1"/>
  <c r="AA21" i="10"/>
  <c r="H21" i="10" s="1"/>
  <c r="AA23" i="10"/>
  <c r="AB23" i="10" s="1"/>
  <c r="AF18" i="10"/>
  <c r="AF19" i="10"/>
  <c r="AF20" i="10"/>
  <c r="AF21" i="10"/>
  <c r="AF23" i="10"/>
  <c r="AG18" i="10"/>
  <c r="AG19" i="10"/>
  <c r="AG20" i="10"/>
  <c r="AG21" i="10"/>
  <c r="AG23" i="10"/>
  <c r="AH18" i="10"/>
  <c r="AH19" i="10"/>
  <c r="AH20" i="10"/>
  <c r="AH21" i="10"/>
  <c r="AH23" i="10"/>
  <c r="AI18" i="10"/>
  <c r="AI19" i="10"/>
  <c r="AI20" i="10"/>
  <c r="AI21" i="10"/>
  <c r="AI23" i="10"/>
  <c r="AJ18" i="10"/>
  <c r="AJ19" i="10"/>
  <c r="AJ20" i="10"/>
  <c r="AJ21" i="10"/>
  <c r="AJ23" i="10"/>
  <c r="AQ18" i="10"/>
  <c r="AC18" i="10" s="1" a="1"/>
  <c r="AC18" i="10" s="1"/>
  <c r="AQ19" i="10"/>
  <c r="AE19" i="10" s="1" a="1"/>
  <c r="AE19" i="10" s="1"/>
  <c r="AQ20" i="10"/>
  <c r="AD20" i="10" s="1" a="1"/>
  <c r="AD20" i="10" s="1"/>
  <c r="AQ21" i="10"/>
  <c r="AC21" i="10" s="1" a="1"/>
  <c r="AC21" i="10" s="1"/>
  <c r="AQ23" i="10"/>
  <c r="AC23" i="10" s="1" a="1"/>
  <c r="AC23" i="10" s="1"/>
  <c r="AS18" i="10"/>
  <c r="AT18" i="10" s="1"/>
  <c r="AS19" i="10"/>
  <c r="AT19" i="10" s="1"/>
  <c r="AS20" i="10"/>
  <c r="AT20" i="10" s="1"/>
  <c r="AS21" i="10"/>
  <c r="AT21" i="10" s="1"/>
  <c r="AS23" i="10"/>
  <c r="AT23" i="10" s="1"/>
  <c r="AU18" i="10"/>
  <c r="AV18" i="10" s="1"/>
  <c r="AU19" i="10"/>
  <c r="AV19" i="10" s="1"/>
  <c r="AU20" i="10"/>
  <c r="AV20" i="10" s="1"/>
  <c r="AU21" i="10"/>
  <c r="AV21" i="10" s="1"/>
  <c r="AU23" i="10"/>
  <c r="AV23" i="10" s="1"/>
  <c r="AW18" i="10"/>
  <c r="AX18" i="10" s="1"/>
  <c r="AW19" i="10"/>
  <c r="AX19" i="10" s="1"/>
  <c r="AW20" i="10"/>
  <c r="AX20" i="10" s="1"/>
  <c r="AW21" i="10"/>
  <c r="AX21" i="10" s="1"/>
  <c r="AW23" i="10"/>
  <c r="AX23" i="10" s="1"/>
  <c r="AY18" i="10"/>
  <c r="AY19" i="10"/>
  <c r="AY20" i="10"/>
  <c r="AY21" i="10"/>
  <c r="AY23" i="10"/>
  <c r="AZ18" i="10"/>
  <c r="AZ19" i="10"/>
  <c r="AZ20" i="10"/>
  <c r="AZ21" i="10"/>
  <c r="AZ23" i="10"/>
  <c r="BA18" i="10"/>
  <c r="BA19" i="10"/>
  <c r="BA20" i="10"/>
  <c r="BA21" i="10"/>
  <c r="BA23" i="10"/>
  <c r="AQ2" i="10"/>
  <c r="AQ3" i="10"/>
  <c r="AQ4" i="10"/>
  <c r="AQ13" i="10"/>
  <c r="AQ16" i="10"/>
  <c r="AQ17" i="10"/>
  <c r="AQ27" i="10"/>
  <c r="AQ28" i="10"/>
  <c r="AQ29" i="10"/>
  <c r="AQ30" i="10"/>
  <c r="AQ39" i="10"/>
  <c r="AQ40" i="10"/>
  <c r="AQ43" i="10"/>
  <c r="AQ44" i="10"/>
  <c r="AQ45" i="10"/>
  <c r="AQ46" i="10"/>
  <c r="AQ47" i="10"/>
  <c r="AQ48" i="10"/>
  <c r="AQ49" i="10"/>
  <c r="AQ50" i="10"/>
  <c r="AQ51" i="10"/>
  <c r="AQ52" i="10"/>
  <c r="AQ53" i="10"/>
  <c r="AQ54" i="10"/>
  <c r="AQ55" i="10"/>
  <c r="AQ56" i="10"/>
  <c r="AQ60" i="10"/>
  <c r="AQ61" i="10"/>
  <c r="AQ62" i="10"/>
  <c r="AD62" i="10" s="1" a="1"/>
  <c r="AD62" i="10" s="1"/>
  <c r="AQ63" i="10"/>
  <c r="AD63" i="10" s="1" a="1"/>
  <c r="AD63" i="10" s="1"/>
  <c r="AQ64" i="10"/>
  <c r="AQ65" i="10"/>
  <c r="AQ66" i="10"/>
  <c r="AQ67" i="10"/>
  <c r="AQ68" i="10"/>
  <c r="AQ69" i="10"/>
  <c r="AQ70" i="10"/>
  <c r="AQ71" i="10"/>
  <c r="AQ72" i="10"/>
  <c r="AQ73" i="10"/>
  <c r="AQ74" i="10"/>
  <c r="AQ75" i="10"/>
  <c r="AQ76" i="10"/>
  <c r="AQ77" i="10"/>
  <c r="AQ78" i="10"/>
  <c r="AQ79" i="10"/>
  <c r="AQ80" i="10"/>
  <c r="AQ81" i="10"/>
  <c r="AQ82" i="10"/>
  <c r="AQ83" i="10"/>
  <c r="AQ84" i="10"/>
  <c r="AQ85" i="10"/>
  <c r="AE85" i="10" s="1" a="1"/>
  <c r="AE85" i="10" s="1"/>
  <c r="AQ86" i="10"/>
  <c r="AQ87" i="10"/>
  <c r="AQ88" i="10"/>
  <c r="AQ89" i="10"/>
  <c r="AQ90" i="10"/>
  <c r="AQ91" i="10"/>
  <c r="AQ92" i="10"/>
  <c r="AQ93" i="10"/>
  <c r="AD93" i="10" s="1" a="1"/>
  <c r="AD93" i="10" s="1"/>
  <c r="AQ94" i="10"/>
  <c r="AQ95" i="10"/>
  <c r="AQ96" i="10"/>
  <c r="AQ97" i="10"/>
  <c r="AQ98" i="10"/>
  <c r="AQ99" i="10"/>
  <c r="AQ100" i="10"/>
  <c r="AQ101" i="10"/>
  <c r="AQ102" i="10"/>
  <c r="AQ103" i="10"/>
  <c r="AQ104" i="10"/>
  <c r="AQ105" i="10"/>
  <c r="AQ106" i="10"/>
  <c r="AY2" i="10"/>
  <c r="AY3" i="10"/>
  <c r="AY4" i="10"/>
  <c r="AY13" i="10"/>
  <c r="AY16" i="10"/>
  <c r="AY17" i="10"/>
  <c r="AY27" i="10"/>
  <c r="AY28" i="10"/>
  <c r="AY29" i="10"/>
  <c r="AY30" i="10"/>
  <c r="AY39" i="10"/>
  <c r="AY40" i="10"/>
  <c r="AY43" i="10"/>
  <c r="AY44" i="10"/>
  <c r="AY45" i="10"/>
  <c r="AY46" i="10"/>
  <c r="AY47" i="10"/>
  <c r="AY48" i="10"/>
  <c r="AY49" i="10"/>
  <c r="AY50" i="10"/>
  <c r="AY51" i="10"/>
  <c r="AY52" i="10"/>
  <c r="AY53" i="10"/>
  <c r="AY54" i="10"/>
  <c r="AY55" i="10"/>
  <c r="AY56" i="10"/>
  <c r="AY60" i="10"/>
  <c r="AY61" i="10"/>
  <c r="AY62" i="10"/>
  <c r="AY63" i="10"/>
  <c r="AY64" i="10"/>
  <c r="AY65" i="10"/>
  <c r="AY66" i="10"/>
  <c r="AY67" i="10"/>
  <c r="AY68" i="10"/>
  <c r="AY69" i="10"/>
  <c r="AY70" i="10"/>
  <c r="AY71" i="10"/>
  <c r="AY72" i="10"/>
  <c r="AY73" i="10"/>
  <c r="AY74" i="10"/>
  <c r="AY75" i="10"/>
  <c r="AY76" i="10"/>
  <c r="AY77" i="10"/>
  <c r="AY78" i="10"/>
  <c r="AY79" i="10"/>
  <c r="AY80" i="10"/>
  <c r="AY81" i="10"/>
  <c r="AY82" i="10"/>
  <c r="AY83" i="10"/>
  <c r="AY84" i="10"/>
  <c r="AY85" i="10"/>
  <c r="AY86" i="10"/>
  <c r="AY87" i="10"/>
  <c r="AY88" i="10"/>
  <c r="AY89" i="10"/>
  <c r="AY90" i="10"/>
  <c r="AY91" i="10"/>
  <c r="AY92" i="10"/>
  <c r="AY93" i="10"/>
  <c r="AY94" i="10"/>
  <c r="AY95" i="10"/>
  <c r="AY96" i="10"/>
  <c r="AY97" i="10"/>
  <c r="AY98" i="10"/>
  <c r="AY99" i="10"/>
  <c r="AY100" i="10"/>
  <c r="AY101" i="10"/>
  <c r="AY102" i="10"/>
  <c r="AY103" i="10"/>
  <c r="AY104" i="10"/>
  <c r="AY105" i="10"/>
  <c r="AY106" i="10"/>
  <c r="AZ2" i="10"/>
  <c r="AZ3" i="10"/>
  <c r="AZ4" i="10"/>
  <c r="AZ13" i="10"/>
  <c r="AZ16" i="10"/>
  <c r="AZ17" i="10"/>
  <c r="AZ27" i="10"/>
  <c r="AZ28" i="10"/>
  <c r="AZ29" i="10"/>
  <c r="AZ30" i="10"/>
  <c r="AZ39" i="10"/>
  <c r="AZ40" i="10"/>
  <c r="AZ43" i="10"/>
  <c r="AZ44" i="10"/>
  <c r="AZ45" i="10"/>
  <c r="AZ46" i="10"/>
  <c r="AZ47" i="10"/>
  <c r="AZ48" i="10"/>
  <c r="AZ49" i="10"/>
  <c r="AZ50" i="10"/>
  <c r="AZ51" i="10"/>
  <c r="AZ52" i="10"/>
  <c r="AZ53" i="10"/>
  <c r="AZ54" i="10"/>
  <c r="AZ55" i="10"/>
  <c r="AZ56" i="10"/>
  <c r="AZ60" i="10"/>
  <c r="AZ61" i="10"/>
  <c r="AZ62" i="10"/>
  <c r="AZ63" i="10"/>
  <c r="AZ64" i="10"/>
  <c r="AZ65" i="10"/>
  <c r="AZ66" i="10"/>
  <c r="AZ67" i="10"/>
  <c r="AZ68" i="10"/>
  <c r="AZ69" i="10"/>
  <c r="AZ70" i="10"/>
  <c r="AZ71" i="10"/>
  <c r="AZ72" i="10"/>
  <c r="AZ73" i="10"/>
  <c r="AZ74" i="10"/>
  <c r="AZ75" i="10"/>
  <c r="AZ76" i="10"/>
  <c r="AZ77" i="10"/>
  <c r="AZ78" i="10"/>
  <c r="AZ79" i="10"/>
  <c r="AZ80" i="10"/>
  <c r="AZ81" i="10"/>
  <c r="AZ82" i="10"/>
  <c r="AZ83" i="10"/>
  <c r="AZ84" i="10"/>
  <c r="AZ85" i="10"/>
  <c r="AZ86" i="10"/>
  <c r="AZ87" i="10"/>
  <c r="AZ88" i="10"/>
  <c r="AZ89" i="10"/>
  <c r="AZ90" i="10"/>
  <c r="AZ91" i="10"/>
  <c r="AZ92" i="10"/>
  <c r="AZ93" i="10"/>
  <c r="AZ94" i="10"/>
  <c r="AZ95" i="10"/>
  <c r="AZ96" i="10"/>
  <c r="AZ97" i="10"/>
  <c r="AZ98" i="10"/>
  <c r="AZ99" i="10"/>
  <c r="AZ100" i="10"/>
  <c r="AZ101" i="10"/>
  <c r="AZ102" i="10"/>
  <c r="AZ103" i="10"/>
  <c r="AZ104" i="10"/>
  <c r="AZ105" i="10"/>
  <c r="AZ106" i="10"/>
  <c r="BA2" i="10"/>
  <c r="BA3" i="10"/>
  <c r="BA4" i="10"/>
  <c r="BA13" i="10"/>
  <c r="BA16" i="10"/>
  <c r="BA17" i="10"/>
  <c r="BA27" i="10"/>
  <c r="BA28" i="10"/>
  <c r="BA29" i="10"/>
  <c r="BA30" i="10"/>
  <c r="BA39" i="10"/>
  <c r="BA40" i="10"/>
  <c r="BA43" i="10"/>
  <c r="BA44" i="10"/>
  <c r="BA45" i="10"/>
  <c r="BA46" i="10"/>
  <c r="BA47" i="10"/>
  <c r="BA48" i="10"/>
  <c r="BA49" i="10"/>
  <c r="BA50" i="10"/>
  <c r="BA51" i="10"/>
  <c r="BA52" i="10"/>
  <c r="BA53" i="10"/>
  <c r="BA54" i="10"/>
  <c r="BA55" i="10"/>
  <c r="BA56" i="10"/>
  <c r="BA60" i="10"/>
  <c r="BA61" i="10"/>
  <c r="BA62" i="10"/>
  <c r="BA63" i="10"/>
  <c r="BA64" i="10"/>
  <c r="BA65" i="10"/>
  <c r="BA66" i="10"/>
  <c r="BA67" i="10"/>
  <c r="BA68" i="10"/>
  <c r="BA69" i="10"/>
  <c r="BA70" i="10"/>
  <c r="BA71" i="10"/>
  <c r="BA72" i="10"/>
  <c r="BA73" i="10"/>
  <c r="BA74" i="10"/>
  <c r="BA75" i="10"/>
  <c r="BA76" i="10"/>
  <c r="BA77" i="10"/>
  <c r="BA78" i="10"/>
  <c r="BA79" i="10"/>
  <c r="BA80" i="10"/>
  <c r="BA81" i="10"/>
  <c r="BA82" i="10"/>
  <c r="BA83" i="10"/>
  <c r="BA84" i="10"/>
  <c r="BA85" i="10"/>
  <c r="BA86" i="10"/>
  <c r="BA87" i="10"/>
  <c r="BA88" i="10"/>
  <c r="BA89" i="10"/>
  <c r="BA90" i="10"/>
  <c r="BA91" i="10"/>
  <c r="BA92" i="10"/>
  <c r="BA93" i="10"/>
  <c r="BA94" i="10"/>
  <c r="BA95" i="10"/>
  <c r="BA96" i="10"/>
  <c r="BA97" i="10"/>
  <c r="BA98" i="10"/>
  <c r="BA99" i="10"/>
  <c r="BA100" i="10"/>
  <c r="BA101" i="10"/>
  <c r="BA102" i="10"/>
  <c r="BA103" i="10"/>
  <c r="BA104" i="10"/>
  <c r="BA105" i="10"/>
  <c r="BA106" i="10"/>
  <c r="E47" i="10"/>
  <c r="E48" i="10"/>
  <c r="F47" i="10"/>
  <c r="F48" i="10"/>
  <c r="O47" i="10"/>
  <c r="O48" i="10"/>
  <c r="R47" i="10"/>
  <c r="Q47" i="10" s="1"/>
  <c r="R48" i="10"/>
  <c r="Q48" i="10" s="1"/>
  <c r="V47" i="10"/>
  <c r="W47" i="10" s="1"/>
  <c r="U47" i="10" s="1"/>
  <c r="V48" i="10"/>
  <c r="X48" i="10" s="1"/>
  <c r="Y47" i="10"/>
  <c r="Z47" i="10" s="1"/>
  <c r="Y48" i="10"/>
  <c r="Z48" i="10" s="1"/>
  <c r="AA47" i="10"/>
  <c r="H47" i="10" s="1"/>
  <c r="AA48" i="10"/>
  <c r="H48" i="10" s="1"/>
  <c r="AF47" i="10"/>
  <c r="AF48" i="10"/>
  <c r="AG47" i="10"/>
  <c r="AG48" i="10"/>
  <c r="AH47" i="10"/>
  <c r="AH48" i="10"/>
  <c r="AI47" i="10"/>
  <c r="AI48" i="10"/>
  <c r="AJ47" i="10"/>
  <c r="AJ48" i="10"/>
  <c r="AE47" i="10" a="1"/>
  <c r="AE47" i="10" s="1"/>
  <c r="AC48" i="10" a="1"/>
  <c r="AC48" i="10" s="1"/>
  <c r="AS47" i="10"/>
  <c r="AT47" i="10" s="1"/>
  <c r="AS48" i="10"/>
  <c r="AT48" i="10" s="1"/>
  <c r="AU47" i="10"/>
  <c r="AV47" i="10" s="1"/>
  <c r="AU48" i="10"/>
  <c r="AV48" i="10" s="1"/>
  <c r="AW47" i="10"/>
  <c r="AX47" i="10" s="1"/>
  <c r="AW48" i="10"/>
  <c r="AX48" i="10" s="1"/>
  <c r="E60" i="10"/>
  <c r="E61" i="10"/>
  <c r="F60" i="10"/>
  <c r="F61" i="10"/>
  <c r="O60" i="10"/>
  <c r="O61" i="10"/>
  <c r="R60" i="10"/>
  <c r="Q60" i="10" s="1"/>
  <c r="R61" i="10"/>
  <c r="Q61" i="10" s="1"/>
  <c r="V60" i="10"/>
  <c r="X60" i="10" s="1"/>
  <c r="V61" i="10"/>
  <c r="X61" i="10" s="1"/>
  <c r="Y60" i="10"/>
  <c r="Z60" i="10" s="1"/>
  <c r="Y61" i="10"/>
  <c r="Z61" i="10" s="1"/>
  <c r="AA60" i="10"/>
  <c r="H60" i="10" s="1"/>
  <c r="AA61" i="10"/>
  <c r="H61" i="10" s="1"/>
  <c r="AF60" i="10"/>
  <c r="AF61" i="10"/>
  <c r="AG60" i="10"/>
  <c r="AG61" i="10"/>
  <c r="AH60" i="10"/>
  <c r="AH61" i="10"/>
  <c r="AI60" i="10"/>
  <c r="AI61" i="10"/>
  <c r="AJ60" i="10"/>
  <c r="AJ61" i="10"/>
  <c r="AC60" i="10" a="1"/>
  <c r="AC60" i="10" s="1"/>
  <c r="AC61" i="10" a="1"/>
  <c r="AC61" i="10" s="1"/>
  <c r="AS60" i="10"/>
  <c r="AT60" i="10" s="1"/>
  <c r="AS61" i="10"/>
  <c r="AT61" i="10" s="1"/>
  <c r="AU60" i="10"/>
  <c r="AV60" i="10" s="1"/>
  <c r="AU61" i="10"/>
  <c r="AV61" i="10" s="1"/>
  <c r="AW60" i="10"/>
  <c r="AX60" i="10" s="1"/>
  <c r="AW61" i="10"/>
  <c r="AX61" i="10" s="1"/>
  <c r="E62" i="10"/>
  <c r="F62" i="10"/>
  <c r="O62" i="10"/>
  <c r="Q62" i="10"/>
  <c r="R62" i="10"/>
  <c r="S62" i="10" s="1"/>
  <c r="V62" i="10"/>
  <c r="X62" i="10" s="1"/>
  <c r="Y62" i="10"/>
  <c r="Z62" i="10" s="1"/>
  <c r="AA62" i="10"/>
  <c r="H62" i="10" s="1"/>
  <c r="AF62" i="10"/>
  <c r="AG62" i="10"/>
  <c r="AH62" i="10"/>
  <c r="AI62" i="10"/>
  <c r="AJ62" i="10"/>
  <c r="AS62" i="10"/>
  <c r="AT62" i="10" s="1"/>
  <c r="AU62" i="10"/>
  <c r="AV62" i="10" s="1"/>
  <c r="AW62" i="10"/>
  <c r="AX62" i="10" s="1"/>
  <c r="E63" i="10"/>
  <c r="F63" i="10"/>
  <c r="O63" i="10"/>
  <c r="R63" i="10"/>
  <c r="Q63" i="10" s="1"/>
  <c r="V63" i="10"/>
  <c r="W63" i="10" s="1"/>
  <c r="U63" i="10" s="1"/>
  <c r="Y63" i="10"/>
  <c r="Z63" i="10" s="1"/>
  <c r="AA63" i="10"/>
  <c r="H63" i="10" s="1"/>
  <c r="AF63" i="10"/>
  <c r="AG63" i="10"/>
  <c r="AH63" i="10"/>
  <c r="AI63" i="10"/>
  <c r="AJ63" i="10"/>
  <c r="AS63" i="10"/>
  <c r="AT63" i="10" s="1"/>
  <c r="AU63" i="10"/>
  <c r="AV63" i="10" s="1"/>
  <c r="AW63" i="10"/>
  <c r="AX63" i="10" s="1"/>
  <c r="E93" i="10"/>
  <c r="F93" i="10"/>
  <c r="O93" i="10"/>
  <c r="Q93" i="10"/>
  <c r="R93" i="10"/>
  <c r="S93" i="10" s="1"/>
  <c r="V93" i="10"/>
  <c r="X93" i="10" s="1"/>
  <c r="Y93" i="10"/>
  <c r="Z93" i="10" s="1"/>
  <c r="AA93" i="10"/>
  <c r="H93" i="10" s="1"/>
  <c r="AF93" i="10"/>
  <c r="AG93" i="10"/>
  <c r="AH93" i="10"/>
  <c r="AI93" i="10"/>
  <c r="AJ93" i="10"/>
  <c r="AS93" i="10"/>
  <c r="AT93" i="10" s="1"/>
  <c r="AU93" i="10"/>
  <c r="AV93" i="10" s="1"/>
  <c r="AW93" i="10"/>
  <c r="AX93" i="10" s="1"/>
  <c r="E85" i="10"/>
  <c r="F85" i="10"/>
  <c r="O85" i="10"/>
  <c r="R85" i="10"/>
  <c r="Q85" i="10" s="1"/>
  <c r="V85" i="10"/>
  <c r="X85" i="10" s="1"/>
  <c r="Y85" i="10"/>
  <c r="Z85" i="10" s="1"/>
  <c r="AA85" i="10"/>
  <c r="H85" i="10" s="1"/>
  <c r="AF85" i="10"/>
  <c r="AG85" i="10"/>
  <c r="AH85" i="10"/>
  <c r="AI85" i="10"/>
  <c r="AJ85" i="10"/>
  <c r="AS85" i="10"/>
  <c r="AT85" i="10" s="1"/>
  <c r="AU85" i="10"/>
  <c r="AV85" i="10" s="1"/>
  <c r="AW85" i="10"/>
  <c r="AX85" i="10" s="1"/>
  <c r="E84" i="10"/>
  <c r="F84" i="10"/>
  <c r="O84" i="10"/>
  <c r="R84" i="10"/>
  <c r="Q84" i="10" s="1"/>
  <c r="V84" i="10"/>
  <c r="X84" i="10" s="1"/>
  <c r="Y84" i="10"/>
  <c r="Z84" i="10" s="1"/>
  <c r="AA84" i="10"/>
  <c r="H84" i="10" s="1"/>
  <c r="AF84" i="10"/>
  <c r="AG84" i="10"/>
  <c r="AH84" i="10"/>
  <c r="AI84" i="10"/>
  <c r="AJ84" i="10"/>
  <c r="AD84" i="10" a="1"/>
  <c r="AD84" i="10" s="1"/>
  <c r="AS84" i="10"/>
  <c r="AT84" i="10" s="1"/>
  <c r="AU84" i="10"/>
  <c r="AV84" i="10" s="1"/>
  <c r="AW84" i="10"/>
  <c r="AX84" i="10" s="1"/>
  <c r="E64" i="10"/>
  <c r="F64" i="10"/>
  <c r="O64" i="10"/>
  <c r="R64" i="10"/>
  <c r="Q64" i="10" s="1"/>
  <c r="V64" i="10"/>
  <c r="X64" i="10" s="1"/>
  <c r="Y64" i="10"/>
  <c r="Z64" i="10" s="1"/>
  <c r="AA64" i="10"/>
  <c r="H64" i="10" s="1"/>
  <c r="AF64" i="10"/>
  <c r="AG64" i="10"/>
  <c r="AH64" i="10"/>
  <c r="AI64" i="10"/>
  <c r="AJ64" i="10"/>
  <c r="AD64" i="10" a="1"/>
  <c r="AD64" i="10" s="1"/>
  <c r="AS64" i="10"/>
  <c r="AT64" i="10" s="1"/>
  <c r="AU64" i="10"/>
  <c r="AV64" i="10" s="1"/>
  <c r="AW64" i="10"/>
  <c r="AX64" i="10" s="1"/>
  <c r="H3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H301" i="14"/>
  <c r="H302" i="14"/>
  <c r="H303" i="14"/>
  <c r="H304" i="14"/>
  <c r="H305" i="14"/>
  <c r="H306" i="14"/>
  <c r="H307" i="14"/>
  <c r="H308" i="14"/>
  <c r="H309" i="14"/>
  <c r="H310" i="14"/>
  <c r="H311" i="14"/>
  <c r="H312" i="14"/>
  <c r="H313" i="14"/>
  <c r="H314" i="14"/>
  <c r="H315" i="14"/>
  <c r="H316" i="14"/>
  <c r="H317" i="14"/>
  <c r="H318" i="14"/>
  <c r="H319" i="14"/>
  <c r="H320" i="14"/>
  <c r="H321" i="14"/>
  <c r="H322" i="14"/>
  <c r="H323" i="14"/>
  <c r="H324" i="14"/>
  <c r="H325" i="14"/>
  <c r="H326" i="14"/>
  <c r="H327" i="14"/>
  <c r="H328" i="14"/>
  <c r="H329" i="14"/>
  <c r="H330" i="14"/>
  <c r="H331" i="14"/>
  <c r="H332" i="14"/>
  <c r="H333" i="14"/>
  <c r="H334" i="14"/>
  <c r="H335" i="14"/>
  <c r="H336" i="14"/>
  <c r="H337" i="14"/>
  <c r="H338" i="14"/>
  <c r="H339" i="14"/>
  <c r="H340" i="14"/>
  <c r="H341" i="14"/>
  <c r="H342" i="14"/>
  <c r="H343" i="14"/>
  <c r="H344" i="14"/>
  <c r="H345" i="14"/>
  <c r="H346" i="14"/>
  <c r="H347" i="14"/>
  <c r="H348" i="14"/>
  <c r="H349" i="14"/>
  <c r="H350" i="14"/>
  <c r="H351" i="14"/>
  <c r="H352" i="14"/>
  <c r="H353" i="14"/>
  <c r="H354" i="14"/>
  <c r="H355" i="14"/>
  <c r="H356" i="14"/>
  <c r="H357" i="14"/>
  <c r="H358" i="14"/>
  <c r="H359" i="14"/>
  <c r="H360" i="14"/>
  <c r="H361" i="14"/>
  <c r="H362" i="14"/>
  <c r="H363" i="14"/>
  <c r="H364" i="14"/>
  <c r="H365" i="14"/>
  <c r="H366" i="14"/>
  <c r="H367" i="14"/>
  <c r="H368" i="14"/>
  <c r="H369" i="14"/>
  <c r="H370" i="14"/>
  <c r="H371" i="14"/>
  <c r="H372" i="14"/>
  <c r="H373" i="14"/>
  <c r="H374" i="14"/>
  <c r="H375" i="14"/>
  <c r="H376" i="14"/>
  <c r="H377" i="14"/>
  <c r="H378" i="14"/>
  <c r="H379" i="14"/>
  <c r="H380" i="14"/>
  <c r="H381" i="14"/>
  <c r="H382" i="14"/>
  <c r="H383" i="14"/>
  <c r="H384" i="14"/>
  <c r="H385" i="14"/>
  <c r="H386" i="14"/>
  <c r="H387" i="14"/>
  <c r="H388" i="14"/>
  <c r="H389" i="14"/>
  <c r="H390" i="14"/>
  <c r="H391" i="14"/>
  <c r="H392" i="14"/>
  <c r="H393" i="14"/>
  <c r="H394" i="14"/>
  <c r="H395" i="14"/>
  <c r="H396" i="14"/>
  <c r="H397" i="14"/>
  <c r="H398" i="14"/>
  <c r="H399" i="14"/>
  <c r="H400" i="14"/>
  <c r="H401" i="14"/>
  <c r="H402" i="14"/>
  <c r="H403" i="14"/>
  <c r="H404" i="14"/>
  <c r="H405" i="14"/>
  <c r="H406" i="14"/>
  <c r="H407" i="14"/>
  <c r="H408" i="14"/>
  <c r="H409" i="14"/>
  <c r="H410" i="14"/>
  <c r="H411" i="14"/>
  <c r="H412" i="14"/>
  <c r="H413" i="14"/>
  <c r="H414" i="14"/>
  <c r="H415" i="14"/>
  <c r="H416" i="14"/>
  <c r="H417" i="14"/>
  <c r="H418" i="14"/>
  <c r="H419" i="14"/>
  <c r="H420" i="14"/>
  <c r="H421" i="14"/>
  <c r="H422" i="14"/>
  <c r="H423" i="14"/>
  <c r="H424" i="14"/>
  <c r="H425" i="14"/>
  <c r="H426" i="14"/>
  <c r="H427" i="14"/>
  <c r="H428" i="14"/>
  <c r="H429" i="14"/>
  <c r="H430" i="14"/>
  <c r="H431" i="14"/>
  <c r="H432" i="14"/>
  <c r="H433" i="14"/>
  <c r="H434" i="14"/>
  <c r="H435" i="14"/>
  <c r="H436" i="14"/>
  <c r="H437" i="14"/>
  <c r="H438" i="14"/>
  <c r="H439" i="14"/>
  <c r="H440" i="14"/>
  <c r="H441" i="14"/>
  <c r="H442" i="14"/>
  <c r="H443" i="14"/>
  <c r="H444" i="14"/>
  <c r="H445" i="14"/>
  <c r="H446" i="14"/>
  <c r="H447" i="14"/>
  <c r="H448" i="14"/>
  <c r="H449" i="14"/>
  <c r="H450" i="14"/>
  <c r="H451" i="14"/>
  <c r="H452" i="14"/>
  <c r="H453" i="14"/>
  <c r="H454" i="14"/>
  <c r="H455" i="14"/>
  <c r="H456" i="14"/>
  <c r="H457" i="14"/>
  <c r="H458" i="14"/>
  <c r="H459" i="14"/>
  <c r="H460" i="14"/>
  <c r="H461" i="14"/>
  <c r="H462" i="14"/>
  <c r="H463" i="14"/>
  <c r="H464" i="14"/>
  <c r="H465" i="14"/>
  <c r="H466" i="14"/>
  <c r="H467" i="14"/>
  <c r="H468" i="14"/>
  <c r="H469" i="14"/>
  <c r="H470" i="14"/>
  <c r="H471" i="14"/>
  <c r="H472" i="14"/>
  <c r="H473" i="14"/>
  <c r="H474" i="14"/>
  <c r="H475" i="14"/>
  <c r="H476" i="14"/>
  <c r="H477" i="14"/>
  <c r="H478" i="14"/>
  <c r="H479" i="14"/>
  <c r="H480" i="14"/>
  <c r="H481" i="14"/>
  <c r="H482" i="14"/>
  <c r="H483" i="14"/>
  <c r="H484" i="14"/>
  <c r="H485" i="14"/>
  <c r="H486" i="14"/>
  <c r="H487" i="14"/>
  <c r="H488" i="14"/>
  <c r="H489" i="14"/>
  <c r="H490" i="14"/>
  <c r="H491" i="14"/>
  <c r="H492" i="14"/>
  <c r="H493" i="14"/>
  <c r="H494" i="14"/>
  <c r="H495" i="14"/>
  <c r="H496" i="14"/>
  <c r="H497" i="14"/>
  <c r="H498" i="14"/>
  <c r="H499" i="14"/>
  <c r="H500" i="14"/>
  <c r="H501" i="14"/>
  <c r="H502" i="14"/>
  <c r="H503" i="14"/>
  <c r="H504" i="14"/>
  <c r="H505" i="14"/>
  <c r="H506" i="14"/>
  <c r="H507" i="14"/>
  <c r="H508" i="14"/>
  <c r="H509" i="14"/>
  <c r="H510" i="14"/>
  <c r="H511" i="14"/>
  <c r="H512" i="14"/>
  <c r="H513" i="14"/>
  <c r="H514" i="14"/>
  <c r="H515" i="14"/>
  <c r="H516" i="14"/>
  <c r="H517" i="14"/>
  <c r="H518" i="14"/>
  <c r="H519" i="14"/>
  <c r="H520" i="14"/>
  <c r="H521" i="14"/>
  <c r="H522" i="14"/>
  <c r="H523" i="14"/>
  <c r="H524" i="14"/>
  <c r="H525" i="14"/>
  <c r="H526" i="14"/>
  <c r="H527" i="14"/>
  <c r="H528" i="14"/>
  <c r="H529" i="14"/>
  <c r="H530" i="14"/>
  <c r="H531" i="14"/>
  <c r="H532" i="14"/>
  <c r="H533" i="14"/>
  <c r="H534" i="14"/>
  <c r="H535" i="14"/>
  <c r="H536" i="14"/>
  <c r="H537" i="14"/>
  <c r="H538" i="14"/>
  <c r="H539" i="14"/>
  <c r="H540" i="14"/>
  <c r="H541" i="14"/>
  <c r="H542" i="14"/>
  <c r="H543" i="14"/>
  <c r="H544" i="14"/>
  <c r="H545" i="14"/>
  <c r="H546" i="14"/>
  <c r="H547" i="14"/>
  <c r="H548" i="14"/>
  <c r="H549" i="14"/>
  <c r="H550" i="14"/>
  <c r="H551" i="14"/>
  <c r="H552" i="14"/>
  <c r="H553" i="14"/>
  <c r="H554" i="14"/>
  <c r="H555" i="14"/>
  <c r="H556" i="14"/>
  <c r="H557" i="14"/>
  <c r="H558" i="14"/>
  <c r="H559" i="14"/>
  <c r="H560" i="14"/>
  <c r="H561" i="14"/>
  <c r="H562" i="14"/>
  <c r="H563" i="14"/>
  <c r="H564" i="14"/>
  <c r="H565" i="14"/>
  <c r="H566" i="14"/>
  <c r="H567" i="14"/>
  <c r="H568" i="14"/>
  <c r="H569" i="14"/>
  <c r="H570" i="14"/>
  <c r="H571" i="14"/>
  <c r="H572" i="14"/>
  <c r="H573" i="14"/>
  <c r="H574" i="14"/>
  <c r="H575" i="14"/>
  <c r="H576" i="14"/>
  <c r="H577" i="14"/>
  <c r="H578" i="14"/>
  <c r="H579" i="14"/>
  <c r="H580" i="14"/>
  <c r="H581" i="14"/>
  <c r="H582" i="14"/>
  <c r="H583" i="14"/>
  <c r="H584" i="14"/>
  <c r="H585" i="14"/>
  <c r="H586" i="14"/>
  <c r="H587" i="14"/>
  <c r="H588" i="14"/>
  <c r="H589" i="14"/>
  <c r="H590" i="14"/>
  <c r="H591" i="14"/>
  <c r="H592" i="14"/>
  <c r="H593" i="14"/>
  <c r="H594" i="14"/>
  <c r="H595" i="14"/>
  <c r="H596" i="14"/>
  <c r="H597" i="14"/>
  <c r="H598" i="14"/>
  <c r="H599" i="14"/>
  <c r="H600" i="14"/>
  <c r="H601" i="14"/>
  <c r="H602" i="14"/>
  <c r="H603" i="14"/>
  <c r="H604" i="14"/>
  <c r="H605" i="14"/>
  <c r="H606" i="14"/>
  <c r="H607" i="14"/>
  <c r="H608" i="14"/>
  <c r="H609" i="14"/>
  <c r="H610" i="14"/>
  <c r="H611" i="14"/>
  <c r="H612" i="14"/>
  <c r="H613" i="14"/>
  <c r="H614" i="14"/>
  <c r="H615" i="14"/>
  <c r="H616" i="14"/>
  <c r="H617" i="14"/>
  <c r="H618" i="14"/>
  <c r="H619" i="14"/>
  <c r="H620" i="14"/>
  <c r="H621" i="14"/>
  <c r="H622" i="14"/>
  <c r="H623" i="14"/>
  <c r="H624" i="14"/>
  <c r="H625" i="14"/>
  <c r="H626" i="14"/>
  <c r="H627" i="14"/>
  <c r="H628" i="14"/>
  <c r="H629" i="14"/>
  <c r="H630" i="14"/>
  <c r="H631" i="14"/>
  <c r="H632" i="14"/>
  <c r="H633" i="14"/>
  <c r="H634" i="14"/>
  <c r="H635" i="14"/>
  <c r="H636" i="14"/>
  <c r="H637" i="14"/>
  <c r="H638" i="14"/>
  <c r="H639" i="14"/>
  <c r="H640" i="14"/>
  <c r="H641" i="14"/>
  <c r="H642" i="14"/>
  <c r="H643" i="14"/>
  <c r="H644" i="14"/>
  <c r="H645" i="14"/>
  <c r="H646" i="14"/>
  <c r="H647" i="14"/>
  <c r="H648" i="14"/>
  <c r="H649" i="14"/>
  <c r="H650" i="14"/>
  <c r="H651" i="14"/>
  <c r="H652" i="14"/>
  <c r="H653" i="14"/>
  <c r="H654" i="14"/>
  <c r="H655" i="14"/>
  <c r="H656" i="14"/>
  <c r="H657" i="14"/>
  <c r="H658" i="14"/>
  <c r="H659" i="14"/>
  <c r="H660" i="14"/>
  <c r="H661" i="14"/>
  <c r="H662" i="14"/>
  <c r="H663" i="14"/>
  <c r="H664" i="14"/>
  <c r="H665" i="14"/>
  <c r="H666" i="14"/>
  <c r="H667" i="14"/>
  <c r="H668" i="14"/>
  <c r="H669" i="14"/>
  <c r="H670" i="14"/>
  <c r="H671" i="14"/>
  <c r="H672" i="14"/>
  <c r="H673" i="14"/>
  <c r="H674" i="14"/>
  <c r="H675" i="14"/>
  <c r="H676" i="14"/>
  <c r="H677" i="14"/>
  <c r="H678" i="14"/>
  <c r="H679" i="14"/>
  <c r="H680" i="14"/>
  <c r="H681" i="14"/>
  <c r="H682" i="14"/>
  <c r="H683" i="14"/>
  <c r="H684" i="14"/>
  <c r="H685" i="14"/>
  <c r="H686" i="14"/>
  <c r="H687" i="14"/>
  <c r="H688" i="14"/>
  <c r="H689" i="14"/>
  <c r="H690" i="14"/>
  <c r="H691" i="14"/>
  <c r="H692" i="14"/>
  <c r="H693" i="14"/>
  <c r="H694" i="14"/>
  <c r="H695" i="14"/>
  <c r="H696" i="14"/>
  <c r="H697" i="14"/>
  <c r="H698" i="14"/>
  <c r="H699" i="14"/>
  <c r="H700" i="14"/>
  <c r="H701" i="14"/>
  <c r="H702" i="14"/>
  <c r="H703" i="14"/>
  <c r="H704" i="14"/>
  <c r="H705" i="14"/>
  <c r="H706" i="14"/>
  <c r="H707" i="14"/>
  <c r="H708" i="14"/>
  <c r="H709" i="14"/>
  <c r="H710" i="14"/>
  <c r="H711" i="14"/>
  <c r="H712" i="14"/>
  <c r="H713" i="14"/>
  <c r="H714" i="14"/>
  <c r="H715" i="14"/>
  <c r="H716" i="14"/>
  <c r="H717" i="14"/>
  <c r="H718" i="14"/>
  <c r="H719" i="14"/>
  <c r="H720" i="14"/>
  <c r="H721" i="14"/>
  <c r="H722" i="14"/>
  <c r="H723" i="14"/>
  <c r="H724" i="14"/>
  <c r="H725" i="14"/>
  <c r="H726" i="14"/>
  <c r="H727" i="14"/>
  <c r="H728" i="14"/>
  <c r="H729" i="14"/>
  <c r="H730" i="14"/>
  <c r="H731" i="14"/>
  <c r="H732" i="14"/>
  <c r="H733" i="14"/>
  <c r="H734" i="14"/>
  <c r="H735" i="14"/>
  <c r="H736" i="14"/>
  <c r="H737" i="14"/>
  <c r="H738" i="14"/>
  <c r="H739" i="14"/>
  <c r="H740" i="14"/>
  <c r="H741" i="14"/>
  <c r="H742" i="14"/>
  <c r="H743" i="14"/>
  <c r="H744" i="14"/>
  <c r="H745" i="14"/>
  <c r="H746" i="14"/>
  <c r="H747" i="14"/>
  <c r="H748" i="14"/>
  <c r="H749" i="14"/>
  <c r="H750" i="14"/>
  <c r="H751" i="14"/>
  <c r="H752" i="14"/>
  <c r="H753" i="14"/>
  <c r="H754" i="14"/>
  <c r="H755" i="14"/>
  <c r="H756" i="14"/>
  <c r="H757" i="14"/>
  <c r="H758" i="14"/>
  <c r="H759" i="14"/>
  <c r="H760" i="14"/>
  <c r="H761" i="14"/>
  <c r="H762" i="14"/>
  <c r="H763" i="14"/>
  <c r="H764" i="14"/>
  <c r="H765" i="14"/>
  <c r="H766" i="14"/>
  <c r="H767" i="14"/>
  <c r="H768" i="14"/>
  <c r="H769" i="14"/>
  <c r="H770" i="14"/>
  <c r="H771" i="14"/>
  <c r="H772" i="14"/>
  <c r="H773" i="14"/>
  <c r="H774" i="14"/>
  <c r="H775" i="14"/>
  <c r="H776" i="14"/>
  <c r="H777" i="14"/>
  <c r="H778" i="14"/>
  <c r="H779" i="14"/>
  <c r="H780" i="14"/>
  <c r="H781" i="14"/>
  <c r="H782" i="14"/>
  <c r="H783" i="14"/>
  <c r="H784" i="14"/>
  <c r="H785" i="14"/>
  <c r="H786" i="14"/>
  <c r="H787" i="14"/>
  <c r="H788" i="14"/>
  <c r="H789" i="14"/>
  <c r="H790" i="14"/>
  <c r="H791" i="14"/>
  <c r="H792" i="14"/>
  <c r="H793" i="14"/>
  <c r="H794" i="14"/>
  <c r="H795" i="14"/>
  <c r="H796" i="14"/>
  <c r="H797" i="14"/>
  <c r="H798" i="14"/>
  <c r="H799" i="14"/>
  <c r="H800" i="14"/>
  <c r="H801" i="14"/>
  <c r="H802" i="14"/>
  <c r="H803" i="14"/>
  <c r="H804" i="14"/>
  <c r="H805" i="14"/>
  <c r="H806" i="14"/>
  <c r="H807" i="14"/>
  <c r="H808" i="14"/>
  <c r="H809" i="14"/>
  <c r="H810" i="14"/>
  <c r="H811" i="14"/>
  <c r="H812" i="14"/>
  <c r="H813" i="14"/>
  <c r="H814" i="14"/>
  <c r="H815" i="14"/>
  <c r="H816" i="14"/>
  <c r="H817" i="14"/>
  <c r="H818" i="14"/>
  <c r="H819" i="14"/>
  <c r="H820" i="14"/>
  <c r="H821" i="14"/>
  <c r="H822" i="14"/>
  <c r="H823" i="14"/>
  <c r="H824" i="14"/>
  <c r="H825" i="14"/>
  <c r="H826" i="14"/>
  <c r="H827" i="14"/>
  <c r="H828" i="14"/>
  <c r="H829" i="14"/>
  <c r="H830" i="14"/>
  <c r="H831" i="14"/>
  <c r="H832" i="14"/>
  <c r="H833" i="14"/>
  <c r="H834" i="14"/>
  <c r="H835" i="14"/>
  <c r="H836" i="14"/>
  <c r="H837" i="14"/>
  <c r="H838" i="14"/>
  <c r="H839" i="14"/>
  <c r="H840" i="14"/>
  <c r="H841" i="14"/>
  <c r="H842" i="14"/>
  <c r="H843" i="14"/>
  <c r="H844" i="14"/>
  <c r="H845" i="14"/>
  <c r="H846" i="14"/>
  <c r="H847" i="14"/>
  <c r="H848" i="14"/>
  <c r="H849" i="14"/>
  <c r="H850" i="14"/>
  <c r="H851" i="14"/>
  <c r="H852" i="14"/>
  <c r="H853" i="14"/>
  <c r="H854" i="14"/>
  <c r="H855" i="14"/>
  <c r="H856" i="14"/>
  <c r="H857" i="14"/>
  <c r="H858" i="14"/>
  <c r="H859" i="14"/>
  <c r="H860" i="14"/>
  <c r="H861" i="14"/>
  <c r="H862" i="14"/>
  <c r="H863" i="14"/>
  <c r="H864" i="14"/>
  <c r="H865" i="14"/>
  <c r="H866" i="14"/>
  <c r="H867" i="14"/>
  <c r="H868" i="14"/>
  <c r="H869" i="14"/>
  <c r="H870" i="14"/>
  <c r="H871" i="14"/>
  <c r="H872" i="14"/>
  <c r="H873" i="14"/>
  <c r="H874" i="14"/>
  <c r="H875" i="14"/>
  <c r="H876" i="14"/>
  <c r="H877" i="14"/>
  <c r="H878" i="14"/>
  <c r="H879" i="14"/>
  <c r="H880" i="14"/>
  <c r="H881" i="14"/>
  <c r="H882" i="14"/>
  <c r="H883" i="14"/>
  <c r="H884" i="14"/>
  <c r="H885" i="14"/>
  <c r="H886" i="14"/>
  <c r="H887" i="14"/>
  <c r="H888" i="14"/>
  <c r="H889" i="14"/>
  <c r="H890" i="14"/>
  <c r="H891" i="14"/>
  <c r="H892" i="14"/>
  <c r="H893" i="14"/>
  <c r="H894" i="14"/>
  <c r="H895" i="14"/>
  <c r="H896" i="14"/>
  <c r="H897" i="14"/>
  <c r="H898" i="14"/>
  <c r="H899" i="14"/>
  <c r="H900" i="14"/>
  <c r="H901" i="14"/>
  <c r="H902" i="14"/>
  <c r="H903" i="14"/>
  <c r="H904" i="14"/>
  <c r="H905" i="14"/>
  <c r="H906" i="14"/>
  <c r="H907" i="14"/>
  <c r="H908" i="14"/>
  <c r="H909" i="14"/>
  <c r="H910" i="14"/>
  <c r="H911" i="14"/>
  <c r="H912" i="14"/>
  <c r="H913" i="14"/>
  <c r="H914" i="14"/>
  <c r="H915" i="14"/>
  <c r="H916" i="14"/>
  <c r="H917" i="14"/>
  <c r="H918" i="14"/>
  <c r="H919" i="14"/>
  <c r="H920" i="14"/>
  <c r="H921" i="14"/>
  <c r="H922" i="14"/>
  <c r="H923" i="14"/>
  <c r="H924" i="14"/>
  <c r="H925" i="14"/>
  <c r="H926" i="14"/>
  <c r="H927" i="14"/>
  <c r="H928" i="14"/>
  <c r="H929" i="14"/>
  <c r="H930" i="14"/>
  <c r="H931" i="14"/>
  <c r="H932" i="14"/>
  <c r="H933" i="14"/>
  <c r="H934" i="14"/>
  <c r="H935" i="14"/>
  <c r="H936" i="14"/>
  <c r="H937" i="14"/>
  <c r="H938" i="14"/>
  <c r="H939" i="14"/>
  <c r="H940" i="14"/>
  <c r="H941" i="14"/>
  <c r="H942" i="14"/>
  <c r="H943" i="14"/>
  <c r="H944" i="14"/>
  <c r="H945" i="14"/>
  <c r="H946" i="14"/>
  <c r="H947" i="14"/>
  <c r="H948" i="14"/>
  <c r="H949" i="14"/>
  <c r="H950" i="14"/>
  <c r="H951" i="14"/>
  <c r="H952" i="14"/>
  <c r="H953" i="14"/>
  <c r="H954" i="14"/>
  <c r="H955" i="14"/>
  <c r="H956" i="14"/>
  <c r="H957" i="14"/>
  <c r="H958" i="14"/>
  <c r="H959" i="14"/>
  <c r="H960" i="14"/>
  <c r="H961" i="14"/>
  <c r="H962" i="14"/>
  <c r="H963" i="14"/>
  <c r="H964" i="14"/>
  <c r="H965" i="14"/>
  <c r="H966" i="14"/>
  <c r="H967" i="14"/>
  <c r="H968" i="14"/>
  <c r="H969" i="14"/>
  <c r="H970" i="14"/>
  <c r="H971" i="14"/>
  <c r="H972" i="14"/>
  <c r="H973" i="14"/>
  <c r="H974" i="14"/>
  <c r="H975" i="14"/>
  <c r="H976" i="14"/>
  <c r="H977" i="14"/>
  <c r="H978" i="14"/>
  <c r="H979" i="14"/>
  <c r="H980" i="14"/>
  <c r="H981" i="14"/>
  <c r="H982" i="14"/>
  <c r="H983" i="14"/>
  <c r="H984" i="14"/>
  <c r="H985" i="14"/>
  <c r="H986" i="14"/>
  <c r="H987" i="14"/>
  <c r="H988" i="14"/>
  <c r="H989" i="14"/>
  <c r="H990" i="14"/>
  <c r="H991" i="14"/>
  <c r="H992" i="14"/>
  <c r="H993" i="14"/>
  <c r="H994" i="14"/>
  <c r="H995" i="14"/>
  <c r="H996" i="14"/>
  <c r="H997" i="14"/>
  <c r="H998" i="14"/>
  <c r="H999" i="14"/>
  <c r="H1000" i="14"/>
  <c r="H1001" i="14"/>
  <c r="H1002" i="14"/>
  <c r="H1003" i="14"/>
  <c r="H1004" i="14"/>
  <c r="H1005" i="14"/>
  <c r="H1006" i="14"/>
  <c r="H1007" i="14"/>
  <c r="H1008" i="14"/>
  <c r="H1009" i="14"/>
  <c r="H1010" i="14"/>
  <c r="H1011" i="14"/>
  <c r="H1012" i="14"/>
  <c r="H1013" i="14"/>
  <c r="H1014" i="14"/>
  <c r="H1015" i="14"/>
  <c r="H1016" i="14"/>
  <c r="H1017" i="14"/>
  <c r="H1018" i="14"/>
  <c r="H1019" i="14"/>
  <c r="H1020" i="14"/>
  <c r="H1021" i="14"/>
  <c r="H1022" i="14"/>
  <c r="H1023" i="14"/>
  <c r="H1024" i="14"/>
  <c r="H1025" i="14"/>
  <c r="H1026" i="14"/>
  <c r="H1027" i="14"/>
  <c r="H1028" i="14"/>
  <c r="H1029" i="14"/>
  <c r="H1030" i="14"/>
  <c r="H1031" i="14"/>
  <c r="H1032" i="14"/>
  <c r="H1033" i="14"/>
  <c r="H1034" i="14"/>
  <c r="H1035" i="14"/>
  <c r="H1036" i="14"/>
  <c r="H1037" i="14"/>
  <c r="H1038" i="14"/>
  <c r="H1039" i="14"/>
  <c r="H1040" i="14"/>
  <c r="H1041" i="14"/>
  <c r="H1042" i="14"/>
  <c r="H1043" i="14"/>
  <c r="H1044" i="14"/>
  <c r="H1045" i="14"/>
  <c r="H1046" i="14"/>
  <c r="H1047" i="14"/>
  <c r="H1048" i="14"/>
  <c r="H1049" i="14"/>
  <c r="H1050" i="14"/>
  <c r="H1051" i="14"/>
  <c r="H1052" i="14"/>
  <c r="H1053" i="14"/>
  <c r="H1054" i="14"/>
  <c r="H1055" i="14"/>
  <c r="H1056" i="14"/>
  <c r="H1057" i="14"/>
  <c r="H1058" i="14"/>
  <c r="H1059" i="14"/>
  <c r="H1060" i="14"/>
  <c r="H1061" i="14"/>
  <c r="H1062" i="14"/>
  <c r="H1063" i="14"/>
  <c r="H1064" i="14"/>
  <c r="H1065" i="14"/>
  <c r="H1066" i="14"/>
  <c r="H1067" i="14"/>
  <c r="H1068" i="14"/>
  <c r="H1069" i="14"/>
  <c r="H1070" i="14"/>
  <c r="H1071" i="14"/>
  <c r="H1072" i="14"/>
  <c r="H1073" i="14"/>
  <c r="H1074" i="14"/>
  <c r="H1075" i="14"/>
  <c r="H1076" i="14"/>
  <c r="H1077" i="14"/>
  <c r="H1078" i="14"/>
  <c r="H1079" i="14"/>
  <c r="H1080" i="14"/>
  <c r="H1081" i="14"/>
  <c r="H1082" i="14"/>
  <c r="H1083" i="14"/>
  <c r="H1084" i="14"/>
  <c r="H1085" i="14"/>
  <c r="H1086" i="14"/>
  <c r="H1087" i="14"/>
  <c r="H1088" i="14"/>
  <c r="H1089" i="14"/>
  <c r="H1090" i="14"/>
  <c r="H1091" i="14"/>
  <c r="H1092" i="14"/>
  <c r="H1093" i="14"/>
  <c r="H1094" i="14"/>
  <c r="H1095" i="14"/>
  <c r="H1096" i="14"/>
  <c r="H1097" i="14"/>
  <c r="H1098" i="14"/>
  <c r="H1099" i="14"/>
  <c r="H1100" i="14"/>
  <c r="H1101" i="14"/>
  <c r="H1102" i="14"/>
  <c r="H1103" i="14"/>
  <c r="H1104" i="14"/>
  <c r="H1105" i="14"/>
  <c r="H1106" i="14"/>
  <c r="H1107" i="14"/>
  <c r="H1108" i="14"/>
  <c r="H1109" i="14"/>
  <c r="H1110" i="14"/>
  <c r="H1111" i="14"/>
  <c r="H1112" i="14"/>
  <c r="H1113" i="14"/>
  <c r="H1114" i="14"/>
  <c r="H1115" i="14"/>
  <c r="H1116" i="14"/>
  <c r="H1117" i="14"/>
  <c r="H1118" i="14"/>
  <c r="H1119" i="14"/>
  <c r="H1120" i="14"/>
  <c r="H1121" i="14"/>
  <c r="H1122" i="14"/>
  <c r="H1123" i="14"/>
  <c r="H1124" i="14"/>
  <c r="H1125" i="14"/>
  <c r="H1126" i="14"/>
  <c r="H1127" i="14"/>
  <c r="H1128" i="14"/>
  <c r="H1129" i="14"/>
  <c r="H1130" i="14"/>
  <c r="H1131" i="14"/>
  <c r="H1132" i="14"/>
  <c r="H1133" i="14"/>
  <c r="H1134" i="14"/>
  <c r="H1135" i="14"/>
  <c r="H1136" i="14"/>
  <c r="H1137" i="14"/>
  <c r="H1138" i="14"/>
  <c r="H1139" i="14"/>
  <c r="H1140" i="14"/>
  <c r="H1141" i="14"/>
  <c r="H1142" i="14"/>
  <c r="H1143" i="14"/>
  <c r="H1144" i="14"/>
  <c r="H1145" i="14"/>
  <c r="H1146" i="14"/>
  <c r="H1147" i="14"/>
  <c r="H1148" i="14"/>
  <c r="H1149" i="14"/>
  <c r="H1150" i="14"/>
  <c r="H1151" i="14"/>
  <c r="H1152" i="14"/>
  <c r="H1153" i="14"/>
  <c r="H1154" i="14"/>
  <c r="H1155" i="14"/>
  <c r="H1156" i="14"/>
  <c r="H1157" i="14"/>
  <c r="H1158" i="14"/>
  <c r="H1159" i="14"/>
  <c r="H1160" i="14"/>
  <c r="H1161" i="14"/>
  <c r="H1162" i="14"/>
  <c r="H1163" i="14"/>
  <c r="H1164" i="14"/>
  <c r="H1165" i="14"/>
  <c r="H1166" i="14"/>
  <c r="H1167" i="14"/>
  <c r="H1168" i="14"/>
  <c r="H1169" i="14"/>
  <c r="H1170" i="14"/>
  <c r="H1171" i="14"/>
  <c r="H1172" i="14"/>
  <c r="H1173" i="14"/>
  <c r="H1174" i="14"/>
  <c r="H1175" i="14"/>
  <c r="H1176" i="14"/>
  <c r="H1177" i="14"/>
  <c r="H1178" i="14"/>
  <c r="H1179" i="14"/>
  <c r="H1180" i="14"/>
  <c r="H1181" i="14"/>
  <c r="H1182" i="14"/>
  <c r="H1183" i="14"/>
  <c r="H1184" i="14"/>
  <c r="H1185" i="14"/>
  <c r="H1186" i="14"/>
  <c r="H1187" i="14"/>
  <c r="H1188" i="14"/>
  <c r="H1189" i="14"/>
  <c r="H1190" i="14"/>
  <c r="H1191" i="14"/>
  <c r="H1192" i="14"/>
  <c r="H1193" i="14"/>
  <c r="H1194" i="14"/>
  <c r="H1195" i="14"/>
  <c r="H1196" i="14"/>
  <c r="H1197" i="14"/>
  <c r="H1198" i="14"/>
  <c r="H1199" i="14"/>
  <c r="H1200" i="14"/>
  <c r="H1201" i="14"/>
  <c r="H1202" i="14"/>
  <c r="H1203" i="14"/>
  <c r="H1204" i="14"/>
  <c r="H1205" i="14"/>
  <c r="H1206" i="14"/>
  <c r="H1207" i="14"/>
  <c r="H1208" i="14"/>
  <c r="H1209" i="14"/>
  <c r="H1210" i="14"/>
  <c r="H1211" i="14"/>
  <c r="H1212" i="14"/>
  <c r="H1213" i="14"/>
  <c r="H1214" i="14"/>
  <c r="H1215" i="14"/>
  <c r="H1216" i="14"/>
  <c r="H1217" i="14"/>
  <c r="H1218" i="14"/>
  <c r="H1219" i="14"/>
  <c r="H1220" i="14"/>
  <c r="H1221" i="14"/>
  <c r="H1222" i="14"/>
  <c r="H1223" i="14"/>
  <c r="H1224" i="14"/>
  <c r="H1225" i="14"/>
  <c r="H1226" i="14"/>
  <c r="H1227" i="14"/>
  <c r="H1228" i="14"/>
  <c r="H1229" i="14"/>
  <c r="H1230" i="14"/>
  <c r="H1231" i="14"/>
  <c r="H1232" i="14"/>
  <c r="H1233" i="14"/>
  <c r="H1234" i="14"/>
  <c r="H1235" i="14"/>
  <c r="H1236" i="14"/>
  <c r="H1237" i="14"/>
  <c r="H1238" i="14"/>
  <c r="H1239" i="14"/>
  <c r="H1240" i="14"/>
  <c r="H1241" i="14"/>
  <c r="H1242" i="14"/>
  <c r="H1243" i="14"/>
  <c r="H1244" i="14"/>
  <c r="H1245" i="14"/>
  <c r="H1246" i="14"/>
  <c r="H1247" i="14"/>
  <c r="H1248" i="14"/>
  <c r="H1249" i="14"/>
  <c r="H1250" i="14"/>
  <c r="H1251" i="14"/>
  <c r="H1252" i="14"/>
  <c r="H1253" i="14"/>
  <c r="H1254" i="14"/>
  <c r="H1255" i="14"/>
  <c r="H1256" i="14"/>
  <c r="H1257" i="14"/>
  <c r="H1258" i="14"/>
  <c r="H1259" i="14"/>
  <c r="H1260" i="14"/>
  <c r="H1261" i="14"/>
  <c r="H1262" i="14"/>
  <c r="H1263" i="14"/>
  <c r="H1264" i="14"/>
  <c r="H1265" i="14"/>
  <c r="H1266" i="14"/>
  <c r="H1267" i="14"/>
  <c r="H1268" i="14"/>
  <c r="H1269" i="14"/>
  <c r="H1270" i="14"/>
  <c r="H1271" i="14"/>
  <c r="H1272" i="14"/>
  <c r="H1273" i="14"/>
  <c r="H1274" i="14"/>
  <c r="H1275" i="14"/>
  <c r="H1276" i="14"/>
  <c r="H1277" i="14"/>
  <c r="H1278" i="14"/>
  <c r="H1279" i="14"/>
  <c r="H1280" i="14"/>
  <c r="H1281" i="14"/>
  <c r="H1282" i="14"/>
  <c r="H1283" i="14"/>
  <c r="H1284" i="14"/>
  <c r="H1285" i="14"/>
  <c r="H1286" i="14"/>
  <c r="H1287" i="14"/>
  <c r="H1288" i="14"/>
  <c r="H1289" i="14"/>
  <c r="H1290" i="14"/>
  <c r="H1291" i="14"/>
  <c r="H1292" i="14"/>
  <c r="H1293" i="14"/>
  <c r="H1294" i="14"/>
  <c r="H1295" i="14"/>
  <c r="H1296" i="14"/>
  <c r="H1297" i="14"/>
  <c r="H1298" i="14"/>
  <c r="H1299" i="14"/>
  <c r="H1300" i="14"/>
  <c r="H1301" i="14"/>
  <c r="H1302" i="14"/>
  <c r="H1303" i="14"/>
  <c r="H1304" i="14"/>
  <c r="H1305" i="14"/>
  <c r="H1306" i="14"/>
  <c r="H1307" i="14"/>
  <c r="H1308" i="14"/>
  <c r="H1309" i="14"/>
  <c r="H1310" i="14"/>
  <c r="H1311" i="14"/>
  <c r="H1312" i="14"/>
  <c r="H1313" i="14"/>
  <c r="H1314" i="14"/>
  <c r="H1315" i="14"/>
  <c r="H1316" i="14"/>
  <c r="H1317" i="14"/>
  <c r="H1318" i="14"/>
  <c r="H1319" i="14"/>
  <c r="H1320" i="14"/>
  <c r="H1321" i="14"/>
  <c r="H1322" i="14"/>
  <c r="H1323" i="14"/>
  <c r="H1324" i="14"/>
  <c r="H1325" i="14"/>
  <c r="H1326" i="14"/>
  <c r="H1327" i="14"/>
  <c r="H1328" i="14"/>
  <c r="H1329" i="14"/>
  <c r="H1330" i="14"/>
  <c r="H1331" i="14"/>
  <c r="H1332" i="14"/>
  <c r="H1333" i="14"/>
  <c r="H1334" i="14"/>
  <c r="H1335" i="14"/>
  <c r="H1336" i="14"/>
  <c r="H1337" i="14"/>
  <c r="H1338" i="14"/>
  <c r="H1339" i="14"/>
  <c r="H1340" i="14"/>
  <c r="H1341" i="14"/>
  <c r="H1342" i="14"/>
  <c r="H1343" i="14"/>
  <c r="H1344" i="14"/>
  <c r="H1345" i="14"/>
  <c r="H1346" i="14"/>
  <c r="H1347" i="14"/>
  <c r="H1348" i="14"/>
  <c r="H1349" i="14"/>
  <c r="H1350" i="14"/>
  <c r="H1351" i="14"/>
  <c r="H1352" i="14"/>
  <c r="H1353" i="14"/>
  <c r="H1354" i="14"/>
  <c r="H1355" i="14"/>
  <c r="H1356" i="14"/>
  <c r="H1357" i="14"/>
  <c r="H1358" i="14"/>
  <c r="H1359" i="14"/>
  <c r="H1360" i="14"/>
  <c r="H1361" i="14"/>
  <c r="H1362" i="14"/>
  <c r="H1363" i="14"/>
  <c r="H1364" i="14"/>
  <c r="H1365" i="14"/>
  <c r="H1366" i="14"/>
  <c r="H1367" i="14"/>
  <c r="H1368" i="14"/>
  <c r="H1369" i="14"/>
  <c r="H1370" i="14"/>
  <c r="H1371" i="14"/>
  <c r="H1372" i="14"/>
  <c r="H1373" i="14"/>
  <c r="H1374" i="14"/>
  <c r="H1375" i="14"/>
  <c r="H1376" i="14"/>
  <c r="H1377" i="14"/>
  <c r="H1378" i="14"/>
  <c r="H1379" i="14"/>
  <c r="H1380" i="14"/>
  <c r="H1381" i="14"/>
  <c r="H1382" i="14"/>
  <c r="H1383" i="14"/>
  <c r="H1384" i="14"/>
  <c r="H1385" i="14"/>
  <c r="H1386" i="14"/>
  <c r="H1387" i="14"/>
  <c r="H1388" i="14"/>
  <c r="H1389" i="14"/>
  <c r="H1390" i="14"/>
  <c r="H1391" i="14"/>
  <c r="H1392" i="14"/>
  <c r="H1393" i="14"/>
  <c r="H1394" i="14"/>
  <c r="H1395" i="14"/>
  <c r="H1396" i="14"/>
  <c r="H1397" i="14"/>
  <c r="H1398" i="14"/>
  <c r="H1399" i="14"/>
  <c r="H1400" i="14"/>
  <c r="H1401" i="14"/>
  <c r="H1402" i="14"/>
  <c r="H1403" i="14"/>
  <c r="H1404" i="14"/>
  <c r="H1405" i="14"/>
  <c r="H1406" i="14"/>
  <c r="H1407" i="14"/>
  <c r="H1408" i="14"/>
  <c r="H1409" i="14"/>
  <c r="H1410" i="14"/>
  <c r="H1411" i="14"/>
  <c r="H1412" i="14"/>
  <c r="H1413" i="14"/>
  <c r="H1414" i="14"/>
  <c r="H1415" i="14"/>
  <c r="H1416" i="14"/>
  <c r="H1417" i="14"/>
  <c r="H1418" i="14"/>
  <c r="H1419" i="14"/>
  <c r="H1420" i="14"/>
  <c r="H1421" i="14"/>
  <c r="H1422" i="14"/>
  <c r="H1423" i="14"/>
  <c r="H1424" i="14"/>
  <c r="H1425" i="14"/>
  <c r="H1426" i="14"/>
  <c r="H1427" i="14"/>
  <c r="H1428" i="14"/>
  <c r="H1429" i="14"/>
  <c r="H1430" i="14"/>
  <c r="H1431" i="14"/>
  <c r="H1432" i="14"/>
  <c r="H1433" i="14"/>
  <c r="H1434" i="14"/>
  <c r="H1435" i="14"/>
  <c r="H1436" i="14"/>
  <c r="H1437" i="14"/>
  <c r="H1438" i="14"/>
  <c r="H1439" i="14"/>
  <c r="H1440" i="14"/>
  <c r="H1441" i="14"/>
  <c r="H1442" i="14"/>
  <c r="H1443" i="14"/>
  <c r="H1444" i="14"/>
  <c r="H1445" i="14"/>
  <c r="H1446" i="14"/>
  <c r="H1447" i="14"/>
  <c r="H1448" i="14"/>
  <c r="H1449" i="14"/>
  <c r="H1450" i="14"/>
  <c r="H1451" i="14"/>
  <c r="H1452" i="14"/>
  <c r="H1453" i="14"/>
  <c r="H1454" i="14"/>
  <c r="H1455" i="14"/>
  <c r="H1456" i="14"/>
  <c r="H1457" i="14"/>
  <c r="H1458" i="14"/>
  <c r="H1459" i="14"/>
  <c r="H1460" i="14"/>
  <c r="H1461" i="14"/>
  <c r="H1462" i="14"/>
  <c r="H1463" i="14"/>
  <c r="H1464" i="14"/>
  <c r="H1465" i="14"/>
  <c r="H1466" i="14"/>
  <c r="H1467" i="14"/>
  <c r="H1468" i="14"/>
  <c r="H1469" i="14"/>
  <c r="H1470" i="14"/>
  <c r="H1471" i="14"/>
  <c r="H1472" i="14"/>
  <c r="H1473" i="14"/>
  <c r="H1474" i="14"/>
  <c r="H1475" i="14"/>
  <c r="H1476" i="14"/>
  <c r="H1477" i="14"/>
  <c r="H1478" i="14"/>
  <c r="H1479" i="14"/>
  <c r="H1480" i="14"/>
  <c r="H1481" i="14"/>
  <c r="H1482" i="14"/>
  <c r="H1483" i="14"/>
  <c r="H1484" i="14"/>
  <c r="H1485" i="14"/>
  <c r="H1486" i="14"/>
  <c r="H1487" i="14"/>
  <c r="H1488" i="14"/>
  <c r="H1489" i="14"/>
  <c r="H1490" i="14"/>
  <c r="H1491" i="14"/>
  <c r="H1492" i="14"/>
  <c r="H1493" i="14"/>
  <c r="H1494" i="14"/>
  <c r="H1495" i="14"/>
  <c r="H1496" i="14"/>
  <c r="H1497" i="14"/>
  <c r="H1498" i="14"/>
  <c r="H1499" i="14"/>
  <c r="H1500" i="14"/>
  <c r="H1501" i="14"/>
  <c r="H1502" i="14"/>
  <c r="H1503" i="14"/>
  <c r="H1504" i="14"/>
  <c r="H1505" i="14"/>
  <c r="H1506" i="14"/>
  <c r="H1507" i="14"/>
  <c r="H1508" i="14"/>
  <c r="H1509" i="14"/>
  <c r="H1510" i="14"/>
  <c r="H1511" i="14"/>
  <c r="H1512" i="14"/>
  <c r="H1513" i="14"/>
  <c r="H1514" i="14"/>
  <c r="H1515" i="14"/>
  <c r="H1516" i="14"/>
  <c r="H1517" i="14"/>
  <c r="H1518" i="14"/>
  <c r="H1519" i="14"/>
  <c r="H1520" i="14"/>
  <c r="H1521" i="14"/>
  <c r="H1522" i="14"/>
  <c r="H1523" i="14"/>
  <c r="H1524" i="14"/>
  <c r="H1525" i="14"/>
  <c r="H1526" i="14"/>
  <c r="H1527" i="14"/>
  <c r="H1528" i="14"/>
  <c r="H1529" i="14"/>
  <c r="H1530" i="14"/>
  <c r="H1531" i="14"/>
  <c r="H1532" i="14"/>
  <c r="H1533" i="14"/>
  <c r="H1534" i="14"/>
  <c r="H1535" i="14"/>
  <c r="H1536" i="14"/>
  <c r="H1537" i="14"/>
  <c r="H1538" i="14"/>
  <c r="H1539" i="14"/>
  <c r="H1540" i="14"/>
  <c r="H1541" i="14"/>
  <c r="H1542" i="14"/>
  <c r="H1543" i="14"/>
  <c r="H1544" i="14"/>
  <c r="H1545" i="14"/>
  <c r="H1546" i="14"/>
  <c r="H1547" i="14"/>
  <c r="H1548" i="14"/>
  <c r="H1549" i="14"/>
  <c r="H1550" i="14"/>
  <c r="H1551" i="14"/>
  <c r="H1552" i="14"/>
  <c r="H1553" i="14"/>
  <c r="H1554" i="14"/>
  <c r="H1555" i="14"/>
  <c r="H1556" i="14"/>
  <c r="H1557" i="14"/>
  <c r="H1558" i="14"/>
  <c r="H1559" i="14"/>
  <c r="H1560" i="14"/>
  <c r="H1561" i="14"/>
  <c r="H1562" i="14"/>
  <c r="H1563" i="14"/>
  <c r="H1564" i="14"/>
  <c r="H1565" i="14"/>
  <c r="H1566" i="14"/>
  <c r="H1567" i="14"/>
  <c r="H1568" i="14"/>
  <c r="H1569" i="14"/>
  <c r="H1570" i="14"/>
  <c r="H1571" i="14"/>
  <c r="H1572" i="14"/>
  <c r="H1573" i="14"/>
  <c r="H1574" i="14"/>
  <c r="H1575" i="14"/>
  <c r="H1576" i="14"/>
  <c r="H1577" i="14"/>
  <c r="H1578" i="14"/>
  <c r="H1579" i="14"/>
  <c r="H1580" i="14"/>
  <c r="H1581" i="14"/>
  <c r="H1582" i="14"/>
  <c r="H1583" i="14"/>
  <c r="H1584" i="14"/>
  <c r="H1585" i="14"/>
  <c r="H1586" i="14"/>
  <c r="H1587" i="14"/>
  <c r="H1588" i="14"/>
  <c r="H1589" i="14"/>
  <c r="H1590" i="14"/>
  <c r="H1591" i="14"/>
  <c r="H1592" i="14"/>
  <c r="H1593" i="14"/>
  <c r="H1594" i="14"/>
  <c r="H1595" i="14"/>
  <c r="H1596" i="14"/>
  <c r="H1597" i="14"/>
  <c r="H1598" i="14"/>
  <c r="H1599" i="14"/>
  <c r="H1600" i="14"/>
  <c r="H1601" i="14"/>
  <c r="H1602" i="14"/>
  <c r="H1603" i="14"/>
  <c r="H1604" i="14"/>
  <c r="H1605" i="14"/>
  <c r="H1606" i="14"/>
  <c r="H1607" i="14"/>
  <c r="H1608" i="14"/>
  <c r="H1609" i="14"/>
  <c r="H1610" i="14"/>
  <c r="H1611" i="14"/>
  <c r="H1612" i="14"/>
  <c r="H1613" i="14"/>
  <c r="H1614" i="14"/>
  <c r="H1615" i="14"/>
  <c r="H1616" i="14"/>
  <c r="H1617" i="14"/>
  <c r="H1618" i="14"/>
  <c r="H1619" i="14"/>
  <c r="H1620" i="14"/>
  <c r="H1621" i="14"/>
  <c r="H1622" i="14"/>
  <c r="H1623" i="14"/>
  <c r="H1624" i="14"/>
  <c r="H1625" i="14"/>
  <c r="H1626" i="14"/>
  <c r="H1627" i="14"/>
  <c r="H1628" i="14"/>
  <c r="H1629" i="14"/>
  <c r="H1630" i="14"/>
  <c r="H1631" i="14"/>
  <c r="H1632" i="14"/>
  <c r="H1633" i="14"/>
  <c r="H1634" i="14"/>
  <c r="H1635" i="14"/>
  <c r="H1636" i="14"/>
  <c r="H1637" i="14"/>
  <c r="H1638" i="14"/>
  <c r="H1639" i="14"/>
  <c r="H1640" i="14"/>
  <c r="H1641" i="14"/>
  <c r="H1642" i="14"/>
  <c r="H1643" i="14"/>
  <c r="H1644" i="14"/>
  <c r="H1645" i="14"/>
  <c r="H1646" i="14"/>
  <c r="H1647" i="14"/>
  <c r="H1648" i="14"/>
  <c r="H1649" i="14"/>
  <c r="H1650" i="14"/>
  <c r="H1651" i="14"/>
  <c r="H1652" i="14"/>
  <c r="H1653" i="14"/>
  <c r="H1654" i="14"/>
  <c r="H1655" i="14"/>
  <c r="H1656" i="14"/>
  <c r="H1657" i="14"/>
  <c r="H1658" i="14"/>
  <c r="H1659" i="14"/>
  <c r="H1660" i="14"/>
  <c r="H1661" i="14"/>
  <c r="H1662" i="14"/>
  <c r="H1663" i="14"/>
  <c r="H1664" i="14"/>
  <c r="H1665" i="14"/>
  <c r="H1666" i="14"/>
  <c r="H1667" i="14"/>
  <c r="H1668" i="14"/>
  <c r="H1669" i="14"/>
  <c r="H1670" i="14"/>
  <c r="H1671" i="14"/>
  <c r="H1672" i="14"/>
  <c r="H1673" i="14"/>
  <c r="H1674" i="14"/>
  <c r="H1675" i="14"/>
  <c r="H1676" i="14"/>
  <c r="H1677" i="14"/>
  <c r="H1678" i="14"/>
  <c r="H1679" i="14"/>
  <c r="H1680" i="14"/>
  <c r="H1681" i="14"/>
  <c r="H1682" i="14"/>
  <c r="H1683" i="14"/>
  <c r="H1684" i="14"/>
  <c r="H1685" i="14"/>
  <c r="H1686" i="14"/>
  <c r="H1687" i="14"/>
  <c r="H1688" i="14"/>
  <c r="H1689" i="14"/>
  <c r="H1690" i="14"/>
  <c r="H1691" i="14"/>
  <c r="H1692" i="14"/>
  <c r="H1693" i="14"/>
  <c r="H1694" i="14"/>
  <c r="H1695" i="14"/>
  <c r="H1696" i="14"/>
  <c r="H1697" i="14"/>
  <c r="H1698" i="14"/>
  <c r="H1699" i="14"/>
  <c r="H1700" i="14"/>
  <c r="H1701" i="14"/>
  <c r="H1702" i="14"/>
  <c r="H1703" i="14"/>
  <c r="H1704" i="14"/>
  <c r="H1705" i="14"/>
  <c r="H1706" i="14"/>
  <c r="H1707" i="14"/>
  <c r="H1708" i="14"/>
  <c r="H1709" i="14"/>
  <c r="H1710" i="14"/>
  <c r="H1711" i="14"/>
  <c r="H1712" i="14"/>
  <c r="H1713" i="14"/>
  <c r="H1714" i="14"/>
  <c r="H1715" i="14"/>
  <c r="H1716" i="14"/>
  <c r="H1717" i="14"/>
  <c r="H1718" i="14"/>
  <c r="H1719" i="14"/>
  <c r="H1720" i="14"/>
  <c r="H1721" i="14"/>
  <c r="H1722" i="14"/>
  <c r="H1723" i="14"/>
  <c r="H1724" i="14"/>
  <c r="H1725" i="14"/>
  <c r="H1726" i="14"/>
  <c r="H1727" i="14"/>
  <c r="H1728" i="14"/>
  <c r="H1729" i="14"/>
  <c r="H1730" i="14"/>
  <c r="H1731" i="14"/>
  <c r="H1732" i="14"/>
  <c r="H1733" i="14"/>
  <c r="H1734" i="14"/>
  <c r="H1735" i="14"/>
  <c r="H1736" i="14"/>
  <c r="H1737" i="14"/>
  <c r="H1738" i="14"/>
  <c r="H1739" i="14"/>
  <c r="H1740" i="14"/>
  <c r="H1741" i="14"/>
  <c r="H1742" i="14"/>
  <c r="H1743" i="14"/>
  <c r="H1744" i="14"/>
  <c r="H1745" i="14"/>
  <c r="H1746" i="14"/>
  <c r="H1747" i="14"/>
  <c r="H1748" i="14"/>
  <c r="H1749" i="14"/>
  <c r="H1750" i="14"/>
  <c r="H1751" i="14"/>
  <c r="H1752" i="14"/>
  <c r="H1753" i="14"/>
  <c r="H1754" i="14"/>
  <c r="H1755" i="14"/>
  <c r="H1756" i="14"/>
  <c r="H1757" i="14"/>
  <c r="H1758" i="14"/>
  <c r="H1759" i="14"/>
  <c r="H1760" i="14"/>
  <c r="H1761" i="14"/>
  <c r="H1762" i="14"/>
  <c r="H1763" i="14"/>
  <c r="H1764" i="14"/>
  <c r="H1765" i="14"/>
  <c r="H1766" i="14"/>
  <c r="H1767" i="14"/>
  <c r="H1768" i="14"/>
  <c r="H1769" i="14"/>
  <c r="H1770" i="14"/>
  <c r="H1771" i="14"/>
  <c r="H1772" i="14"/>
  <c r="H1773" i="14"/>
  <c r="H1774" i="14"/>
  <c r="H1775" i="14"/>
  <c r="H1776" i="14"/>
  <c r="H1777" i="14"/>
  <c r="H1778" i="14"/>
  <c r="H1779" i="14"/>
  <c r="H1780" i="14"/>
  <c r="H1781" i="14"/>
  <c r="H1782" i="14"/>
  <c r="H1783" i="14"/>
  <c r="H1784" i="14"/>
  <c r="H1785" i="14"/>
  <c r="H1786" i="14"/>
  <c r="H1787" i="14"/>
  <c r="H1788" i="14"/>
  <c r="H1789" i="14"/>
  <c r="H1790" i="14"/>
  <c r="H1791" i="14"/>
  <c r="H1792" i="14"/>
  <c r="H1793" i="14"/>
  <c r="H1794" i="14"/>
  <c r="H1795" i="14"/>
  <c r="H1796" i="14"/>
  <c r="H1797" i="14"/>
  <c r="H1798" i="14"/>
  <c r="H1799" i="14"/>
  <c r="H1800" i="14"/>
  <c r="H1801" i="14"/>
  <c r="H1802" i="14"/>
  <c r="H1803" i="14"/>
  <c r="H1804" i="14"/>
  <c r="H1805" i="14"/>
  <c r="H1806" i="14"/>
  <c r="H1807" i="14"/>
  <c r="H1808" i="14"/>
  <c r="H1809" i="14"/>
  <c r="H1810" i="14"/>
  <c r="H1811" i="14"/>
  <c r="H1812" i="14"/>
  <c r="H1813" i="14"/>
  <c r="H1814" i="14"/>
  <c r="H1815" i="14"/>
  <c r="H1816" i="14"/>
  <c r="H1817" i="14"/>
  <c r="H1818" i="14"/>
  <c r="H1819" i="14"/>
  <c r="H1820" i="14"/>
  <c r="H1821" i="14"/>
  <c r="H1822" i="14"/>
  <c r="H1823" i="14"/>
  <c r="H1824" i="14"/>
  <c r="H1825" i="14"/>
  <c r="H1826" i="14"/>
  <c r="H1827" i="14"/>
  <c r="H1828" i="14"/>
  <c r="H1829" i="14"/>
  <c r="H1830" i="14"/>
  <c r="H1831" i="14"/>
  <c r="H1832" i="14"/>
  <c r="H1833" i="14"/>
  <c r="H1834" i="14"/>
  <c r="H1835" i="14"/>
  <c r="H1836" i="14"/>
  <c r="H1837" i="14"/>
  <c r="H1838" i="14"/>
  <c r="H1839" i="14"/>
  <c r="H1840" i="14"/>
  <c r="H1841" i="14"/>
  <c r="H1842" i="14"/>
  <c r="H1843" i="14"/>
  <c r="H1844" i="14"/>
  <c r="H1845" i="14"/>
  <c r="H1846" i="14"/>
  <c r="H1847" i="14"/>
  <c r="H1848" i="14"/>
  <c r="H1849" i="14"/>
  <c r="H1850" i="14"/>
  <c r="H1851" i="14"/>
  <c r="H1852" i="14"/>
  <c r="H1853" i="14"/>
  <c r="H1854" i="14"/>
  <c r="H1855" i="14"/>
  <c r="H1856" i="14"/>
  <c r="H1857" i="14"/>
  <c r="H1858" i="14"/>
  <c r="H1859" i="14"/>
  <c r="H1860" i="14"/>
  <c r="H1861" i="14"/>
  <c r="H1862" i="14"/>
  <c r="H1863" i="14"/>
  <c r="H1864" i="14"/>
  <c r="H1865" i="14"/>
  <c r="H1866" i="14"/>
  <c r="H1867" i="14"/>
  <c r="H1868" i="14"/>
  <c r="H1869" i="14"/>
  <c r="H1870" i="14"/>
  <c r="H1871" i="14"/>
  <c r="H1872" i="14"/>
  <c r="H1873" i="14"/>
  <c r="H1874" i="14"/>
  <c r="H1875" i="14"/>
  <c r="H1876" i="14"/>
  <c r="H1877" i="14"/>
  <c r="H1878" i="14"/>
  <c r="H1879" i="14"/>
  <c r="H1880" i="14"/>
  <c r="H1881" i="14"/>
  <c r="H1882" i="14"/>
  <c r="H1883" i="14"/>
  <c r="H1884" i="14"/>
  <c r="H1885" i="14"/>
  <c r="H1886" i="14"/>
  <c r="H1887" i="14"/>
  <c r="H1888" i="14"/>
  <c r="H1889" i="14"/>
  <c r="H1890" i="14"/>
  <c r="H1891" i="14"/>
  <c r="H1892" i="14"/>
  <c r="H1893" i="14"/>
  <c r="H1894" i="14"/>
  <c r="H1895" i="14"/>
  <c r="H1896" i="14"/>
  <c r="H1897" i="14"/>
  <c r="H1898" i="14"/>
  <c r="H1899" i="14"/>
  <c r="H1900" i="14"/>
  <c r="H1901" i="14"/>
  <c r="H1902" i="14"/>
  <c r="H1903" i="14"/>
  <c r="H1904" i="14"/>
  <c r="H1905" i="14"/>
  <c r="H1906" i="14"/>
  <c r="H1907" i="14"/>
  <c r="H1908" i="14"/>
  <c r="H1909" i="14"/>
  <c r="H1910" i="14"/>
  <c r="H1911" i="14"/>
  <c r="H1912" i="14"/>
  <c r="H1913" i="14"/>
  <c r="H1914" i="14"/>
  <c r="H1915" i="14"/>
  <c r="H1916" i="14"/>
  <c r="H1917" i="14"/>
  <c r="H1918" i="14"/>
  <c r="H1919" i="14"/>
  <c r="H1920" i="14"/>
  <c r="H1921" i="14"/>
  <c r="H1922" i="14"/>
  <c r="H1923" i="14"/>
  <c r="H1924" i="14"/>
  <c r="H1925" i="14"/>
  <c r="H1926" i="14"/>
  <c r="H1927" i="14"/>
  <c r="H1928" i="14"/>
  <c r="H1929" i="14"/>
  <c r="H1930" i="14"/>
  <c r="H1931" i="14"/>
  <c r="H1932" i="14"/>
  <c r="H1933" i="14"/>
  <c r="H1934" i="14"/>
  <c r="H1935" i="14"/>
  <c r="H1936" i="14"/>
  <c r="H1937" i="14"/>
  <c r="H1938" i="14"/>
  <c r="H1939" i="14"/>
  <c r="H1940" i="14"/>
  <c r="H1941" i="14"/>
  <c r="H1942" i="14"/>
  <c r="H1943" i="14"/>
  <c r="H1944" i="14"/>
  <c r="H1945" i="14"/>
  <c r="H1946" i="14"/>
  <c r="H1947" i="14"/>
  <c r="H1948" i="14"/>
  <c r="H1949" i="14"/>
  <c r="H1950" i="14"/>
  <c r="H1951" i="14"/>
  <c r="H1952" i="14"/>
  <c r="H1953" i="14"/>
  <c r="H1954" i="14"/>
  <c r="H1955" i="14"/>
  <c r="H1956" i="14"/>
  <c r="H1957" i="14"/>
  <c r="H1958" i="14"/>
  <c r="H1959" i="14"/>
  <c r="H1960" i="14"/>
  <c r="H1961" i="14"/>
  <c r="H1962" i="14"/>
  <c r="H1963" i="14"/>
  <c r="H1964" i="14"/>
  <c r="H1965" i="14"/>
  <c r="H1966" i="14"/>
  <c r="H1967" i="14"/>
  <c r="H1968" i="14"/>
  <c r="H1969" i="14"/>
  <c r="H1970" i="14"/>
  <c r="H1971" i="14"/>
  <c r="H1972" i="14"/>
  <c r="H1973" i="14"/>
  <c r="H1974" i="14"/>
  <c r="H1975" i="14"/>
  <c r="H1976" i="14"/>
  <c r="H1977" i="14"/>
  <c r="H1978" i="14"/>
  <c r="H1979" i="14"/>
  <c r="H1980" i="14"/>
  <c r="H1981" i="14"/>
  <c r="H1982" i="14"/>
  <c r="H1983" i="14"/>
  <c r="H1984" i="14"/>
  <c r="H1985" i="14"/>
  <c r="H1986" i="14"/>
  <c r="H1987" i="14"/>
  <c r="H1988" i="14"/>
  <c r="H1989" i="14"/>
  <c r="H1990" i="14"/>
  <c r="H1991" i="14"/>
  <c r="H1992" i="14"/>
  <c r="H1993" i="14"/>
  <c r="H1994" i="14"/>
  <c r="H1995" i="14"/>
  <c r="H1996" i="14"/>
  <c r="H1997" i="14"/>
  <c r="H1998" i="14"/>
  <c r="H1999" i="14"/>
  <c r="H2000" i="14"/>
  <c r="H2001" i="14"/>
  <c r="H2002" i="14"/>
  <c r="H2003" i="14"/>
  <c r="H2004" i="14"/>
  <c r="H2005" i="14"/>
  <c r="H2006" i="14"/>
  <c r="H2007" i="14"/>
  <c r="H2008" i="14"/>
  <c r="H2009" i="14"/>
  <c r="H2010" i="14"/>
  <c r="H2011" i="14"/>
  <c r="H2012" i="14"/>
  <c r="H2013" i="14"/>
  <c r="H2014" i="14"/>
  <c r="H2015" i="14"/>
  <c r="H2016" i="14"/>
  <c r="H2017" i="14"/>
  <c r="H2018" i="14"/>
  <c r="H2019" i="14"/>
  <c r="H2020" i="14"/>
  <c r="H2021" i="14"/>
  <c r="H2022" i="14"/>
  <c r="H2023" i="14"/>
  <c r="H2024" i="14"/>
  <c r="H2025" i="14"/>
  <c r="H2026" i="14"/>
  <c r="H2027" i="14"/>
  <c r="H2028" i="14"/>
  <c r="H2029" i="14"/>
  <c r="H2030" i="14"/>
  <c r="H2031" i="14"/>
  <c r="H2032" i="14"/>
  <c r="H2033" i="14"/>
  <c r="H2034" i="14"/>
  <c r="H2035" i="14"/>
  <c r="H2036" i="14"/>
  <c r="H2037" i="14"/>
  <c r="H2038" i="14"/>
  <c r="H2039" i="14"/>
  <c r="H2040" i="14"/>
  <c r="H2041" i="14"/>
  <c r="H2042" i="14"/>
  <c r="H2043" i="14"/>
  <c r="H2044" i="14"/>
  <c r="H2045" i="14"/>
  <c r="H2046" i="14"/>
  <c r="H2047" i="14"/>
  <c r="H2048" i="14"/>
  <c r="H2049" i="14"/>
  <c r="H2050" i="14"/>
  <c r="H2051" i="14"/>
  <c r="H2052" i="14"/>
  <c r="H2053" i="14"/>
  <c r="H2054" i="14"/>
  <c r="H2055" i="14"/>
  <c r="H2056" i="14"/>
  <c r="H2057" i="14"/>
  <c r="H2058" i="14"/>
  <c r="H2059" i="14"/>
  <c r="H2060" i="14"/>
  <c r="H2061" i="14"/>
  <c r="H2062" i="14"/>
  <c r="H2063" i="14"/>
  <c r="H2064" i="14"/>
  <c r="H2065" i="14"/>
  <c r="H2066" i="14"/>
  <c r="H2067" i="14"/>
  <c r="H2068" i="14"/>
  <c r="H2069" i="14"/>
  <c r="H2070" i="14"/>
  <c r="H2071" i="14"/>
  <c r="H2072" i="14"/>
  <c r="H2073" i="14"/>
  <c r="H2074" i="14"/>
  <c r="H2075" i="14"/>
  <c r="H2076" i="14"/>
  <c r="H2077" i="14"/>
  <c r="H2078" i="14"/>
  <c r="H2079" i="14"/>
  <c r="H2080" i="14"/>
  <c r="H2081" i="14"/>
  <c r="H2082" i="14"/>
  <c r="H2083" i="14"/>
  <c r="H2084" i="14"/>
  <c r="H2085" i="14"/>
  <c r="H2086" i="14"/>
  <c r="H2087" i="14"/>
  <c r="H2088" i="14"/>
  <c r="H2089" i="14"/>
  <c r="H2090" i="14"/>
  <c r="H2091" i="14"/>
  <c r="H2092" i="14"/>
  <c r="H2093" i="14"/>
  <c r="H2094" i="14"/>
  <c r="H2095" i="14"/>
  <c r="H2096" i="14"/>
  <c r="H2097" i="14"/>
  <c r="H2098" i="14"/>
  <c r="H2099" i="14"/>
  <c r="H2100" i="14"/>
  <c r="H2101" i="14"/>
  <c r="H2102" i="14"/>
  <c r="H2103" i="14"/>
  <c r="H2104" i="14"/>
  <c r="H2105" i="14"/>
  <c r="H2106" i="14"/>
  <c r="H2107" i="14"/>
  <c r="H2108" i="14"/>
  <c r="H2109" i="14"/>
  <c r="H2110" i="14"/>
  <c r="H2111" i="14"/>
  <c r="H2112" i="14"/>
  <c r="H2113" i="14"/>
  <c r="H2114" i="14"/>
  <c r="H2115" i="14"/>
  <c r="H2116" i="14"/>
  <c r="H2117" i="14"/>
  <c r="H2118" i="14"/>
  <c r="H2119" i="14"/>
  <c r="H2120" i="14"/>
  <c r="H2121" i="14"/>
  <c r="H2122" i="14"/>
  <c r="H2123" i="14"/>
  <c r="H2124" i="14"/>
  <c r="H2125" i="14"/>
  <c r="H2126" i="14"/>
  <c r="H2127" i="14"/>
  <c r="H2128" i="14"/>
  <c r="H2129" i="14"/>
  <c r="H2130" i="14"/>
  <c r="H2131" i="14"/>
  <c r="H2132" i="14"/>
  <c r="H2133" i="14"/>
  <c r="H2134" i="14"/>
  <c r="H2135" i="14"/>
  <c r="H2136" i="14"/>
  <c r="H2137" i="14"/>
  <c r="H2138" i="14"/>
  <c r="H2139" i="14"/>
  <c r="H2140" i="14"/>
  <c r="H2141" i="14"/>
  <c r="H2142" i="14"/>
  <c r="H2143" i="14"/>
  <c r="H2144" i="14"/>
  <c r="H2145" i="14"/>
  <c r="H2146" i="14"/>
  <c r="H2147" i="14"/>
  <c r="H2148" i="14"/>
  <c r="H2149" i="14"/>
  <c r="H2150" i="14"/>
  <c r="H2151" i="14"/>
  <c r="H2152" i="14"/>
  <c r="H2153" i="14"/>
  <c r="H2154" i="14"/>
  <c r="H2155" i="14"/>
  <c r="H2156" i="14"/>
  <c r="H2157" i="14"/>
  <c r="H2158" i="14"/>
  <c r="H2159" i="14"/>
  <c r="H2160" i="14"/>
  <c r="H2161" i="14"/>
  <c r="H2162" i="14"/>
  <c r="H2163" i="14"/>
  <c r="H2164" i="14"/>
  <c r="H2165" i="14"/>
  <c r="H2166" i="14"/>
  <c r="H2167" i="14"/>
  <c r="H2168" i="14"/>
  <c r="H2169" i="14"/>
  <c r="H2170" i="14"/>
  <c r="H2171" i="14"/>
  <c r="H2172" i="14"/>
  <c r="H2173" i="14"/>
  <c r="H2174" i="14"/>
  <c r="H2175" i="14"/>
  <c r="H2176" i="14"/>
  <c r="H2177" i="14"/>
  <c r="H2178" i="14"/>
  <c r="H2179" i="14"/>
  <c r="H2180" i="14"/>
  <c r="H2181" i="14"/>
  <c r="H2182" i="14"/>
  <c r="H2183" i="14"/>
  <c r="H2184" i="14"/>
  <c r="H2185" i="14"/>
  <c r="H2186" i="14"/>
  <c r="H2187" i="14"/>
  <c r="H2188" i="14"/>
  <c r="H2189" i="14"/>
  <c r="H2190" i="14"/>
  <c r="H2191" i="14"/>
  <c r="H2192" i="14"/>
  <c r="H2193" i="14"/>
  <c r="H2194" i="14"/>
  <c r="H2195" i="14"/>
  <c r="H2196" i="14"/>
  <c r="H2197" i="14"/>
  <c r="H2198" i="14"/>
  <c r="H2199" i="14"/>
  <c r="H2200" i="14"/>
  <c r="H2201" i="14"/>
  <c r="H2202" i="14"/>
  <c r="H2203" i="14"/>
  <c r="H2204" i="14"/>
  <c r="H2205" i="14"/>
  <c r="H2206" i="14"/>
  <c r="H2207" i="14"/>
  <c r="H2208" i="14"/>
  <c r="H2209" i="14"/>
  <c r="H2210" i="14"/>
  <c r="H2211" i="14"/>
  <c r="H2212" i="14"/>
  <c r="H2213" i="14"/>
  <c r="H2214" i="14"/>
  <c r="H2215" i="14"/>
  <c r="H2216" i="14"/>
  <c r="H2217" i="14"/>
  <c r="H2218" i="14"/>
  <c r="H2219" i="14"/>
  <c r="H2220" i="14"/>
  <c r="H2221" i="14"/>
  <c r="H2222" i="14"/>
  <c r="H2223" i="14"/>
  <c r="H2224" i="14"/>
  <c r="H2225" i="14"/>
  <c r="H2226" i="14"/>
  <c r="H2227" i="14"/>
  <c r="H2228" i="14"/>
  <c r="H2229" i="14"/>
  <c r="H2230" i="14"/>
  <c r="H2231" i="14"/>
  <c r="H2232" i="14"/>
  <c r="H2233" i="14"/>
  <c r="H2234" i="14"/>
  <c r="H2235" i="14"/>
  <c r="H2236" i="14"/>
  <c r="H2237" i="14"/>
  <c r="H2238" i="14"/>
  <c r="H2239" i="14"/>
  <c r="H2240" i="14"/>
  <c r="H2241" i="14"/>
  <c r="H2242" i="14"/>
  <c r="H2243" i="14"/>
  <c r="H2244" i="14"/>
  <c r="H2245" i="14"/>
  <c r="H2246" i="14"/>
  <c r="H2247" i="14"/>
  <c r="H2248" i="14"/>
  <c r="H2249" i="14"/>
  <c r="H2250" i="14"/>
  <c r="H2251" i="14"/>
  <c r="H2252" i="14"/>
  <c r="H2253" i="14"/>
  <c r="H2254" i="14"/>
  <c r="H2255" i="14"/>
  <c r="H2256" i="14"/>
  <c r="H2257" i="14"/>
  <c r="H2258" i="14"/>
  <c r="H2259" i="14"/>
  <c r="H2260" i="14"/>
  <c r="H2261" i="14"/>
  <c r="H2262" i="14"/>
  <c r="H2263" i="14"/>
  <c r="H2264" i="14"/>
  <c r="H2265" i="14"/>
  <c r="H2266" i="14"/>
  <c r="H2267" i="14"/>
  <c r="H2268" i="14"/>
  <c r="H2269" i="14"/>
  <c r="H2270" i="14"/>
  <c r="H2271" i="14"/>
  <c r="H2272" i="14"/>
  <c r="H2273" i="14"/>
  <c r="H2274" i="14"/>
  <c r="H2275" i="14"/>
  <c r="H2276" i="14"/>
  <c r="H2277" i="14"/>
  <c r="H2278" i="14"/>
  <c r="H2279" i="14"/>
  <c r="H2280" i="14"/>
  <c r="H2281" i="14"/>
  <c r="H2282" i="14"/>
  <c r="H2283" i="14"/>
  <c r="H2284" i="14"/>
  <c r="H2285" i="14"/>
  <c r="H2286" i="14"/>
  <c r="H2287" i="14"/>
  <c r="H2288" i="14"/>
  <c r="H2289" i="14"/>
  <c r="H2290" i="14"/>
  <c r="H2291" i="14"/>
  <c r="H2292" i="14"/>
  <c r="H2293" i="14"/>
  <c r="H2294" i="14"/>
  <c r="H2295" i="14"/>
  <c r="H2296" i="14"/>
  <c r="H2297" i="14"/>
  <c r="H2298" i="14"/>
  <c r="H2299" i="14"/>
  <c r="H2300" i="14"/>
  <c r="H2301" i="14"/>
  <c r="H2302" i="14"/>
  <c r="H2303" i="14"/>
  <c r="H2304" i="14"/>
  <c r="H2305" i="14"/>
  <c r="H2306" i="14"/>
  <c r="H2307" i="14"/>
  <c r="H2308" i="14"/>
  <c r="H2309" i="14"/>
  <c r="H2310" i="14"/>
  <c r="H2311" i="14"/>
  <c r="H2312" i="14"/>
  <c r="H2313" i="14"/>
  <c r="H2314" i="14"/>
  <c r="H2315" i="14"/>
  <c r="H2316" i="14"/>
  <c r="H2317" i="14"/>
  <c r="H2318" i="14"/>
  <c r="H2319" i="14"/>
  <c r="H2320" i="14"/>
  <c r="H2321" i="14"/>
  <c r="H2322" i="14"/>
  <c r="H2323" i="14"/>
  <c r="H2324" i="14"/>
  <c r="H2325" i="14"/>
  <c r="H2326" i="14"/>
  <c r="H2327" i="14"/>
  <c r="H2328" i="14"/>
  <c r="H2329" i="14"/>
  <c r="H2330" i="14"/>
  <c r="H2331" i="14"/>
  <c r="H2332" i="14"/>
  <c r="H2333" i="14"/>
  <c r="H2334" i="14"/>
  <c r="H2335" i="14"/>
  <c r="H2336" i="14"/>
  <c r="H2337" i="14"/>
  <c r="H2338" i="14"/>
  <c r="H2339" i="14"/>
  <c r="H2340" i="14"/>
  <c r="H2341" i="14"/>
  <c r="H2342" i="14"/>
  <c r="H2343" i="14"/>
  <c r="H2344" i="14"/>
  <c r="H2345" i="14"/>
  <c r="H2346" i="14"/>
  <c r="H2347" i="14"/>
  <c r="H2348" i="14"/>
  <c r="H2349" i="14"/>
  <c r="H2350" i="14"/>
  <c r="H2351" i="14"/>
  <c r="H2352" i="14"/>
  <c r="H2353" i="14"/>
  <c r="H2354" i="14"/>
  <c r="H2355" i="14"/>
  <c r="H2356" i="14"/>
  <c r="H2357" i="14"/>
  <c r="H2358" i="14"/>
  <c r="H2359" i="14"/>
  <c r="H2360" i="14"/>
  <c r="H2361" i="14"/>
  <c r="H2362" i="14"/>
  <c r="H2363" i="14"/>
  <c r="H2364" i="14"/>
  <c r="H2365" i="14"/>
  <c r="H2366" i="14"/>
  <c r="H2367" i="14"/>
  <c r="H2368" i="14"/>
  <c r="H2369" i="14"/>
  <c r="H2370" i="14"/>
  <c r="H2371" i="14"/>
  <c r="H2372" i="14"/>
  <c r="H2373" i="14"/>
  <c r="H2374" i="14"/>
  <c r="H2375" i="14"/>
  <c r="H2376" i="14"/>
  <c r="H2377" i="14"/>
  <c r="H2378" i="14"/>
  <c r="H2379" i="14"/>
  <c r="H2380" i="14"/>
  <c r="H2381" i="14"/>
  <c r="H2382" i="14"/>
  <c r="H2383" i="14"/>
  <c r="H2384" i="14"/>
  <c r="H2385" i="14"/>
  <c r="H2386" i="14"/>
  <c r="H2387" i="14"/>
  <c r="H2388" i="14"/>
  <c r="H2389" i="14"/>
  <c r="H2390" i="14"/>
  <c r="H2391" i="14"/>
  <c r="H2392" i="14"/>
  <c r="H2393" i="14"/>
  <c r="H2394" i="14"/>
  <c r="H2395" i="14"/>
  <c r="H2396" i="14"/>
  <c r="H2397" i="14"/>
  <c r="H2398" i="14"/>
  <c r="H2399" i="14"/>
  <c r="H2400" i="14"/>
  <c r="H2401" i="14"/>
  <c r="H2402" i="14"/>
  <c r="H2403" i="14"/>
  <c r="H2404" i="14"/>
  <c r="H2405" i="14"/>
  <c r="H2406" i="14"/>
  <c r="H2407" i="14"/>
  <c r="H2408" i="14"/>
  <c r="H2409" i="14"/>
  <c r="H2410" i="14"/>
  <c r="H2411" i="14"/>
  <c r="H2412" i="14"/>
  <c r="H2413" i="14"/>
  <c r="H2414" i="14"/>
  <c r="H2415" i="14"/>
  <c r="H2416" i="14"/>
  <c r="H2417" i="14"/>
  <c r="H2418" i="14"/>
  <c r="H2419" i="14"/>
  <c r="H2420" i="14"/>
  <c r="H2421" i="14"/>
  <c r="H2422" i="14"/>
  <c r="H2423" i="14"/>
  <c r="H2424" i="14"/>
  <c r="H2425" i="14"/>
  <c r="H2426" i="14"/>
  <c r="H2427" i="14"/>
  <c r="H2428" i="14"/>
  <c r="H2429" i="14"/>
  <c r="H2430" i="14"/>
  <c r="H2431" i="14"/>
  <c r="H2432" i="14"/>
  <c r="H2433" i="14"/>
  <c r="H2434" i="14"/>
  <c r="H2435" i="14"/>
  <c r="H2436" i="14"/>
  <c r="H2437" i="14"/>
  <c r="H2438" i="14"/>
  <c r="H2439" i="14"/>
  <c r="H2440" i="14"/>
  <c r="H2441" i="14"/>
  <c r="H2442" i="14"/>
  <c r="H2443" i="14"/>
  <c r="H2444" i="14"/>
  <c r="H2445" i="14"/>
  <c r="H2446" i="14"/>
  <c r="H2447" i="14"/>
  <c r="H2448" i="14"/>
  <c r="H2449" i="14"/>
  <c r="H2450" i="14"/>
  <c r="H2451" i="14"/>
  <c r="H2452" i="14"/>
  <c r="H2453" i="14"/>
  <c r="H2454" i="14"/>
  <c r="H2455" i="14"/>
  <c r="H2456" i="14"/>
  <c r="H2457" i="14"/>
  <c r="H2458" i="14"/>
  <c r="H2459" i="14"/>
  <c r="H2460" i="14"/>
  <c r="H2461" i="14"/>
  <c r="H2462" i="14"/>
  <c r="H2463" i="14"/>
  <c r="H2464" i="14"/>
  <c r="H2465" i="14"/>
  <c r="H2466" i="14"/>
  <c r="H2467" i="14"/>
  <c r="H2468" i="14"/>
  <c r="H2469" i="14"/>
  <c r="H2470" i="14"/>
  <c r="H2471" i="14"/>
  <c r="H2472" i="14"/>
  <c r="H2473" i="14"/>
  <c r="H2474" i="14"/>
  <c r="H2475" i="14"/>
  <c r="H2476" i="14"/>
  <c r="H2477" i="14"/>
  <c r="H2478" i="14"/>
  <c r="H2479" i="14"/>
  <c r="H2480" i="14"/>
  <c r="H2481" i="14"/>
  <c r="H2482" i="14"/>
  <c r="H2483" i="14"/>
  <c r="H2484" i="14"/>
  <c r="H2485" i="14"/>
  <c r="H2486" i="14"/>
  <c r="H2487" i="14"/>
  <c r="H2488" i="14"/>
  <c r="H2489" i="14"/>
  <c r="H2490" i="14"/>
  <c r="H2491" i="14"/>
  <c r="H2492" i="14"/>
  <c r="H2493" i="14"/>
  <c r="H2494" i="14"/>
  <c r="H2495" i="14"/>
  <c r="H2496" i="14"/>
  <c r="H2497" i="14"/>
  <c r="H2498" i="14"/>
  <c r="H2499" i="14"/>
  <c r="H2500" i="14"/>
  <c r="H2501" i="14"/>
  <c r="H2502" i="14"/>
  <c r="H2503" i="14"/>
  <c r="H2504" i="14"/>
  <c r="H2505" i="14"/>
  <c r="H2506" i="14"/>
  <c r="H2507" i="14"/>
  <c r="H2508" i="14"/>
  <c r="H2509" i="14"/>
  <c r="H2510" i="14"/>
  <c r="H2511" i="14"/>
  <c r="H2512" i="14"/>
  <c r="H2513" i="14"/>
  <c r="H2514" i="14"/>
  <c r="H2515" i="14"/>
  <c r="H2516" i="14"/>
  <c r="H2517" i="14"/>
  <c r="H2518" i="14"/>
  <c r="H2519" i="14"/>
  <c r="H2520" i="14"/>
  <c r="H2521" i="14"/>
  <c r="H2522" i="14"/>
  <c r="H2523" i="14"/>
  <c r="H2524" i="14"/>
  <c r="H2525" i="14"/>
  <c r="H2526" i="14"/>
  <c r="H2527" i="14"/>
  <c r="H2528" i="14"/>
  <c r="H2529" i="14"/>
  <c r="H2530" i="14"/>
  <c r="H2531" i="14"/>
  <c r="H2532" i="14"/>
  <c r="H2533" i="14"/>
  <c r="H2534" i="14"/>
  <c r="H2535" i="14"/>
  <c r="H2536" i="14"/>
  <c r="H2537" i="14"/>
  <c r="H2538" i="14"/>
  <c r="H2539" i="14"/>
  <c r="H2540" i="14"/>
  <c r="H2541" i="14"/>
  <c r="H2542" i="14"/>
  <c r="H2543" i="14"/>
  <c r="H2544" i="14"/>
  <c r="H2545" i="14"/>
  <c r="H2546" i="14"/>
  <c r="H2547" i="14"/>
  <c r="H2548" i="14"/>
  <c r="H2549" i="14"/>
  <c r="H2550" i="14"/>
  <c r="H2551" i="14"/>
  <c r="H2552" i="14"/>
  <c r="H2553" i="14"/>
  <c r="H2554" i="14"/>
  <c r="H2555" i="14"/>
  <c r="H2556" i="14"/>
  <c r="H2557" i="14"/>
  <c r="H2558" i="14"/>
  <c r="H2559" i="14"/>
  <c r="H2560" i="14"/>
  <c r="H2561" i="14"/>
  <c r="H2562" i="14"/>
  <c r="H2563" i="14"/>
  <c r="H2564" i="14"/>
  <c r="H2565" i="14"/>
  <c r="H2566" i="14"/>
  <c r="H2567" i="14"/>
  <c r="H2568" i="14"/>
  <c r="H2569" i="14"/>
  <c r="H2570" i="14"/>
  <c r="H2571" i="14"/>
  <c r="H2572" i="14"/>
  <c r="H2573" i="14"/>
  <c r="H2574" i="14"/>
  <c r="H2575" i="14"/>
  <c r="H2576" i="14"/>
  <c r="H2577" i="14"/>
  <c r="H2578" i="14"/>
  <c r="H2579" i="14"/>
  <c r="H2580" i="14"/>
  <c r="H2581" i="14"/>
  <c r="H2582" i="14"/>
  <c r="H2583" i="14"/>
  <c r="H2584" i="14"/>
  <c r="H2585" i="14"/>
  <c r="H2586" i="14"/>
  <c r="H2587" i="14"/>
  <c r="H2588" i="14"/>
  <c r="H2589" i="14"/>
  <c r="H2590" i="14"/>
  <c r="H2591" i="14"/>
  <c r="H2592" i="14"/>
  <c r="H2593" i="14"/>
  <c r="H2594" i="14"/>
  <c r="H2595" i="14"/>
  <c r="H2596" i="14"/>
  <c r="H2597" i="14"/>
  <c r="H2598" i="14"/>
  <c r="H2599" i="14"/>
  <c r="H2600" i="14"/>
  <c r="H2601" i="14"/>
  <c r="H2602" i="14"/>
  <c r="H2603" i="14"/>
  <c r="H2604" i="14"/>
  <c r="H2605" i="14"/>
  <c r="H2606" i="14"/>
  <c r="H2607" i="14"/>
  <c r="H2608" i="14"/>
  <c r="H2609" i="14"/>
  <c r="H2610" i="14"/>
  <c r="H2611" i="14"/>
  <c r="H2612" i="14"/>
  <c r="H2613" i="14"/>
  <c r="H2614" i="14"/>
  <c r="H2615" i="14"/>
  <c r="H2616" i="14"/>
  <c r="H2617" i="14"/>
  <c r="H2618" i="14"/>
  <c r="H2619" i="14"/>
  <c r="H2620" i="14"/>
  <c r="H2621" i="14"/>
  <c r="H2622" i="14"/>
  <c r="H2623" i="14"/>
  <c r="H2624" i="14"/>
  <c r="H2625" i="14"/>
  <c r="H2626" i="14"/>
  <c r="H2627" i="14"/>
  <c r="H2628" i="14"/>
  <c r="H2629" i="14"/>
  <c r="H2630" i="14"/>
  <c r="H2631" i="14"/>
  <c r="H2632" i="14"/>
  <c r="H2633" i="14"/>
  <c r="H2634" i="14"/>
  <c r="H2635" i="14"/>
  <c r="H2636" i="14"/>
  <c r="H2637" i="14"/>
  <c r="H2638" i="14"/>
  <c r="H2639" i="14"/>
  <c r="H2640" i="14"/>
  <c r="H2641" i="14"/>
  <c r="H2642" i="14"/>
  <c r="H2643" i="14"/>
  <c r="H2644" i="14"/>
  <c r="H2645" i="14"/>
  <c r="H2646" i="14"/>
  <c r="H2647" i="14"/>
  <c r="H2648" i="14"/>
  <c r="H2649" i="14"/>
  <c r="H2650" i="14"/>
  <c r="H2651" i="14"/>
  <c r="H2652" i="14"/>
  <c r="H2653" i="14"/>
  <c r="H2654" i="14"/>
  <c r="H2655" i="14"/>
  <c r="H2656" i="14"/>
  <c r="H2657" i="14"/>
  <c r="H2658" i="14"/>
  <c r="H2659" i="14"/>
  <c r="H2660" i="14"/>
  <c r="H2661" i="14"/>
  <c r="H2662" i="14"/>
  <c r="H2663" i="14"/>
  <c r="H2664" i="14"/>
  <c r="H2665" i="14"/>
  <c r="H2666" i="14"/>
  <c r="H2667" i="14"/>
  <c r="H2668" i="14"/>
  <c r="H2669" i="14"/>
  <c r="H2670" i="14"/>
  <c r="H2671" i="14"/>
  <c r="H2672" i="14"/>
  <c r="H2673" i="14"/>
  <c r="H2674" i="14"/>
  <c r="H2675" i="14"/>
  <c r="H2676" i="14"/>
  <c r="H2677" i="14"/>
  <c r="H2678" i="14"/>
  <c r="H2679" i="14"/>
  <c r="H2680" i="14"/>
  <c r="H2681" i="14"/>
  <c r="H2682" i="14"/>
  <c r="H2683" i="14"/>
  <c r="H2684" i="14"/>
  <c r="H2685" i="14"/>
  <c r="H2686" i="14"/>
  <c r="H2687" i="14"/>
  <c r="H2688" i="14"/>
  <c r="H2689" i="14"/>
  <c r="H2690" i="14"/>
  <c r="H2691" i="14"/>
  <c r="H2692" i="14"/>
  <c r="H2693" i="14"/>
  <c r="H2694" i="14"/>
  <c r="H2695" i="14"/>
  <c r="H2696" i="14"/>
  <c r="H2697" i="14"/>
  <c r="H2698" i="14"/>
  <c r="H2699" i="14"/>
  <c r="H2700" i="14"/>
  <c r="H2701" i="14"/>
  <c r="H2702" i="14"/>
  <c r="H2703" i="14"/>
  <c r="H2704" i="14"/>
  <c r="H2705" i="14"/>
  <c r="H2706" i="14"/>
  <c r="H2707" i="14"/>
  <c r="H2708" i="14"/>
  <c r="H2709" i="14"/>
  <c r="H2710" i="14"/>
  <c r="H2711" i="14"/>
  <c r="H2712" i="14"/>
  <c r="H2713" i="14"/>
  <c r="H2714" i="14"/>
  <c r="H2715" i="14"/>
  <c r="H2716" i="14"/>
  <c r="H2717" i="14"/>
  <c r="H2718" i="14"/>
  <c r="H2719" i="14"/>
  <c r="H2720" i="14"/>
  <c r="H2721" i="14"/>
  <c r="H2722" i="14"/>
  <c r="H2723" i="14"/>
  <c r="H2724" i="14"/>
  <c r="H2725" i="14"/>
  <c r="H2726" i="14"/>
  <c r="H2727" i="14"/>
  <c r="H2728" i="14"/>
  <c r="H2729" i="14"/>
  <c r="H2730" i="14"/>
  <c r="H2731" i="14"/>
  <c r="H2732" i="14"/>
  <c r="H2733" i="14"/>
  <c r="H2734" i="14"/>
  <c r="H2735" i="14"/>
  <c r="H2736" i="14"/>
  <c r="H2737" i="14"/>
  <c r="H2738" i="14"/>
  <c r="H2739" i="14"/>
  <c r="H2740" i="14"/>
  <c r="H2741" i="14"/>
  <c r="H2742" i="14"/>
  <c r="H2743" i="14"/>
  <c r="H2744" i="14"/>
  <c r="H2745" i="14"/>
  <c r="H2746" i="14"/>
  <c r="H2747" i="14"/>
  <c r="H2748" i="14"/>
  <c r="H2749" i="14"/>
  <c r="H2750" i="14"/>
  <c r="H2751" i="14"/>
  <c r="H2752" i="14"/>
  <c r="H2753" i="14"/>
  <c r="H2754" i="14"/>
  <c r="H2755" i="14"/>
  <c r="H2756" i="14"/>
  <c r="H2757" i="14"/>
  <c r="H2758" i="14"/>
  <c r="H2759" i="14"/>
  <c r="H2760" i="14"/>
  <c r="H2761" i="14"/>
  <c r="H2762" i="14"/>
  <c r="H2763" i="14"/>
  <c r="H2764" i="14"/>
  <c r="H2765" i="14"/>
  <c r="H2766" i="14"/>
  <c r="H2767" i="14"/>
  <c r="H2768" i="14"/>
  <c r="H2769" i="14"/>
  <c r="H2770" i="14"/>
  <c r="H2771" i="14"/>
  <c r="H2772" i="14"/>
  <c r="H2773" i="14"/>
  <c r="H2774" i="14"/>
  <c r="H2775" i="14"/>
  <c r="H2776" i="14"/>
  <c r="H2777" i="14"/>
  <c r="H2778" i="14"/>
  <c r="H2779" i="14"/>
  <c r="H2780" i="14"/>
  <c r="H2781" i="14"/>
  <c r="H2782" i="14"/>
  <c r="H2783" i="14"/>
  <c r="H2784" i="14"/>
  <c r="H2785" i="14"/>
  <c r="H2786" i="14"/>
  <c r="H2787" i="14"/>
  <c r="H2788" i="14"/>
  <c r="H2789" i="14"/>
  <c r="H2790" i="14"/>
  <c r="H2791" i="14"/>
  <c r="H2792" i="14"/>
  <c r="H2793" i="14"/>
  <c r="H2794" i="14"/>
  <c r="H2795" i="14"/>
  <c r="H2796" i="14"/>
  <c r="H2797" i="14"/>
  <c r="H2798" i="14"/>
  <c r="H2799" i="14"/>
  <c r="H2800" i="14"/>
  <c r="H2801" i="14"/>
  <c r="H2802" i="14"/>
  <c r="H2803" i="14"/>
  <c r="H2804" i="14"/>
  <c r="H2805" i="14"/>
  <c r="H2806" i="14"/>
  <c r="H2807" i="14"/>
  <c r="H2808" i="14"/>
  <c r="H2809" i="14"/>
  <c r="H2810" i="14"/>
  <c r="H2811" i="14"/>
  <c r="H2812" i="14"/>
  <c r="H2813" i="14"/>
  <c r="H2814" i="14"/>
  <c r="H2815" i="14"/>
  <c r="H2816" i="14"/>
  <c r="H2817" i="14"/>
  <c r="H2818" i="14"/>
  <c r="H2819" i="14"/>
  <c r="H2820" i="14"/>
  <c r="H2821" i="14"/>
  <c r="H2822" i="14"/>
  <c r="H2823" i="14"/>
  <c r="H2824" i="14"/>
  <c r="H2825" i="14"/>
  <c r="H2826" i="14"/>
  <c r="H2827" i="14"/>
  <c r="H2828" i="14"/>
  <c r="H2829" i="14"/>
  <c r="H2830" i="14"/>
  <c r="H2831" i="14"/>
  <c r="H2832" i="14"/>
  <c r="H2833" i="14"/>
  <c r="H2834" i="14"/>
  <c r="H2835" i="14"/>
  <c r="H2836" i="14"/>
  <c r="H2837" i="14"/>
  <c r="H2838" i="14"/>
  <c r="H2839" i="14"/>
  <c r="H2840" i="14"/>
  <c r="H2841" i="14"/>
  <c r="H2842" i="14"/>
  <c r="H2843" i="14"/>
  <c r="H2844" i="14"/>
  <c r="H2845" i="14"/>
  <c r="H2846" i="14"/>
  <c r="H2847" i="14"/>
  <c r="H2848" i="14"/>
  <c r="H2849" i="14"/>
  <c r="H2850" i="14"/>
  <c r="H2851" i="14"/>
  <c r="H2852" i="14"/>
  <c r="H2853" i="14"/>
  <c r="H2854" i="14"/>
  <c r="H2855" i="14"/>
  <c r="H2856" i="14"/>
  <c r="H2857" i="14"/>
  <c r="H2858" i="14"/>
  <c r="H2859" i="14"/>
  <c r="H2860" i="14"/>
  <c r="H2861" i="14"/>
  <c r="H2862" i="14"/>
  <c r="H2863" i="14"/>
  <c r="H2864" i="14"/>
  <c r="H2865" i="14"/>
  <c r="H2866" i="14"/>
  <c r="H2867" i="14"/>
  <c r="H2868" i="14"/>
  <c r="H2869" i="14"/>
  <c r="H2870" i="14"/>
  <c r="H2871" i="14"/>
  <c r="H2872" i="14"/>
  <c r="H2873" i="14"/>
  <c r="H2874" i="14"/>
  <c r="H2875" i="14"/>
  <c r="H2876" i="14"/>
  <c r="H2877" i="14"/>
  <c r="H2878" i="14"/>
  <c r="H2879" i="14"/>
  <c r="H2880" i="14"/>
  <c r="H2881" i="14"/>
  <c r="H2882" i="14"/>
  <c r="H2883" i="14"/>
  <c r="H2884" i="14"/>
  <c r="H2885" i="14"/>
  <c r="H2886" i="14"/>
  <c r="H2887" i="14"/>
  <c r="H2888" i="14"/>
  <c r="H2889" i="14"/>
  <c r="H2890" i="14"/>
  <c r="H2891" i="14"/>
  <c r="H2892" i="14"/>
  <c r="H2893" i="14"/>
  <c r="H2894" i="14"/>
  <c r="H2895" i="14"/>
  <c r="H2896" i="14"/>
  <c r="H2897" i="14"/>
  <c r="H2898" i="14"/>
  <c r="H2899" i="14"/>
  <c r="H2900" i="14"/>
  <c r="H2901" i="14"/>
  <c r="H2902" i="14"/>
  <c r="H2903" i="14"/>
  <c r="H2904" i="14"/>
  <c r="H2905" i="14"/>
  <c r="H2906" i="14"/>
  <c r="H2907" i="14"/>
  <c r="H2908" i="14"/>
  <c r="H2909" i="14"/>
  <c r="H2910" i="14"/>
  <c r="H2911" i="14"/>
  <c r="H2912" i="14"/>
  <c r="H2913" i="14"/>
  <c r="H2914" i="14"/>
  <c r="H2915" i="14"/>
  <c r="H2916" i="14"/>
  <c r="H2917" i="14"/>
  <c r="H2918" i="14"/>
  <c r="H2919" i="14"/>
  <c r="H2920" i="14"/>
  <c r="H2921" i="14"/>
  <c r="H2922" i="14"/>
  <c r="H2923" i="14"/>
  <c r="H2924" i="14"/>
  <c r="H2925" i="14"/>
  <c r="H2926" i="14"/>
  <c r="H2927" i="14"/>
  <c r="H2928" i="14"/>
  <c r="H2929" i="14"/>
  <c r="H2930" i="14"/>
  <c r="H2931" i="14"/>
  <c r="H2932" i="14"/>
  <c r="H2933" i="14"/>
  <c r="H2934" i="14"/>
  <c r="H2935" i="14"/>
  <c r="H2936" i="14"/>
  <c r="H2937" i="14"/>
  <c r="H2938" i="14"/>
  <c r="H2939" i="14"/>
  <c r="H2940" i="14"/>
  <c r="H2941" i="14"/>
  <c r="H2942" i="14"/>
  <c r="H2943" i="14"/>
  <c r="H2944" i="14"/>
  <c r="H2945" i="14"/>
  <c r="H2946" i="14"/>
  <c r="H2947" i="14"/>
  <c r="H2948" i="14"/>
  <c r="H2949" i="14"/>
  <c r="H2950" i="14"/>
  <c r="H2951" i="14"/>
  <c r="H2952" i="14"/>
  <c r="H2953" i="14"/>
  <c r="H2954" i="14"/>
  <c r="H2955" i="14"/>
  <c r="H2956" i="14"/>
  <c r="H2957" i="14"/>
  <c r="H2958" i="14"/>
  <c r="H2959" i="14"/>
  <c r="H2960" i="14"/>
  <c r="H2961" i="14"/>
  <c r="H2962" i="14"/>
  <c r="H2963" i="14"/>
  <c r="H2964" i="14"/>
  <c r="H2965" i="14"/>
  <c r="H2966" i="14"/>
  <c r="H2967" i="14"/>
  <c r="H2968" i="14"/>
  <c r="H2969" i="14"/>
  <c r="H2970" i="14"/>
  <c r="H2971" i="14"/>
  <c r="H2972" i="14"/>
  <c r="H2973" i="14"/>
  <c r="H2974" i="14"/>
  <c r="H2975" i="14"/>
  <c r="H2976" i="14"/>
  <c r="H2977" i="14"/>
  <c r="H2978" i="14"/>
  <c r="H2979" i="14"/>
  <c r="H2980" i="14"/>
  <c r="H2981" i="14"/>
  <c r="H2982" i="14"/>
  <c r="H2983" i="14"/>
  <c r="H2984" i="14"/>
  <c r="H2985" i="14"/>
  <c r="H2986" i="14"/>
  <c r="H2987" i="14"/>
  <c r="H2988" i="14"/>
  <c r="H2989" i="14"/>
  <c r="H2990" i="14"/>
  <c r="H2991" i="14"/>
  <c r="H2992" i="14"/>
  <c r="H2993" i="14"/>
  <c r="H2994" i="14"/>
  <c r="H2995" i="14"/>
  <c r="H2996" i="14"/>
  <c r="H2997" i="14"/>
  <c r="H2998" i="14"/>
  <c r="H2999" i="14"/>
  <c r="H3000" i="14"/>
  <c r="H3001" i="14"/>
  <c r="H3002" i="14"/>
  <c r="H3003" i="14"/>
  <c r="H3004" i="14"/>
  <c r="H3005" i="14"/>
  <c r="H3006" i="14"/>
  <c r="H3007" i="14"/>
  <c r="H3008" i="14"/>
  <c r="H3009" i="14"/>
  <c r="H3010" i="14"/>
  <c r="H3011" i="14"/>
  <c r="H3012" i="14"/>
  <c r="H3013" i="14"/>
  <c r="H3014" i="14"/>
  <c r="H3015" i="14"/>
  <c r="H3016" i="14"/>
  <c r="H3017" i="14"/>
  <c r="H3018" i="14"/>
  <c r="H3019" i="14"/>
  <c r="H3020" i="14"/>
  <c r="H3021" i="14"/>
  <c r="H3022" i="14"/>
  <c r="H3023" i="14"/>
  <c r="H3024" i="14"/>
  <c r="H3025" i="14"/>
  <c r="H3026" i="14"/>
  <c r="H3027" i="14"/>
  <c r="H3028" i="14"/>
  <c r="H3029" i="14"/>
  <c r="H3030" i="14"/>
  <c r="H3031" i="14"/>
  <c r="H3032" i="14"/>
  <c r="H3033" i="14"/>
  <c r="H3034" i="14"/>
  <c r="H3035" i="14"/>
  <c r="H3036" i="14"/>
  <c r="H3037" i="14"/>
  <c r="H3038" i="14"/>
  <c r="H3039" i="14"/>
  <c r="H3040" i="14"/>
  <c r="H3041" i="14"/>
  <c r="H3042" i="14"/>
  <c r="H3043" i="14"/>
  <c r="H3044" i="14"/>
  <c r="H3045" i="14"/>
  <c r="H3046" i="14"/>
  <c r="H3047" i="14"/>
  <c r="H3048" i="14"/>
  <c r="H3049" i="14"/>
  <c r="H3050" i="14"/>
  <c r="H3051" i="14"/>
  <c r="H3052" i="14"/>
  <c r="H3053" i="14"/>
  <c r="H3054" i="14"/>
  <c r="H3055" i="14"/>
  <c r="H3056" i="14"/>
  <c r="H3057" i="14"/>
  <c r="H3058" i="14"/>
  <c r="H3059" i="14"/>
  <c r="H3060" i="14"/>
  <c r="H3061" i="14"/>
  <c r="H3062" i="14"/>
  <c r="H3063" i="14"/>
  <c r="H3064" i="14"/>
  <c r="H3065" i="14"/>
  <c r="H3066" i="14"/>
  <c r="H3067" i="14"/>
  <c r="H3068" i="14"/>
  <c r="H3069" i="14"/>
  <c r="H3070" i="14"/>
  <c r="H3071" i="14"/>
  <c r="H3072" i="14"/>
  <c r="H3073" i="14"/>
  <c r="H3074" i="14"/>
  <c r="H3075" i="14"/>
  <c r="H3076" i="14"/>
  <c r="H3077" i="14"/>
  <c r="H3078" i="14"/>
  <c r="H3079" i="14"/>
  <c r="H3080" i="14"/>
  <c r="H3081" i="14"/>
  <c r="H3082" i="14"/>
  <c r="H3083" i="14"/>
  <c r="H3084" i="14"/>
  <c r="H3085" i="14"/>
  <c r="H3086" i="14"/>
  <c r="H3087" i="14"/>
  <c r="H3088" i="14"/>
  <c r="H3089" i="14"/>
  <c r="H3090" i="14"/>
  <c r="H3091" i="14"/>
  <c r="H3092" i="14"/>
  <c r="H3093" i="14"/>
  <c r="H3094" i="14"/>
  <c r="H3095" i="14"/>
  <c r="H3096" i="14"/>
  <c r="H3097" i="14"/>
  <c r="H3098" i="14"/>
  <c r="H3099" i="14"/>
  <c r="H3100" i="14"/>
  <c r="H3101" i="14"/>
  <c r="H3102" i="14"/>
  <c r="H3103" i="14"/>
  <c r="H3104" i="14"/>
  <c r="H3105" i="14"/>
  <c r="H3106" i="14"/>
  <c r="H3107" i="14"/>
  <c r="H3108" i="14"/>
  <c r="H3109" i="14"/>
  <c r="H3110" i="14"/>
  <c r="H3111" i="14"/>
  <c r="H3112" i="14"/>
  <c r="H3113" i="14"/>
  <c r="H3114" i="14"/>
  <c r="H3115" i="14"/>
  <c r="H3116" i="14"/>
  <c r="H3117" i="14"/>
  <c r="H3118" i="14"/>
  <c r="H3119" i="14"/>
  <c r="H3120" i="14"/>
  <c r="H3121" i="14"/>
  <c r="H3122" i="14"/>
  <c r="H3123" i="14"/>
  <c r="H3124" i="14"/>
  <c r="H3125" i="14"/>
  <c r="H3126" i="14"/>
  <c r="H3127" i="14"/>
  <c r="H3128" i="14"/>
  <c r="H3129" i="14"/>
  <c r="H3130" i="14"/>
  <c r="H3131" i="14"/>
  <c r="H3132" i="14"/>
  <c r="H3133" i="14"/>
  <c r="H3134" i="14"/>
  <c r="H3135" i="14"/>
  <c r="H3136" i="14"/>
  <c r="H3137" i="14"/>
  <c r="H3138" i="14"/>
  <c r="H3139" i="14"/>
  <c r="H3140" i="14"/>
  <c r="H3141" i="14"/>
  <c r="H3142" i="14"/>
  <c r="H3143" i="14"/>
  <c r="H3144" i="14"/>
  <c r="H3145" i="14"/>
  <c r="H3146" i="14"/>
  <c r="H3147" i="14"/>
  <c r="H3148" i="14"/>
  <c r="H3149" i="14"/>
  <c r="H3150" i="14"/>
  <c r="H3151" i="14"/>
  <c r="H3152" i="14"/>
  <c r="H3153" i="14"/>
  <c r="H3154" i="14"/>
  <c r="H3155" i="14"/>
  <c r="H3156" i="14"/>
  <c r="H3157" i="14"/>
  <c r="H3158" i="14"/>
  <c r="H3159" i="14"/>
  <c r="H3160" i="14"/>
  <c r="H3161" i="14"/>
  <c r="H3162" i="14"/>
  <c r="H3163" i="14"/>
  <c r="H3164" i="14"/>
  <c r="H3165" i="14"/>
  <c r="H3166" i="14"/>
  <c r="H3167" i="14"/>
  <c r="H3168" i="14"/>
  <c r="H3169" i="14"/>
  <c r="H3170" i="14"/>
  <c r="H3171" i="14"/>
  <c r="H3172" i="14"/>
  <c r="H3173" i="14"/>
  <c r="H3174" i="14"/>
  <c r="H3175" i="14"/>
  <c r="H3176" i="14"/>
  <c r="H3177" i="14"/>
  <c r="H3178" i="14"/>
  <c r="H3179" i="14"/>
  <c r="H3180" i="14"/>
  <c r="H3181" i="14"/>
  <c r="H3182" i="14"/>
  <c r="H3183" i="14"/>
  <c r="H3184" i="14"/>
  <c r="H3185" i="14"/>
  <c r="H3186" i="14"/>
  <c r="H3187" i="14"/>
  <c r="H3188" i="14"/>
  <c r="H3189" i="14"/>
  <c r="H3190" i="14"/>
  <c r="H3191" i="14"/>
  <c r="H3192" i="14"/>
  <c r="H3193" i="14"/>
  <c r="H3194" i="14"/>
  <c r="H3195" i="14"/>
  <c r="H3196" i="14"/>
  <c r="H3197" i="14"/>
  <c r="H3198" i="14"/>
  <c r="H3199" i="14"/>
  <c r="H3200" i="14"/>
  <c r="H3201" i="14"/>
  <c r="H3202" i="14"/>
  <c r="H3203" i="14"/>
  <c r="H3204" i="14"/>
  <c r="H3205" i="14"/>
  <c r="H3206" i="14"/>
  <c r="H3207" i="14"/>
  <c r="H3208" i="14"/>
  <c r="H3209" i="14"/>
  <c r="H3210" i="14"/>
  <c r="H3211" i="14"/>
  <c r="H3212" i="14"/>
  <c r="H3213" i="14"/>
  <c r="H3214" i="14"/>
  <c r="H3215" i="14"/>
  <c r="H3216" i="14"/>
  <c r="H3217" i="14"/>
  <c r="H3218" i="14"/>
  <c r="H3219" i="14"/>
  <c r="H3220" i="14"/>
  <c r="H3221" i="14"/>
  <c r="H3222" i="14"/>
  <c r="H3223" i="14"/>
  <c r="H3224" i="14"/>
  <c r="H3225" i="14"/>
  <c r="H3226" i="14"/>
  <c r="H3227" i="14"/>
  <c r="H3228" i="14"/>
  <c r="H3229" i="14"/>
  <c r="H3230" i="14"/>
  <c r="H3231" i="14"/>
  <c r="H3232" i="14"/>
  <c r="H3233" i="14"/>
  <c r="H3234" i="14"/>
  <c r="H3235" i="14"/>
  <c r="H3236" i="14"/>
  <c r="H3237" i="14"/>
  <c r="H3238" i="14"/>
  <c r="H3239" i="14"/>
  <c r="H3240" i="14"/>
  <c r="H3241" i="14"/>
  <c r="H3242" i="14"/>
  <c r="H3243" i="14"/>
  <c r="H3244" i="14"/>
  <c r="H3245" i="14"/>
  <c r="H3246" i="14"/>
  <c r="H3247" i="14"/>
  <c r="H3248" i="14"/>
  <c r="H3249" i="14"/>
  <c r="H3250" i="14"/>
  <c r="H3251" i="14"/>
  <c r="H3252" i="14"/>
  <c r="H3253" i="14"/>
  <c r="H3254" i="14"/>
  <c r="H3255" i="14"/>
  <c r="H3256" i="14"/>
  <c r="H3257" i="14"/>
  <c r="H3258" i="14"/>
  <c r="H3259" i="14"/>
  <c r="H3260" i="14"/>
  <c r="H3261" i="14"/>
  <c r="H3262" i="14"/>
  <c r="H3263" i="14"/>
  <c r="H3264" i="14"/>
  <c r="H3265" i="14"/>
  <c r="H3266" i="14"/>
  <c r="H3267" i="14"/>
  <c r="H3268" i="14"/>
  <c r="H3269" i="14"/>
  <c r="H3270" i="14"/>
  <c r="H3271" i="14"/>
  <c r="H3272" i="14"/>
  <c r="H3273" i="14"/>
  <c r="H3274" i="14"/>
  <c r="H3275" i="14"/>
  <c r="H3276" i="14"/>
  <c r="H3277" i="14"/>
  <c r="H3278" i="14"/>
  <c r="H3279" i="14"/>
  <c r="H3280" i="14"/>
  <c r="H3281" i="14"/>
  <c r="H3282" i="14"/>
  <c r="H3283" i="14"/>
  <c r="H3284" i="14"/>
  <c r="H3285" i="14"/>
  <c r="H3286" i="14"/>
  <c r="H3287" i="14"/>
  <c r="H3288" i="14"/>
  <c r="H3289" i="14"/>
  <c r="H3290" i="14"/>
  <c r="H3291" i="14"/>
  <c r="H3292" i="14"/>
  <c r="H3293" i="14"/>
  <c r="H3294" i="14"/>
  <c r="H3295" i="14"/>
  <c r="H3296" i="14"/>
  <c r="H3297" i="14"/>
  <c r="H3298" i="14"/>
  <c r="H3299" i="14"/>
  <c r="H3300" i="14"/>
  <c r="H3301" i="14"/>
  <c r="H3302" i="14"/>
  <c r="H3303" i="14"/>
  <c r="H3304" i="14"/>
  <c r="H3305" i="14"/>
  <c r="H3306" i="14"/>
  <c r="H3307" i="14"/>
  <c r="H3308" i="14"/>
  <c r="H3309" i="14"/>
  <c r="H3310" i="14"/>
  <c r="H3311" i="14"/>
  <c r="H3312" i="14"/>
  <c r="H3313" i="14"/>
  <c r="H3314" i="14"/>
  <c r="H3315" i="14"/>
  <c r="H3316" i="14"/>
  <c r="H3317" i="14"/>
  <c r="H3318" i="14"/>
  <c r="H3319" i="14"/>
  <c r="H3320" i="14"/>
  <c r="H3321" i="14"/>
  <c r="H3322" i="14"/>
  <c r="H3323" i="14"/>
  <c r="H3324" i="14"/>
  <c r="H3325" i="14"/>
  <c r="H3326" i="14"/>
  <c r="H3327" i="14"/>
  <c r="H3328" i="14"/>
  <c r="H3329" i="14"/>
  <c r="H3330" i="14"/>
  <c r="H3331" i="14"/>
  <c r="H3332" i="14"/>
  <c r="H3333" i="14"/>
  <c r="H3334" i="14"/>
  <c r="H3335" i="14"/>
  <c r="H3336" i="14"/>
  <c r="H3337" i="14"/>
  <c r="H3338" i="14"/>
  <c r="H3339" i="14"/>
  <c r="H3340" i="14"/>
  <c r="H3341" i="14"/>
  <c r="H3342" i="14"/>
  <c r="H3343" i="14"/>
  <c r="H3344" i="14"/>
  <c r="H3345" i="14"/>
  <c r="H3346" i="14"/>
  <c r="H3347" i="14"/>
  <c r="H3348" i="14"/>
  <c r="H3349" i="14"/>
  <c r="H3350" i="14"/>
  <c r="H3351" i="14"/>
  <c r="H3352" i="14"/>
  <c r="H3353" i="14"/>
  <c r="H3354" i="14"/>
  <c r="H3355" i="14"/>
  <c r="H3356" i="14"/>
  <c r="H3357" i="14"/>
  <c r="H3358" i="14"/>
  <c r="H3359" i="14"/>
  <c r="H3360" i="14"/>
  <c r="H3361" i="14"/>
  <c r="H3362" i="14"/>
  <c r="H3363" i="14"/>
  <c r="H3364" i="14"/>
  <c r="H3365" i="14"/>
  <c r="H3366" i="14"/>
  <c r="H3367" i="14"/>
  <c r="H3368" i="14"/>
  <c r="H3369" i="14"/>
  <c r="H3370" i="14"/>
  <c r="H3371" i="14"/>
  <c r="H3372" i="14"/>
  <c r="H3373" i="14"/>
  <c r="H3374" i="14"/>
  <c r="H3375" i="14"/>
  <c r="H3376" i="14"/>
  <c r="H3377" i="14"/>
  <c r="H3378" i="14"/>
  <c r="H3379" i="14"/>
  <c r="H3380" i="14"/>
  <c r="H3381" i="14"/>
  <c r="H3382" i="14"/>
  <c r="H3383" i="14"/>
  <c r="H3384" i="14"/>
  <c r="H3385" i="14"/>
  <c r="H3386" i="14"/>
  <c r="H3387" i="14"/>
  <c r="H3388" i="14"/>
  <c r="H3389" i="14"/>
  <c r="H3390" i="14"/>
  <c r="H3391" i="14"/>
  <c r="H3392" i="14"/>
  <c r="H3393" i="14"/>
  <c r="H3394" i="14"/>
  <c r="H3395" i="14"/>
  <c r="H3396" i="14"/>
  <c r="H3397" i="14"/>
  <c r="H3398" i="14"/>
  <c r="H3399" i="14"/>
  <c r="H3400" i="14"/>
  <c r="H3401" i="14"/>
  <c r="H3402" i="14"/>
  <c r="H3403" i="14"/>
  <c r="H3404" i="14"/>
  <c r="H3405" i="14"/>
  <c r="H3406" i="14"/>
  <c r="H3407" i="14"/>
  <c r="H3408" i="14"/>
  <c r="H3409" i="14"/>
  <c r="H3410" i="14"/>
  <c r="H3411" i="14"/>
  <c r="H3412" i="14"/>
  <c r="H3413" i="14"/>
  <c r="H3414" i="14"/>
  <c r="H3415" i="14"/>
  <c r="H3416" i="14"/>
  <c r="H3417" i="14"/>
  <c r="H3418" i="14"/>
  <c r="H3419" i="14"/>
  <c r="H3420" i="14"/>
  <c r="H3421" i="14"/>
  <c r="H3422" i="14"/>
  <c r="H3423" i="14"/>
  <c r="H3424" i="14"/>
  <c r="H3425" i="14"/>
  <c r="H3426" i="14"/>
  <c r="H3427" i="14"/>
  <c r="H3428" i="14"/>
  <c r="H3429" i="14"/>
  <c r="H3430" i="14"/>
  <c r="H3431" i="14"/>
  <c r="H3432" i="14"/>
  <c r="H3433" i="14"/>
  <c r="H3434" i="14"/>
  <c r="H3435" i="14"/>
  <c r="H3436" i="14"/>
  <c r="H3437" i="14"/>
  <c r="H3438" i="14"/>
  <c r="H3439" i="14"/>
  <c r="H3440" i="14"/>
  <c r="H3441" i="14"/>
  <c r="H3442" i="14"/>
  <c r="H3443" i="14"/>
  <c r="H3444" i="14"/>
  <c r="H3445" i="14"/>
  <c r="H3446" i="14"/>
  <c r="H3447" i="14"/>
  <c r="H3448" i="14"/>
  <c r="H3449" i="14"/>
  <c r="H3450" i="14"/>
  <c r="H3451" i="14"/>
  <c r="H3452" i="14"/>
  <c r="H3453" i="14"/>
  <c r="H3454" i="14"/>
  <c r="H3455" i="14"/>
  <c r="H3456" i="14"/>
  <c r="H3457" i="14"/>
  <c r="H3458" i="14"/>
  <c r="H3459" i="14"/>
  <c r="H3460" i="14"/>
  <c r="H3461" i="14"/>
  <c r="H3462" i="14"/>
  <c r="H3463" i="14"/>
  <c r="H3464" i="14"/>
  <c r="H3465" i="14"/>
  <c r="H3466" i="14"/>
  <c r="H3467" i="14"/>
  <c r="H3468" i="14"/>
  <c r="H3469" i="14"/>
  <c r="H3470" i="14"/>
  <c r="H3471" i="14"/>
  <c r="H3472" i="14"/>
  <c r="H3473" i="14"/>
  <c r="H3474" i="14"/>
  <c r="H3475" i="14"/>
  <c r="H3476" i="14"/>
  <c r="H3477" i="14"/>
  <c r="H3478" i="14"/>
  <c r="H3479" i="14"/>
  <c r="H3480" i="14"/>
  <c r="H3481" i="14"/>
  <c r="H3482" i="14"/>
  <c r="H3483" i="14"/>
  <c r="H3484" i="14"/>
  <c r="H3485" i="14"/>
  <c r="H3486" i="14"/>
  <c r="H3487" i="14"/>
  <c r="H3488" i="14"/>
  <c r="H3489" i="14"/>
  <c r="H3490" i="14"/>
  <c r="H3491" i="14"/>
  <c r="H3492" i="14"/>
  <c r="H3493" i="14"/>
  <c r="H3494" i="14"/>
  <c r="H3495" i="14"/>
  <c r="H3496" i="14"/>
  <c r="H3497" i="14"/>
  <c r="H3498" i="14"/>
  <c r="H3499" i="14"/>
  <c r="H3500" i="14"/>
  <c r="H3501" i="14"/>
  <c r="H3502" i="14"/>
  <c r="H3503" i="14"/>
  <c r="H3504" i="14"/>
  <c r="H3505" i="14"/>
  <c r="H3506" i="14"/>
  <c r="H3507" i="14"/>
  <c r="H3508" i="14"/>
  <c r="H3509" i="14"/>
  <c r="H3510" i="14"/>
  <c r="H3511" i="14"/>
  <c r="H3512" i="14"/>
  <c r="H3513" i="14"/>
  <c r="H3514" i="14"/>
  <c r="H3515" i="14"/>
  <c r="H3516" i="14"/>
  <c r="H3517" i="14"/>
  <c r="H3518" i="14"/>
  <c r="H3519" i="14"/>
  <c r="H3520" i="14"/>
  <c r="H3521" i="14"/>
  <c r="H3522" i="14"/>
  <c r="H3523" i="14"/>
  <c r="H3524" i="14"/>
  <c r="H3525" i="14"/>
  <c r="H3526" i="14"/>
  <c r="H3527" i="14"/>
  <c r="H3528" i="14"/>
  <c r="H3529" i="14"/>
  <c r="H3530" i="14"/>
  <c r="H3531" i="14"/>
  <c r="H3532" i="14"/>
  <c r="H3533" i="14"/>
  <c r="H3534" i="14"/>
  <c r="H3535" i="14"/>
  <c r="H3536" i="14"/>
  <c r="H3537" i="14"/>
  <c r="H3538" i="14"/>
  <c r="H3539" i="14"/>
  <c r="H3540" i="14"/>
  <c r="H3541" i="14"/>
  <c r="H3542" i="14"/>
  <c r="H3543" i="14"/>
  <c r="H3544" i="14"/>
  <c r="H3545" i="14"/>
  <c r="H3546" i="14"/>
  <c r="H3547" i="14"/>
  <c r="H3548" i="14"/>
  <c r="H3549" i="14"/>
  <c r="H3550" i="14"/>
  <c r="H3551" i="14"/>
  <c r="H3552" i="14"/>
  <c r="H3553" i="14"/>
  <c r="H3554" i="14"/>
  <c r="H3555" i="14"/>
  <c r="H3556" i="14"/>
  <c r="H3557" i="14"/>
  <c r="H3558" i="14"/>
  <c r="H3559" i="14"/>
  <c r="H3560" i="14"/>
  <c r="H3561" i="14"/>
  <c r="H3562" i="14"/>
  <c r="H3563" i="14"/>
  <c r="H3564" i="14"/>
  <c r="H3565" i="14"/>
  <c r="H3566" i="14"/>
  <c r="H3567" i="14"/>
  <c r="H3568" i="14"/>
  <c r="H3569" i="14"/>
  <c r="H3570" i="14"/>
  <c r="H3571" i="14"/>
  <c r="H3572" i="14"/>
  <c r="H3573" i="14"/>
  <c r="H3574" i="14"/>
  <c r="H3575" i="14"/>
  <c r="H3576" i="14"/>
  <c r="H3577" i="14"/>
  <c r="H3578" i="14"/>
  <c r="H3579" i="14"/>
  <c r="H3580" i="14"/>
  <c r="H3581" i="14"/>
  <c r="H3582" i="14"/>
  <c r="H3583" i="14"/>
  <c r="H3584" i="14"/>
  <c r="H3585" i="14"/>
  <c r="H3586" i="14"/>
  <c r="H3587" i="14"/>
  <c r="H3588" i="14"/>
  <c r="H3589" i="14"/>
  <c r="H3590" i="14"/>
  <c r="H3591" i="14"/>
  <c r="H3592" i="14"/>
  <c r="H3593" i="14"/>
  <c r="H3594" i="14"/>
  <c r="H3595" i="14"/>
  <c r="H3596" i="14"/>
  <c r="H3597" i="14"/>
  <c r="H3598" i="14"/>
  <c r="H3599" i="14"/>
  <c r="H3600" i="14"/>
  <c r="H3601" i="14"/>
  <c r="H3602" i="14"/>
  <c r="H3603" i="14"/>
  <c r="H3604" i="14"/>
  <c r="H3605" i="14"/>
  <c r="H3606" i="14"/>
  <c r="H3607" i="14"/>
  <c r="H3608" i="14"/>
  <c r="H3609" i="14"/>
  <c r="H3610" i="14"/>
  <c r="H3611" i="14"/>
  <c r="H3612" i="14"/>
  <c r="H3613" i="14"/>
  <c r="H3614" i="14"/>
  <c r="H3615" i="14"/>
  <c r="H3616" i="14"/>
  <c r="H3617" i="14"/>
  <c r="H3618" i="14"/>
  <c r="H3619" i="14"/>
  <c r="H3620" i="14"/>
  <c r="H3621" i="14"/>
  <c r="H3622" i="14"/>
  <c r="H3623" i="14"/>
  <c r="H3624" i="14"/>
  <c r="H3625" i="14"/>
  <c r="H3626" i="14"/>
  <c r="H3627" i="14"/>
  <c r="H3628" i="14"/>
  <c r="H3629" i="14"/>
  <c r="H3630" i="14"/>
  <c r="H3631" i="14"/>
  <c r="H3632" i="14"/>
  <c r="H3633" i="14"/>
  <c r="H3634" i="14"/>
  <c r="H3635" i="14"/>
  <c r="H3636" i="14"/>
  <c r="H3637" i="14"/>
  <c r="H3638" i="14"/>
  <c r="H3639" i="14"/>
  <c r="H3640" i="14"/>
  <c r="H3641" i="14"/>
  <c r="H3642" i="14"/>
  <c r="H3643" i="14"/>
  <c r="H3644" i="14"/>
  <c r="H3645" i="14"/>
  <c r="H3646" i="14"/>
  <c r="H3647" i="14"/>
  <c r="H3648" i="14"/>
  <c r="H3649" i="14"/>
  <c r="H3650" i="14"/>
  <c r="H3651" i="14"/>
  <c r="H3652" i="14"/>
  <c r="H3653" i="14"/>
  <c r="H3654" i="14"/>
  <c r="H3655" i="14"/>
  <c r="H3656" i="14"/>
  <c r="H3657" i="14"/>
  <c r="H3658" i="14"/>
  <c r="H3659" i="14"/>
  <c r="H3660" i="14"/>
  <c r="H3661" i="14"/>
  <c r="H3662" i="14"/>
  <c r="H3663" i="14"/>
  <c r="H3664" i="14"/>
  <c r="H3665" i="14"/>
  <c r="H3666" i="14"/>
  <c r="H3667" i="14"/>
  <c r="H3668" i="14"/>
  <c r="H3669" i="14"/>
  <c r="H3670" i="14"/>
  <c r="H3671" i="14"/>
  <c r="H3672" i="14"/>
  <c r="H3673" i="14"/>
  <c r="H3674" i="14"/>
  <c r="H3675" i="14"/>
  <c r="H3676" i="14"/>
  <c r="H3677" i="14"/>
  <c r="H3678" i="14"/>
  <c r="H3679" i="14"/>
  <c r="H3680" i="14"/>
  <c r="H3681" i="14"/>
  <c r="H3682" i="14"/>
  <c r="H3683" i="14"/>
  <c r="H3684" i="14"/>
  <c r="H3685" i="14"/>
  <c r="H3686" i="14"/>
  <c r="H3687" i="14"/>
  <c r="H3688" i="14"/>
  <c r="H3689" i="14"/>
  <c r="H3690" i="14"/>
  <c r="H3691" i="14"/>
  <c r="H3692" i="14"/>
  <c r="H3693" i="14"/>
  <c r="H3694" i="14"/>
  <c r="H3695" i="14"/>
  <c r="H3696" i="14"/>
  <c r="H3697" i="14"/>
  <c r="H3698" i="14"/>
  <c r="H3699" i="14"/>
  <c r="H3700" i="14"/>
  <c r="H3701" i="14"/>
  <c r="H3702" i="14"/>
  <c r="H3703" i="14"/>
  <c r="H3704" i="14"/>
  <c r="H3705" i="14"/>
  <c r="H3706" i="14"/>
  <c r="H3707" i="14"/>
  <c r="H3708" i="14"/>
  <c r="H3709" i="14"/>
  <c r="H3710" i="14"/>
  <c r="H3711" i="14"/>
  <c r="H3712" i="14"/>
  <c r="H3713" i="14"/>
  <c r="H3714" i="14"/>
  <c r="H3715" i="14"/>
  <c r="H3716" i="14"/>
  <c r="H3717" i="14"/>
  <c r="H3718" i="14"/>
  <c r="H3719" i="14"/>
  <c r="H3720" i="14"/>
  <c r="H3721" i="14"/>
  <c r="H3722" i="14"/>
  <c r="H3723" i="14"/>
  <c r="H3724" i="14"/>
  <c r="H3725" i="14"/>
  <c r="H3726" i="14"/>
  <c r="H3727" i="14"/>
  <c r="H3728" i="14"/>
  <c r="H3729" i="14"/>
  <c r="H3730" i="14"/>
  <c r="H3731" i="14"/>
  <c r="H3732" i="14"/>
  <c r="H3733" i="14"/>
  <c r="H3734" i="14"/>
  <c r="H3735" i="14"/>
  <c r="H3736" i="14"/>
  <c r="H3737" i="14"/>
  <c r="H3738" i="14"/>
  <c r="H3739" i="14"/>
  <c r="H3740" i="14"/>
  <c r="H3741" i="14"/>
  <c r="H3742" i="14"/>
  <c r="H3743" i="14"/>
  <c r="H3744" i="14"/>
  <c r="H3745" i="14"/>
  <c r="H3746" i="14"/>
  <c r="H3747" i="14"/>
  <c r="H3748" i="14"/>
  <c r="H3749" i="14"/>
  <c r="H3750" i="14"/>
  <c r="H3751" i="14"/>
  <c r="H3752" i="14"/>
  <c r="H3753" i="14"/>
  <c r="H3754" i="14"/>
  <c r="H3755" i="14"/>
  <c r="H3756" i="14"/>
  <c r="H3757" i="14"/>
  <c r="H3758" i="14"/>
  <c r="H3759" i="14"/>
  <c r="H3760" i="14"/>
  <c r="H3761" i="14"/>
  <c r="H3762" i="14"/>
  <c r="H3763" i="14"/>
  <c r="H3764" i="14"/>
  <c r="H3765" i="14"/>
  <c r="H3766" i="14"/>
  <c r="H3767" i="14"/>
  <c r="H3768" i="14"/>
  <c r="H3769" i="14"/>
  <c r="H3770" i="14"/>
  <c r="H3771" i="14"/>
  <c r="H3772" i="14"/>
  <c r="H3773" i="14"/>
  <c r="H3774" i="14"/>
  <c r="H3775" i="14"/>
  <c r="H3776" i="14"/>
  <c r="H3777" i="14"/>
  <c r="H3778" i="14"/>
  <c r="H3779" i="14"/>
  <c r="H3780" i="14"/>
  <c r="H3781" i="14"/>
  <c r="H3782" i="14"/>
  <c r="H3783" i="14"/>
  <c r="H3784" i="14"/>
  <c r="H3785" i="14"/>
  <c r="H3786" i="14"/>
  <c r="H3787" i="14"/>
  <c r="H3788" i="14"/>
  <c r="H3789" i="14"/>
  <c r="H3790" i="14"/>
  <c r="H3791" i="14"/>
  <c r="H3792" i="14"/>
  <c r="H3793" i="14"/>
  <c r="H3794" i="14"/>
  <c r="H3795" i="14"/>
  <c r="H3796" i="14"/>
  <c r="H3797" i="14"/>
  <c r="H3798" i="14"/>
  <c r="H3799" i="14"/>
  <c r="H3800" i="14"/>
  <c r="H3801" i="14"/>
  <c r="H3802" i="14"/>
  <c r="H3803" i="14"/>
  <c r="H3804" i="14"/>
  <c r="H3805" i="14"/>
  <c r="H3806" i="14"/>
  <c r="H3807" i="14"/>
  <c r="H3808" i="14"/>
  <c r="H3809" i="14"/>
  <c r="H3810" i="14"/>
  <c r="H3811" i="14"/>
  <c r="H3812" i="14"/>
  <c r="H3813" i="14"/>
  <c r="H3814" i="14"/>
  <c r="H3815" i="14"/>
  <c r="H3816" i="14"/>
  <c r="H3817" i="14"/>
  <c r="H3818" i="14"/>
  <c r="H3819" i="14"/>
  <c r="H3820" i="14"/>
  <c r="H3821" i="14"/>
  <c r="H3822" i="14"/>
  <c r="H3823" i="14"/>
  <c r="H3824" i="14"/>
  <c r="H3825" i="14"/>
  <c r="H3826" i="14"/>
  <c r="H3827" i="14"/>
  <c r="H3828" i="14"/>
  <c r="H3829" i="14"/>
  <c r="H3830" i="14"/>
  <c r="H3831" i="14"/>
  <c r="H3832" i="14"/>
  <c r="H3833" i="14"/>
  <c r="H3834" i="14"/>
  <c r="H3835" i="14"/>
  <c r="H3836" i="14"/>
  <c r="H3837" i="14"/>
  <c r="H3838" i="14"/>
  <c r="H3839" i="14"/>
  <c r="H3840" i="14"/>
  <c r="H3841" i="14"/>
  <c r="H3842" i="14"/>
  <c r="H3843" i="14"/>
  <c r="H3844" i="14"/>
  <c r="H3845" i="14"/>
  <c r="H3846" i="14"/>
  <c r="H3847" i="14"/>
  <c r="H3848" i="14"/>
  <c r="H3849" i="14"/>
  <c r="H3850" i="14"/>
  <c r="H3851" i="14"/>
  <c r="H3852" i="14"/>
  <c r="H3853" i="14"/>
  <c r="H3854" i="14"/>
  <c r="H3855" i="14"/>
  <c r="H3856" i="14"/>
  <c r="H3857" i="14"/>
  <c r="H3858" i="14"/>
  <c r="H3859" i="14"/>
  <c r="H3860" i="14"/>
  <c r="H3861" i="14"/>
  <c r="H3862" i="14"/>
  <c r="H3863" i="14"/>
  <c r="H3864" i="14"/>
  <c r="H3865" i="14"/>
  <c r="H3866" i="14"/>
  <c r="H3867" i="14"/>
  <c r="H3868" i="14"/>
  <c r="H3869" i="14"/>
  <c r="H3870" i="14"/>
  <c r="H3871" i="14"/>
  <c r="H3872" i="14"/>
  <c r="H3873" i="14"/>
  <c r="H3874" i="14"/>
  <c r="H3875" i="14"/>
  <c r="H3876" i="14"/>
  <c r="H3877" i="14"/>
  <c r="H3878" i="14"/>
  <c r="H3879" i="14"/>
  <c r="H3880" i="14"/>
  <c r="H3881" i="14"/>
  <c r="H3882" i="14"/>
  <c r="H3883" i="14"/>
  <c r="H3884" i="14"/>
  <c r="H3885" i="14"/>
  <c r="H3886" i="14"/>
  <c r="H3887" i="14"/>
  <c r="H3888" i="14"/>
  <c r="H3889" i="14"/>
  <c r="H3890" i="14"/>
  <c r="H3891" i="14"/>
  <c r="H3892" i="14"/>
  <c r="H3893" i="14"/>
  <c r="H3894" i="14"/>
  <c r="H3895" i="14"/>
  <c r="H3896" i="14"/>
  <c r="H3897" i="14"/>
  <c r="H3898" i="14"/>
  <c r="H3899" i="14"/>
  <c r="H3900" i="14"/>
  <c r="H3901" i="14"/>
  <c r="H3902" i="14"/>
  <c r="H3903" i="14"/>
  <c r="H3904" i="14"/>
  <c r="H3905" i="14"/>
  <c r="H3906" i="14"/>
  <c r="H3907" i="14"/>
  <c r="H3908" i="14"/>
  <c r="H3909" i="14"/>
  <c r="H3910" i="14"/>
  <c r="H3911" i="14"/>
  <c r="H3912" i="14"/>
  <c r="H3913" i="14"/>
  <c r="H3914" i="14"/>
  <c r="H3915" i="14"/>
  <c r="H3916" i="14"/>
  <c r="H3917" i="14"/>
  <c r="H3918" i="14"/>
  <c r="H3919" i="14"/>
  <c r="H3920" i="14"/>
  <c r="H3921" i="14"/>
  <c r="H3922" i="14"/>
  <c r="H3923" i="14"/>
  <c r="H3924" i="14"/>
  <c r="H3925" i="14"/>
  <c r="H3926" i="14"/>
  <c r="H3927" i="14"/>
  <c r="H3928" i="14"/>
  <c r="H3929" i="14"/>
  <c r="H3930" i="14"/>
  <c r="H3931" i="14"/>
  <c r="H3932" i="14"/>
  <c r="H3933" i="14"/>
  <c r="H3934" i="14"/>
  <c r="H3935" i="14"/>
  <c r="H3936" i="14"/>
  <c r="H3937" i="14"/>
  <c r="H3938" i="14"/>
  <c r="H3939" i="14"/>
  <c r="H3940" i="14"/>
  <c r="H3941" i="14"/>
  <c r="H3942" i="14"/>
  <c r="H3943" i="14"/>
  <c r="H3944" i="14"/>
  <c r="H3945" i="14"/>
  <c r="H3946" i="14"/>
  <c r="H3947" i="14"/>
  <c r="H3948" i="14"/>
  <c r="H3949" i="14"/>
  <c r="H3950" i="14"/>
  <c r="H3951" i="14"/>
  <c r="H3952" i="14"/>
  <c r="H3953" i="14"/>
  <c r="H3954" i="14"/>
  <c r="H3955" i="14"/>
  <c r="H3956" i="14"/>
  <c r="H3957" i="14"/>
  <c r="H3958" i="14"/>
  <c r="H3959" i="14"/>
  <c r="H3960" i="14"/>
  <c r="H3961" i="14"/>
  <c r="H3962" i="14"/>
  <c r="H3963" i="14"/>
  <c r="H3964" i="14"/>
  <c r="H3965" i="14"/>
  <c r="H3966" i="14"/>
  <c r="H3967" i="14"/>
  <c r="H3968" i="14"/>
  <c r="H3969" i="14"/>
  <c r="H3970" i="14"/>
  <c r="H3971" i="14"/>
  <c r="H3972" i="14"/>
  <c r="H3973" i="14"/>
  <c r="H3974" i="14"/>
  <c r="H3975" i="14"/>
  <c r="H3976" i="14"/>
  <c r="H3977" i="14"/>
  <c r="H3978" i="14"/>
  <c r="H3979" i="14"/>
  <c r="H3980" i="14"/>
  <c r="H3981" i="14"/>
  <c r="H3982" i="14"/>
  <c r="H3983" i="14"/>
  <c r="H3984" i="14"/>
  <c r="H3985" i="14"/>
  <c r="H3986" i="14"/>
  <c r="H3987" i="14"/>
  <c r="H3988" i="14"/>
  <c r="H3989" i="14"/>
  <c r="H3990" i="14"/>
  <c r="H3991" i="14"/>
  <c r="H3992" i="14"/>
  <c r="H3993" i="14"/>
  <c r="H3994" i="14"/>
  <c r="H3995" i="14"/>
  <c r="H3996" i="14"/>
  <c r="H3997" i="14"/>
  <c r="H3998" i="14"/>
  <c r="H3999" i="14"/>
  <c r="H4000" i="14"/>
  <c r="H4001" i="14"/>
  <c r="H4002" i="14"/>
  <c r="H4003" i="14"/>
  <c r="H4004" i="14"/>
  <c r="H4005" i="14"/>
  <c r="H4006" i="14"/>
  <c r="H4007" i="14"/>
  <c r="H4008" i="14"/>
  <c r="H4009" i="14"/>
  <c r="H4010" i="14"/>
  <c r="H4011" i="14"/>
  <c r="H4012" i="14"/>
  <c r="H4013" i="14"/>
  <c r="H4014" i="14"/>
  <c r="H4015" i="14"/>
  <c r="H4016" i="14"/>
  <c r="H4017" i="14"/>
  <c r="H4018" i="14"/>
  <c r="H4019" i="14"/>
  <c r="H4020" i="14"/>
  <c r="H4021" i="14"/>
  <c r="H4022" i="14"/>
  <c r="H4023" i="14"/>
  <c r="H4024" i="14"/>
  <c r="H4025" i="14"/>
  <c r="H4026" i="14"/>
  <c r="H4027" i="14"/>
  <c r="H4028" i="14"/>
  <c r="H4029" i="14"/>
  <c r="H4030" i="14"/>
  <c r="H4031" i="14"/>
  <c r="H4032" i="14"/>
  <c r="H4033" i="14"/>
  <c r="H4034" i="14"/>
  <c r="H4035" i="14"/>
  <c r="H4036" i="14"/>
  <c r="H4037" i="14"/>
  <c r="H4038" i="14"/>
  <c r="H4039" i="14"/>
  <c r="H4040" i="14"/>
  <c r="H4041" i="14"/>
  <c r="H4042" i="14"/>
  <c r="H4043" i="14"/>
  <c r="H4044" i="14"/>
  <c r="H4045" i="14"/>
  <c r="H4046" i="14"/>
  <c r="H4047" i="14"/>
  <c r="H4048" i="14"/>
  <c r="H4049" i="14"/>
  <c r="H4050" i="14"/>
  <c r="H4051" i="14"/>
  <c r="H4052" i="14"/>
  <c r="H4053" i="14"/>
  <c r="H4054" i="14"/>
  <c r="H4055" i="14"/>
  <c r="H4056" i="14"/>
  <c r="H4057" i="14"/>
  <c r="H4058" i="14"/>
  <c r="H4059" i="14"/>
  <c r="H4060" i="14"/>
  <c r="H4061" i="14"/>
  <c r="H4062" i="14"/>
  <c r="H4063" i="14"/>
  <c r="H4064" i="14"/>
  <c r="H4065" i="14"/>
  <c r="H4066" i="14"/>
  <c r="H4067" i="14"/>
  <c r="H4068" i="14"/>
  <c r="H4069" i="14"/>
  <c r="H4070" i="14"/>
  <c r="H4071" i="14"/>
  <c r="H4072" i="14"/>
  <c r="H4073" i="14"/>
  <c r="H4074" i="14"/>
  <c r="H4075" i="14"/>
  <c r="H4076" i="14"/>
  <c r="H4077" i="14"/>
  <c r="H4078" i="14"/>
  <c r="H4079" i="14"/>
  <c r="H4080" i="14"/>
  <c r="H4081" i="14"/>
  <c r="H4082" i="14"/>
  <c r="H4083" i="14"/>
  <c r="H4084" i="14"/>
  <c r="H4085" i="14"/>
  <c r="H4086" i="14"/>
  <c r="H4087" i="14"/>
  <c r="H4088" i="14"/>
  <c r="H4089" i="14"/>
  <c r="H4090" i="14"/>
  <c r="H4091" i="14"/>
  <c r="H4092" i="14"/>
  <c r="H4093" i="14"/>
  <c r="H4094" i="14"/>
  <c r="H4095" i="14"/>
  <c r="H4096" i="14"/>
  <c r="H4097" i="14"/>
  <c r="H4098" i="14"/>
  <c r="H4099" i="14"/>
  <c r="H4100" i="14"/>
  <c r="H4101" i="14"/>
  <c r="H4102" i="14"/>
  <c r="H4103" i="14"/>
  <c r="H4104" i="14"/>
  <c r="H4105" i="14"/>
  <c r="H4106" i="14"/>
  <c r="H4107" i="14"/>
  <c r="H4108" i="14"/>
  <c r="H4109" i="14"/>
  <c r="H4110" i="14"/>
  <c r="H4111" i="14"/>
  <c r="H4112" i="14"/>
  <c r="H4113" i="14"/>
  <c r="H4114" i="14"/>
  <c r="H4115" i="14"/>
  <c r="H4116" i="14"/>
  <c r="H4117" i="14"/>
  <c r="H4118" i="14"/>
  <c r="H4119" i="14"/>
  <c r="H4120" i="14"/>
  <c r="H4121" i="14"/>
  <c r="H4122" i="14"/>
  <c r="H4123" i="14"/>
  <c r="H4124" i="14"/>
  <c r="H4125" i="14"/>
  <c r="H4126" i="14"/>
  <c r="H4127" i="14"/>
  <c r="H4128" i="14"/>
  <c r="H4129" i="14"/>
  <c r="H4130" i="14"/>
  <c r="H4131" i="14"/>
  <c r="H4132" i="14"/>
  <c r="H4133" i="14"/>
  <c r="H4134" i="14"/>
  <c r="H4135" i="14"/>
  <c r="H4136" i="14"/>
  <c r="H4137" i="14"/>
  <c r="H4138" i="14"/>
  <c r="H4139" i="14"/>
  <c r="H4140" i="14"/>
  <c r="H4141" i="14"/>
  <c r="H4142" i="14"/>
  <c r="H4143" i="14"/>
  <c r="H4144" i="14"/>
  <c r="H4145" i="14"/>
  <c r="H4146" i="14"/>
  <c r="H4147" i="14"/>
  <c r="H4148" i="14"/>
  <c r="H4149" i="14"/>
  <c r="H4150" i="14"/>
  <c r="H4151" i="14"/>
  <c r="H4152" i="14"/>
  <c r="H4153" i="14"/>
  <c r="H4154" i="14"/>
  <c r="H4155" i="14"/>
  <c r="H4156" i="14"/>
  <c r="H4157" i="14"/>
  <c r="H4158" i="14"/>
  <c r="H4159" i="14"/>
  <c r="H4160" i="14"/>
  <c r="H4161" i="14"/>
  <c r="H4162" i="14"/>
  <c r="H4163" i="14"/>
  <c r="H4164" i="14"/>
  <c r="H4165" i="14"/>
  <c r="H4166" i="14"/>
  <c r="H4167" i="14"/>
  <c r="H4168" i="14"/>
  <c r="H4169" i="14"/>
  <c r="H4170" i="14"/>
  <c r="H4171" i="14"/>
  <c r="H4172" i="14"/>
  <c r="H4173" i="14"/>
  <c r="H4174" i="14"/>
  <c r="H4175" i="14"/>
  <c r="H4176" i="14"/>
  <c r="H4177" i="14"/>
  <c r="H4178" i="14"/>
  <c r="H4179" i="14"/>
  <c r="H4180" i="14"/>
  <c r="H4181" i="14"/>
  <c r="H4182" i="14"/>
  <c r="H4183" i="14"/>
  <c r="H4184" i="14"/>
  <c r="H4185" i="14"/>
  <c r="H4186" i="14"/>
  <c r="H4187" i="14"/>
  <c r="H4188" i="14"/>
  <c r="H4189" i="14"/>
  <c r="H4190" i="14"/>
  <c r="H4191" i="14"/>
  <c r="H4192" i="14"/>
  <c r="H4193" i="14"/>
  <c r="H4194" i="14"/>
  <c r="H4195" i="14"/>
  <c r="H4196" i="14"/>
  <c r="H4197" i="14"/>
  <c r="H4198" i="14"/>
  <c r="H4199" i="14"/>
  <c r="H4200" i="14"/>
  <c r="H4201" i="14"/>
  <c r="H4202" i="14"/>
  <c r="H4203" i="14"/>
  <c r="H4204" i="14"/>
  <c r="H4205" i="14"/>
  <c r="H4206" i="14"/>
  <c r="H4207" i="14"/>
  <c r="H4208" i="14"/>
  <c r="H4209" i="14"/>
  <c r="H4210" i="14"/>
  <c r="H4211" i="14"/>
  <c r="H4212" i="14"/>
  <c r="H4213" i="14"/>
  <c r="H4214" i="14"/>
  <c r="H4215" i="14"/>
  <c r="H4216" i="14"/>
  <c r="H4217" i="14"/>
  <c r="H4218" i="14"/>
  <c r="H4219" i="14"/>
  <c r="H4220" i="14"/>
  <c r="H4221" i="14"/>
  <c r="H4222" i="14"/>
  <c r="H4223" i="14"/>
  <c r="H4224" i="14"/>
  <c r="H4225" i="14"/>
  <c r="H4226" i="14"/>
  <c r="H4227" i="14"/>
  <c r="H4228" i="14"/>
  <c r="H4229" i="14"/>
  <c r="H4230" i="14"/>
  <c r="H4231" i="14"/>
  <c r="H4232" i="14"/>
  <c r="H4233" i="14"/>
  <c r="H4234" i="14"/>
  <c r="H4235" i="14"/>
  <c r="H4236" i="14"/>
  <c r="H4237" i="14"/>
  <c r="H4238" i="14"/>
  <c r="H4239" i="14"/>
  <c r="H4240" i="14"/>
  <c r="H4241" i="14"/>
  <c r="H4242" i="14"/>
  <c r="H4243" i="14"/>
  <c r="H4244" i="14"/>
  <c r="H4245" i="14"/>
  <c r="H4246" i="14"/>
  <c r="H4247" i="14"/>
  <c r="H4248" i="14"/>
  <c r="H4249" i="14"/>
  <c r="H4250" i="14"/>
  <c r="H4251" i="14"/>
  <c r="H4252" i="14"/>
  <c r="H4253" i="14"/>
  <c r="H4254" i="14"/>
  <c r="H4255" i="14"/>
  <c r="H4256" i="14"/>
  <c r="H4257" i="14"/>
  <c r="H4258" i="14"/>
  <c r="H4259" i="14"/>
  <c r="H4260" i="14"/>
  <c r="H4261" i="14"/>
  <c r="H4262" i="14"/>
  <c r="H4263" i="14"/>
  <c r="H4264" i="14"/>
  <c r="H4265" i="14"/>
  <c r="H4266" i="14"/>
  <c r="H4267" i="14"/>
  <c r="H4268" i="14"/>
  <c r="H4269" i="14"/>
  <c r="H4270" i="14"/>
  <c r="H4271" i="14"/>
  <c r="H4272" i="14"/>
  <c r="H4273" i="14"/>
  <c r="H4274" i="14"/>
  <c r="H4275" i="14"/>
  <c r="H4276" i="14"/>
  <c r="H4277" i="14"/>
  <c r="H4278" i="14"/>
  <c r="H4279" i="14"/>
  <c r="H4280" i="14"/>
  <c r="H4281" i="14"/>
  <c r="H4282" i="14"/>
  <c r="H4283" i="14"/>
  <c r="H4284" i="14"/>
  <c r="H4285" i="14"/>
  <c r="H4286" i="14"/>
  <c r="H4287" i="14"/>
  <c r="H4288" i="14"/>
  <c r="H4289" i="14"/>
  <c r="H4290" i="14"/>
  <c r="H4291" i="14"/>
  <c r="H4292" i="14"/>
  <c r="H4293" i="14"/>
  <c r="H4294" i="14"/>
  <c r="H4295" i="14"/>
  <c r="H4296" i="14"/>
  <c r="H4297" i="14"/>
  <c r="H4298" i="14"/>
  <c r="H4299" i="14"/>
  <c r="H4300" i="14"/>
  <c r="H4301" i="14"/>
  <c r="H4302" i="14"/>
  <c r="H4303" i="14"/>
  <c r="H4304" i="14"/>
  <c r="H4305" i="14"/>
  <c r="H4306" i="14"/>
  <c r="H4307" i="14"/>
  <c r="H4308" i="14"/>
  <c r="H4309" i="14"/>
  <c r="H4310" i="14"/>
  <c r="H4311" i="14"/>
  <c r="H4312" i="14"/>
  <c r="H4313" i="14"/>
  <c r="H4314" i="14"/>
  <c r="H4315" i="14"/>
  <c r="H4316" i="14"/>
  <c r="H4317" i="14"/>
  <c r="H4318" i="14"/>
  <c r="H4319" i="14"/>
  <c r="H4320" i="14"/>
  <c r="H4321" i="14"/>
  <c r="H4322" i="14"/>
  <c r="H4323" i="14"/>
  <c r="H4324" i="14"/>
  <c r="H4325" i="14"/>
  <c r="H4326" i="14"/>
  <c r="H4327" i="14"/>
  <c r="H4328" i="14"/>
  <c r="H4329" i="14"/>
  <c r="H4330" i="14"/>
  <c r="H4331" i="14"/>
  <c r="H4332" i="14"/>
  <c r="H4333" i="14"/>
  <c r="H4334" i="14"/>
  <c r="H4335" i="14"/>
  <c r="H4336" i="14"/>
  <c r="H4337" i="14"/>
  <c r="H4338" i="14"/>
  <c r="H4339" i="14"/>
  <c r="H4340" i="14"/>
  <c r="H4341" i="14"/>
  <c r="H4342" i="14"/>
  <c r="H4343" i="14"/>
  <c r="H4344" i="14"/>
  <c r="H4345" i="14"/>
  <c r="H4346" i="14"/>
  <c r="H4347" i="14"/>
  <c r="H4348" i="14"/>
  <c r="H4349" i="14"/>
  <c r="H4350" i="14"/>
  <c r="H4351" i="14"/>
  <c r="H4352" i="14"/>
  <c r="H4353" i="14"/>
  <c r="H4354" i="14"/>
  <c r="H4355" i="14"/>
  <c r="H4356" i="14"/>
  <c r="H4357" i="14"/>
  <c r="H4358" i="14"/>
  <c r="H4359" i="14"/>
  <c r="H4360" i="14"/>
  <c r="H4361" i="14"/>
  <c r="H4362" i="14"/>
  <c r="H4363" i="14"/>
  <c r="H4364" i="14"/>
  <c r="H4365" i="14"/>
  <c r="H4366" i="14"/>
  <c r="H4367" i="14"/>
  <c r="H4368" i="14"/>
  <c r="H4369" i="14"/>
  <c r="H4370" i="14"/>
  <c r="H4371" i="14"/>
  <c r="H4372" i="14"/>
  <c r="H4373" i="14"/>
  <c r="H4374" i="14"/>
  <c r="H4375" i="14"/>
  <c r="H4376" i="14"/>
  <c r="H4377" i="14"/>
  <c r="H4378" i="14"/>
  <c r="H4379" i="14"/>
  <c r="H4380" i="14"/>
  <c r="H4381" i="14"/>
  <c r="H4382" i="14"/>
  <c r="H4383" i="14"/>
  <c r="H4384" i="14"/>
  <c r="H4385" i="14"/>
  <c r="H4386" i="14"/>
  <c r="H4387" i="14"/>
  <c r="H4388" i="14"/>
  <c r="H4389" i="14"/>
  <c r="H4390" i="14"/>
  <c r="H4391" i="14"/>
  <c r="H4392" i="14"/>
  <c r="H4393" i="14"/>
  <c r="H4394" i="14"/>
  <c r="H4395" i="14"/>
  <c r="H4396" i="14"/>
  <c r="H4397" i="14"/>
  <c r="H4398" i="14"/>
  <c r="H4399" i="14"/>
  <c r="H4400" i="14"/>
  <c r="H4401" i="14"/>
  <c r="H4402" i="14"/>
  <c r="H4403" i="14"/>
  <c r="H4404" i="14"/>
  <c r="H4405" i="14"/>
  <c r="H4406" i="14"/>
  <c r="H4407" i="14"/>
  <c r="H4408" i="14"/>
  <c r="H4409" i="14"/>
  <c r="H4410" i="14"/>
  <c r="H4411" i="14"/>
  <c r="H4412" i="14"/>
  <c r="H4413" i="14"/>
  <c r="H4414" i="14"/>
  <c r="H4415" i="14"/>
  <c r="H4416" i="14"/>
  <c r="H4417" i="14"/>
  <c r="H4418" i="14"/>
  <c r="H4419" i="14"/>
  <c r="H4420" i="14"/>
  <c r="H4421" i="14"/>
  <c r="H4422" i="14"/>
  <c r="H4423" i="14"/>
  <c r="H4424" i="14"/>
  <c r="H4425" i="14"/>
  <c r="H4426" i="14"/>
  <c r="H4427" i="14"/>
  <c r="H4428" i="14"/>
  <c r="H4429" i="14"/>
  <c r="H4430" i="14"/>
  <c r="H4431" i="14"/>
  <c r="H4432" i="14"/>
  <c r="H4433" i="14"/>
  <c r="H4434" i="14"/>
  <c r="H4435" i="14"/>
  <c r="H4436" i="14"/>
  <c r="H4437" i="14"/>
  <c r="H4438" i="14"/>
  <c r="H4439" i="14"/>
  <c r="H4440" i="14"/>
  <c r="H4441" i="14"/>
  <c r="H4442" i="14"/>
  <c r="H4443" i="14"/>
  <c r="H4444" i="14"/>
  <c r="H4445" i="14"/>
  <c r="H4446" i="14"/>
  <c r="H4447" i="14"/>
  <c r="H4448" i="14"/>
  <c r="H4449" i="14"/>
  <c r="H4450" i="14"/>
  <c r="H4451" i="14"/>
  <c r="H4452" i="14"/>
  <c r="H4453" i="14"/>
  <c r="H4454" i="14"/>
  <c r="H4455" i="14"/>
  <c r="H4456" i="14"/>
  <c r="H4457" i="14"/>
  <c r="H4458" i="14"/>
  <c r="H4459" i="14"/>
  <c r="H4460" i="14"/>
  <c r="H4461" i="14"/>
  <c r="H4462" i="14"/>
  <c r="H4463" i="14"/>
  <c r="H4464" i="14"/>
  <c r="H4465" i="14"/>
  <c r="H4466" i="14"/>
  <c r="H4467" i="14"/>
  <c r="H4468" i="14"/>
  <c r="H4469" i="14"/>
  <c r="H4470" i="14"/>
  <c r="H4471" i="14"/>
  <c r="H4472" i="14"/>
  <c r="H4473" i="14"/>
  <c r="H4474" i="14"/>
  <c r="H4475" i="14"/>
  <c r="H4476" i="14"/>
  <c r="H4477" i="14"/>
  <c r="H4478" i="14"/>
  <c r="H4479" i="14"/>
  <c r="H4480" i="14"/>
  <c r="H4481" i="14"/>
  <c r="H4482" i="14"/>
  <c r="H4483" i="14"/>
  <c r="H4484" i="14"/>
  <c r="H4485" i="14"/>
  <c r="H4486" i="14"/>
  <c r="H4487" i="14"/>
  <c r="H4488" i="14"/>
  <c r="H4489" i="14"/>
  <c r="H4490" i="14"/>
  <c r="H4491" i="14"/>
  <c r="H4492" i="14"/>
  <c r="H4493" i="14"/>
  <c r="H4494" i="14"/>
  <c r="H4495" i="14"/>
  <c r="H4496" i="14"/>
  <c r="H4497" i="14"/>
  <c r="H4498" i="14"/>
  <c r="H4499" i="14"/>
  <c r="H4500" i="14"/>
  <c r="H4501" i="14"/>
  <c r="H4502" i="14"/>
  <c r="H4503" i="14"/>
  <c r="H4504" i="14"/>
  <c r="H4505" i="14"/>
  <c r="H4506" i="14"/>
  <c r="H4507" i="14"/>
  <c r="H4508" i="14"/>
  <c r="H4509" i="14"/>
  <c r="H4510" i="14"/>
  <c r="H4511" i="14"/>
  <c r="H4512" i="14"/>
  <c r="H4513" i="14"/>
  <c r="H4514" i="14"/>
  <c r="H4515" i="14"/>
  <c r="H4516" i="14"/>
  <c r="H4517" i="14"/>
  <c r="H4518" i="14"/>
  <c r="H4519" i="14"/>
  <c r="H4520" i="14"/>
  <c r="H4521" i="14"/>
  <c r="H4522" i="14"/>
  <c r="H4523" i="14"/>
  <c r="H4524" i="14"/>
  <c r="H4525" i="14"/>
  <c r="H4526" i="14"/>
  <c r="H4527" i="14"/>
  <c r="H4528" i="14"/>
  <c r="H4529" i="14"/>
  <c r="H4530" i="14"/>
  <c r="H4531" i="14"/>
  <c r="H4532" i="14"/>
  <c r="H4533" i="14"/>
  <c r="H4534" i="14"/>
  <c r="H4535" i="14"/>
  <c r="H4536" i="14"/>
  <c r="H4537" i="14"/>
  <c r="H4538" i="14"/>
  <c r="H4539" i="14"/>
  <c r="H4540" i="14"/>
  <c r="H4541" i="14"/>
  <c r="H4542" i="14"/>
  <c r="H4543" i="14"/>
  <c r="H4544" i="14"/>
  <c r="H4545" i="14"/>
  <c r="H4546" i="14"/>
  <c r="H4547" i="14"/>
  <c r="H4548" i="14"/>
  <c r="H4549" i="14"/>
  <c r="H4550" i="14"/>
  <c r="H4551" i="14"/>
  <c r="H4552" i="14"/>
  <c r="H4553" i="14"/>
  <c r="H4554" i="14"/>
  <c r="H4555" i="14"/>
  <c r="H4556" i="14"/>
  <c r="H4557" i="14"/>
  <c r="H4558" i="14"/>
  <c r="H4559" i="14"/>
  <c r="H4560" i="14"/>
  <c r="H4561" i="14"/>
  <c r="H4562" i="14"/>
  <c r="H4563" i="14"/>
  <c r="H4564" i="14"/>
  <c r="H4565" i="14"/>
  <c r="H4566" i="14"/>
  <c r="H4567" i="14"/>
  <c r="H4568" i="14"/>
  <c r="H4569" i="14"/>
  <c r="H4570" i="14"/>
  <c r="H4571" i="14"/>
  <c r="H4572" i="14"/>
  <c r="H4573" i="14"/>
  <c r="H4574" i="14"/>
  <c r="H4575" i="14"/>
  <c r="H4576" i="14"/>
  <c r="H4577" i="14"/>
  <c r="H4578" i="14"/>
  <c r="H4579" i="14"/>
  <c r="H4580" i="14"/>
  <c r="H4581" i="14"/>
  <c r="H4582" i="14"/>
  <c r="H4583" i="14"/>
  <c r="H4584" i="14"/>
  <c r="H4585" i="14"/>
  <c r="H4586" i="14"/>
  <c r="H4587" i="14"/>
  <c r="H4588" i="14"/>
  <c r="H4589" i="14"/>
  <c r="H4590" i="14"/>
  <c r="H4591" i="14"/>
  <c r="H4592" i="14"/>
  <c r="H4593" i="14"/>
  <c r="H4594" i="14"/>
  <c r="H4595" i="14"/>
  <c r="H4596" i="14"/>
  <c r="H4597" i="14"/>
  <c r="H4598" i="14"/>
  <c r="H4599" i="14"/>
  <c r="H4600" i="14"/>
  <c r="H4601" i="14"/>
  <c r="H4602" i="14"/>
  <c r="H4603" i="14"/>
  <c r="H4604" i="14"/>
  <c r="H4605" i="14"/>
  <c r="H4606" i="14"/>
  <c r="H4607" i="14"/>
  <c r="H4608" i="14"/>
  <c r="H4609" i="14"/>
  <c r="H4610" i="14"/>
  <c r="H4611" i="14"/>
  <c r="H4612" i="14"/>
  <c r="H4613" i="14"/>
  <c r="H4614" i="14"/>
  <c r="H4615" i="14"/>
  <c r="H4616" i="14"/>
  <c r="H4617" i="14"/>
  <c r="H4618" i="14"/>
  <c r="H4619" i="14"/>
  <c r="H4620" i="14"/>
  <c r="H4621" i="14"/>
  <c r="H4622" i="14"/>
  <c r="H4623" i="14"/>
  <c r="H4624" i="14"/>
  <c r="H4625" i="14"/>
  <c r="H4626" i="14"/>
  <c r="H4627" i="14"/>
  <c r="H4628" i="14"/>
  <c r="H4629" i="14"/>
  <c r="H4630" i="14"/>
  <c r="H4631" i="14"/>
  <c r="H4632" i="14"/>
  <c r="H4633" i="14"/>
  <c r="H4634" i="14"/>
  <c r="H4635" i="14"/>
  <c r="H4636" i="14"/>
  <c r="H4637" i="14"/>
  <c r="H4638" i="14"/>
  <c r="H4639" i="14"/>
  <c r="H4640" i="14"/>
  <c r="H4641" i="14"/>
  <c r="H4642" i="14"/>
  <c r="H4643" i="14"/>
  <c r="H4644" i="14"/>
  <c r="H4645" i="14"/>
  <c r="H4646" i="14"/>
  <c r="H4647" i="14"/>
  <c r="H4648" i="14"/>
  <c r="H4649" i="14"/>
  <c r="H4650" i="14"/>
  <c r="H4651" i="14"/>
  <c r="H4652" i="14"/>
  <c r="H4653" i="14"/>
  <c r="H4654" i="14"/>
  <c r="H4655" i="14"/>
  <c r="H4656" i="14"/>
  <c r="H4657" i="14"/>
  <c r="H4658" i="14"/>
  <c r="H4659" i="14"/>
  <c r="H4660" i="14"/>
  <c r="H4661" i="14"/>
  <c r="H4662" i="14"/>
  <c r="H4663" i="14"/>
  <c r="H4664" i="14"/>
  <c r="H4665" i="14"/>
  <c r="H4666" i="14"/>
  <c r="H4667" i="14"/>
  <c r="H4668" i="14"/>
  <c r="H4669" i="14"/>
  <c r="H4670" i="14"/>
  <c r="H4671" i="14"/>
  <c r="H4672" i="14"/>
  <c r="H4673" i="14"/>
  <c r="H4674" i="14"/>
  <c r="H4675" i="14"/>
  <c r="H4676" i="14"/>
  <c r="H4677" i="14"/>
  <c r="H4678" i="14"/>
  <c r="H4679" i="14"/>
  <c r="H4680" i="14"/>
  <c r="H4681" i="14"/>
  <c r="H4682" i="14"/>
  <c r="H4683" i="14"/>
  <c r="H4684" i="14"/>
  <c r="H4685" i="14"/>
  <c r="H4686" i="14"/>
  <c r="H4687" i="14"/>
  <c r="H4688" i="14"/>
  <c r="H4689" i="14"/>
  <c r="H4690" i="14"/>
  <c r="H4691" i="14"/>
  <c r="H4692" i="14"/>
  <c r="H4693" i="14"/>
  <c r="H4694" i="14"/>
  <c r="H4695" i="14"/>
  <c r="H4696" i="14"/>
  <c r="H4697" i="14"/>
  <c r="H4698" i="14"/>
  <c r="H4699" i="14"/>
  <c r="H4700" i="14"/>
  <c r="H4701" i="14"/>
  <c r="H4702" i="14"/>
  <c r="H4703" i="14"/>
  <c r="H4704" i="14"/>
  <c r="H4705" i="14"/>
  <c r="H4706" i="14"/>
  <c r="H4707" i="14"/>
  <c r="H4708" i="14"/>
  <c r="H4709" i="14"/>
  <c r="H4710" i="14"/>
  <c r="H4711" i="14"/>
  <c r="H4712" i="14"/>
  <c r="H4713" i="14"/>
  <c r="H4714" i="14"/>
  <c r="H4715" i="14"/>
  <c r="H4716" i="14"/>
  <c r="H4717" i="14"/>
  <c r="H4718" i="14"/>
  <c r="H4719" i="14"/>
  <c r="H4720" i="14"/>
  <c r="H4721" i="14"/>
  <c r="H4722" i="14"/>
  <c r="H4723" i="14"/>
  <c r="H4724" i="14"/>
  <c r="H4725" i="14"/>
  <c r="H4726" i="14"/>
  <c r="H4727" i="14"/>
  <c r="H4728" i="14"/>
  <c r="H4729" i="14"/>
  <c r="H4730" i="14"/>
  <c r="H4731" i="14"/>
  <c r="H4732" i="14"/>
  <c r="H4733" i="14"/>
  <c r="H4734" i="14"/>
  <c r="H4735" i="14"/>
  <c r="H4736" i="14"/>
  <c r="H4737" i="14"/>
  <c r="H4738" i="14"/>
  <c r="H4739" i="14"/>
  <c r="H4740" i="14"/>
  <c r="H4741" i="14"/>
  <c r="H4742" i="14"/>
  <c r="H4743" i="14"/>
  <c r="H4744" i="14"/>
  <c r="H4745" i="14"/>
  <c r="H4746" i="14"/>
  <c r="H4747" i="14"/>
  <c r="H4748" i="14"/>
  <c r="H4749" i="14"/>
  <c r="H4750" i="14"/>
  <c r="H4751" i="14"/>
  <c r="H4752" i="14"/>
  <c r="H4753" i="14"/>
  <c r="H4754" i="14"/>
  <c r="H4755" i="14"/>
  <c r="H4756" i="14"/>
  <c r="H4757" i="14"/>
  <c r="H4758" i="14"/>
  <c r="H4759" i="14"/>
  <c r="H4760" i="14"/>
  <c r="H4761" i="14"/>
  <c r="H4762" i="14"/>
  <c r="H4763" i="14"/>
  <c r="H4764" i="14"/>
  <c r="H4765" i="14"/>
  <c r="H4766" i="14"/>
  <c r="H4767" i="14"/>
  <c r="H4768" i="14"/>
  <c r="H4769" i="14"/>
  <c r="H4770" i="14"/>
  <c r="H4771" i="14"/>
  <c r="H4772" i="14"/>
  <c r="H4773" i="14"/>
  <c r="H4774" i="14"/>
  <c r="H4775" i="14"/>
  <c r="H4776" i="14"/>
  <c r="H4777" i="14"/>
  <c r="H4778" i="14"/>
  <c r="H4779" i="14"/>
  <c r="H4780" i="14"/>
  <c r="H4781" i="14"/>
  <c r="H4782" i="14"/>
  <c r="H4783" i="14"/>
  <c r="H4784" i="14"/>
  <c r="H4785" i="14"/>
  <c r="H4786" i="14"/>
  <c r="H4787" i="14"/>
  <c r="H4788" i="14"/>
  <c r="H4789" i="14"/>
  <c r="H4790" i="14"/>
  <c r="H4791" i="14"/>
  <c r="H4792" i="14"/>
  <c r="H4793" i="14"/>
  <c r="H4794" i="14"/>
  <c r="H4795" i="14"/>
  <c r="H4796" i="14"/>
  <c r="H4797" i="14"/>
  <c r="H4798" i="14"/>
  <c r="H4799" i="14"/>
  <c r="H4800" i="14"/>
  <c r="H4801" i="14"/>
  <c r="H4802" i="14"/>
  <c r="H4803" i="14"/>
  <c r="H4804" i="14"/>
  <c r="H4805" i="14"/>
  <c r="H4806" i="14"/>
  <c r="H4807" i="14"/>
  <c r="H4808" i="14"/>
  <c r="H4809" i="14"/>
  <c r="H4810" i="14"/>
  <c r="H4811" i="14"/>
  <c r="H4812" i="14"/>
  <c r="H4813" i="14"/>
  <c r="H4814" i="14"/>
  <c r="H4815" i="14"/>
  <c r="H4816" i="14"/>
  <c r="H4817" i="14"/>
  <c r="H4818" i="14"/>
  <c r="H4819" i="14"/>
  <c r="H4820" i="14"/>
  <c r="H4821" i="14"/>
  <c r="H4822" i="14"/>
  <c r="H4823" i="14"/>
  <c r="H4824" i="14"/>
  <c r="H4825" i="14"/>
  <c r="H4826" i="14"/>
  <c r="H4827" i="14"/>
  <c r="H4828" i="14"/>
  <c r="H4829" i="14"/>
  <c r="H4830" i="14"/>
  <c r="H4831" i="14"/>
  <c r="H4832" i="14"/>
  <c r="H4833" i="14"/>
  <c r="H4834" i="14"/>
  <c r="H4835" i="14"/>
  <c r="H4836" i="14"/>
  <c r="H4837" i="14"/>
  <c r="H4838" i="14"/>
  <c r="H4839" i="14"/>
  <c r="H4840" i="14"/>
  <c r="H4841" i="14"/>
  <c r="H4842" i="14"/>
  <c r="H4843" i="14"/>
  <c r="H4844" i="14"/>
  <c r="H4845" i="14"/>
  <c r="H4846" i="14"/>
  <c r="H4847" i="14"/>
  <c r="H4848" i="14"/>
  <c r="H4849" i="14"/>
  <c r="H4850" i="14"/>
  <c r="H4851" i="14"/>
  <c r="H4852" i="14"/>
  <c r="H4853" i="14"/>
  <c r="H4854" i="14"/>
  <c r="H4855" i="14"/>
  <c r="H4856" i="14"/>
  <c r="H4857" i="14"/>
  <c r="H4858" i="14"/>
  <c r="H4859" i="14"/>
  <c r="H4860" i="14"/>
  <c r="H4861" i="14"/>
  <c r="H4862" i="14"/>
  <c r="H4863" i="14"/>
  <c r="H4864" i="14"/>
  <c r="H4865" i="14"/>
  <c r="H4866" i="14"/>
  <c r="H4867" i="14"/>
  <c r="H4868" i="14"/>
  <c r="H4869" i="14"/>
  <c r="H4870" i="14"/>
  <c r="H4871" i="14"/>
  <c r="H4872" i="14"/>
  <c r="H4873" i="14"/>
  <c r="H4874" i="14"/>
  <c r="H4875" i="14"/>
  <c r="H4876" i="14"/>
  <c r="H4877" i="14"/>
  <c r="H4878" i="14"/>
  <c r="H4879" i="14"/>
  <c r="H4880" i="14"/>
  <c r="H4881" i="14"/>
  <c r="H4882" i="14"/>
  <c r="H4883" i="14"/>
  <c r="H4884" i="14"/>
  <c r="H4885" i="14"/>
  <c r="H4886" i="14"/>
  <c r="H4887" i="14"/>
  <c r="H4888" i="14"/>
  <c r="H4889" i="14"/>
  <c r="H4890" i="14"/>
  <c r="H4891" i="14"/>
  <c r="H4892" i="14"/>
  <c r="H4893" i="14"/>
  <c r="H4894" i="14"/>
  <c r="H4895" i="14"/>
  <c r="H4896" i="14"/>
  <c r="H4897" i="14"/>
  <c r="H4898" i="14"/>
  <c r="H4899" i="14"/>
  <c r="H4900" i="14"/>
  <c r="H4901" i="14"/>
  <c r="H4902" i="14"/>
  <c r="H4903" i="14"/>
  <c r="H4904" i="14"/>
  <c r="H4905" i="14"/>
  <c r="H4906" i="14"/>
  <c r="H4907" i="14"/>
  <c r="H4908" i="14"/>
  <c r="H4909" i="14"/>
  <c r="H4910" i="14"/>
  <c r="H4911" i="14"/>
  <c r="H4912" i="14"/>
  <c r="H4913" i="14"/>
  <c r="H4914" i="14"/>
  <c r="H4915" i="14"/>
  <c r="H4916" i="14"/>
  <c r="H4917" i="14"/>
  <c r="H4918" i="14"/>
  <c r="H4919" i="14"/>
  <c r="H4920" i="14"/>
  <c r="H4921" i="14"/>
  <c r="H4922" i="14"/>
  <c r="H4923" i="14"/>
  <c r="H4924" i="14"/>
  <c r="H4925" i="14"/>
  <c r="H4926" i="14"/>
  <c r="H4927" i="14"/>
  <c r="H4928" i="14"/>
  <c r="H4929" i="14"/>
  <c r="H4930" i="14"/>
  <c r="H4931" i="14"/>
  <c r="H4932" i="14"/>
  <c r="H4933" i="14"/>
  <c r="H4934" i="14"/>
  <c r="H4935" i="14"/>
  <c r="H4936" i="14"/>
  <c r="H4937" i="14"/>
  <c r="H4938" i="14"/>
  <c r="H4939" i="14"/>
  <c r="H4940" i="14"/>
  <c r="H4941" i="14"/>
  <c r="H4942" i="14"/>
  <c r="H4943" i="14"/>
  <c r="H4944" i="14"/>
  <c r="H4945" i="14"/>
  <c r="H4946" i="14"/>
  <c r="H4947" i="14"/>
  <c r="H4948" i="14"/>
  <c r="H4949" i="14"/>
  <c r="H4950" i="14"/>
  <c r="H4951" i="14"/>
  <c r="H4952" i="14"/>
  <c r="H4953" i="14"/>
  <c r="H4954" i="14"/>
  <c r="H4955" i="14"/>
  <c r="H4956" i="14"/>
  <c r="H4957" i="14"/>
  <c r="H4958" i="14"/>
  <c r="H4959" i="14"/>
  <c r="H4960" i="14"/>
  <c r="H4961" i="14"/>
  <c r="H4962" i="14"/>
  <c r="H4963" i="14"/>
  <c r="H4964" i="14"/>
  <c r="H4965" i="14"/>
  <c r="H4966" i="14"/>
  <c r="H4967" i="14"/>
  <c r="H4968" i="14"/>
  <c r="H4969" i="14"/>
  <c r="H4970" i="14"/>
  <c r="H4971" i="14"/>
  <c r="H4972" i="14"/>
  <c r="H4973" i="14"/>
  <c r="H4974" i="14"/>
  <c r="H4975" i="14"/>
  <c r="H4976" i="14"/>
  <c r="H4977" i="14"/>
  <c r="H4978" i="14"/>
  <c r="H4979" i="14"/>
  <c r="H4980" i="14"/>
  <c r="H4981" i="14"/>
  <c r="H4982" i="14"/>
  <c r="H4983" i="14"/>
  <c r="H4984" i="14"/>
  <c r="H4985" i="14"/>
  <c r="H4986" i="14"/>
  <c r="H4987" i="14"/>
  <c r="H4988" i="14"/>
  <c r="H4989" i="14"/>
  <c r="H4990" i="14"/>
  <c r="H4991" i="14"/>
  <c r="H4992" i="14"/>
  <c r="H4993" i="14"/>
  <c r="H4994" i="14"/>
  <c r="H4995" i="14"/>
  <c r="H4996" i="14"/>
  <c r="H4997" i="14"/>
  <c r="H4998" i="14"/>
  <c r="H4999" i="14"/>
  <c r="H5000" i="14"/>
  <c r="H5001" i="14"/>
  <c r="H2" i="14"/>
  <c r="E73" i="10"/>
  <c r="F73" i="10"/>
  <c r="O73" i="10"/>
  <c r="R73" i="10"/>
  <c r="Q73" i="10" s="1"/>
  <c r="V73" i="10"/>
  <c r="X73" i="10" s="1"/>
  <c r="Y73" i="10"/>
  <c r="Z73" i="10" s="1"/>
  <c r="AA73" i="10"/>
  <c r="H73" i="10" s="1"/>
  <c r="AF73" i="10"/>
  <c r="AG73" i="10"/>
  <c r="AH73" i="10"/>
  <c r="AI73" i="10"/>
  <c r="AJ73" i="10"/>
  <c r="AD73" i="10" a="1"/>
  <c r="AD73" i="10" s="1"/>
  <c r="AS73" i="10"/>
  <c r="AT73" i="10" s="1"/>
  <c r="AU73" i="10"/>
  <c r="AV73" i="10" s="1"/>
  <c r="AW73" i="10"/>
  <c r="AX73" i="10" s="1"/>
  <c r="E72" i="10"/>
  <c r="F72" i="10"/>
  <c r="O72" i="10"/>
  <c r="R72" i="10"/>
  <c r="Q72" i="10" s="1"/>
  <c r="V72" i="10"/>
  <c r="X72" i="10" s="1"/>
  <c r="Y72" i="10"/>
  <c r="Z72" i="10" s="1"/>
  <c r="AA72" i="10"/>
  <c r="H72" i="10" s="1"/>
  <c r="AF72" i="10"/>
  <c r="AG72" i="10"/>
  <c r="AH72" i="10"/>
  <c r="AI72" i="10"/>
  <c r="AJ72" i="10"/>
  <c r="AD72" i="10" a="1"/>
  <c r="AD72" i="10" s="1"/>
  <c r="AS72" i="10"/>
  <c r="AT72" i="10" s="1"/>
  <c r="AU72" i="10"/>
  <c r="AV72" i="10" s="1"/>
  <c r="AW72" i="10"/>
  <c r="AX72" i="10" s="1"/>
  <c r="AW2" i="10"/>
  <c r="AX2" i="10" s="1"/>
  <c r="AW3" i="10"/>
  <c r="AX3" i="10" s="1"/>
  <c r="AW4" i="10"/>
  <c r="AX4" i="10" s="1"/>
  <c r="AW13" i="10"/>
  <c r="AX13" i="10" s="1"/>
  <c r="AW16" i="10"/>
  <c r="AX16" i="10" s="1"/>
  <c r="AW17" i="10"/>
  <c r="AX17" i="10" s="1"/>
  <c r="AW27" i="10"/>
  <c r="AX27" i="10" s="1"/>
  <c r="AW28" i="10"/>
  <c r="AX28" i="10" s="1"/>
  <c r="AW29" i="10"/>
  <c r="AX29" i="10" s="1"/>
  <c r="AW30" i="10"/>
  <c r="AX30" i="10" s="1"/>
  <c r="AW39" i="10"/>
  <c r="AX39" i="10" s="1"/>
  <c r="AW40" i="10"/>
  <c r="AX40" i="10" s="1"/>
  <c r="AW43" i="10"/>
  <c r="AX43" i="10" s="1"/>
  <c r="AW44" i="10"/>
  <c r="AX44" i="10" s="1"/>
  <c r="AW45" i="10"/>
  <c r="AX45" i="10" s="1"/>
  <c r="AW46" i="10"/>
  <c r="AX46" i="10" s="1"/>
  <c r="AW49" i="10"/>
  <c r="AX49" i="10" s="1"/>
  <c r="AW50" i="10"/>
  <c r="AX50" i="10" s="1"/>
  <c r="AW51" i="10"/>
  <c r="AX51" i="10" s="1"/>
  <c r="AW52" i="10"/>
  <c r="AX52" i="10" s="1"/>
  <c r="AW53" i="10"/>
  <c r="AX53" i="10" s="1"/>
  <c r="AW54" i="10"/>
  <c r="AX54" i="10" s="1"/>
  <c r="AW55" i="10"/>
  <c r="AX55" i="10" s="1"/>
  <c r="AW56" i="10"/>
  <c r="AX56" i="10" s="1"/>
  <c r="AW65" i="10"/>
  <c r="AX65" i="10" s="1"/>
  <c r="AW66" i="10"/>
  <c r="AX66" i="10" s="1"/>
  <c r="AW67" i="10"/>
  <c r="AX67" i="10" s="1"/>
  <c r="AW68" i="10"/>
  <c r="AX68" i="10" s="1"/>
  <c r="AW69" i="10"/>
  <c r="AX69" i="10" s="1"/>
  <c r="AW70" i="10"/>
  <c r="AX70" i="10" s="1"/>
  <c r="AW71" i="10"/>
  <c r="AX71" i="10" s="1"/>
  <c r="AW74" i="10"/>
  <c r="AX74" i="10" s="1"/>
  <c r="AW75" i="10"/>
  <c r="AX75" i="10" s="1"/>
  <c r="AW76" i="10"/>
  <c r="AX76" i="10" s="1"/>
  <c r="AW77" i="10"/>
  <c r="AX77" i="10" s="1"/>
  <c r="AW78" i="10"/>
  <c r="AX78" i="10" s="1"/>
  <c r="AW79" i="10"/>
  <c r="AX79" i="10" s="1"/>
  <c r="AW80" i="10"/>
  <c r="AX80" i="10" s="1"/>
  <c r="AW81" i="10"/>
  <c r="AX81" i="10" s="1"/>
  <c r="AW82" i="10"/>
  <c r="AX82" i="10" s="1"/>
  <c r="AW83" i="10"/>
  <c r="AX83" i="10" s="1"/>
  <c r="AW86" i="10"/>
  <c r="AX86" i="10" s="1"/>
  <c r="AW87" i="10"/>
  <c r="AX87" i="10" s="1"/>
  <c r="AW88" i="10"/>
  <c r="AX88" i="10" s="1"/>
  <c r="AW89" i="10"/>
  <c r="AX89" i="10" s="1"/>
  <c r="AW90" i="10"/>
  <c r="AX90" i="10" s="1"/>
  <c r="AW91" i="10"/>
  <c r="AX91" i="10" s="1"/>
  <c r="AW92" i="10"/>
  <c r="AX92" i="10" s="1"/>
  <c r="AW94" i="10"/>
  <c r="AX94" i="10" s="1"/>
  <c r="AW95" i="10"/>
  <c r="AX95" i="10" s="1"/>
  <c r="AW96" i="10"/>
  <c r="AX96" i="10" s="1"/>
  <c r="AW97" i="10"/>
  <c r="AX97" i="10" s="1"/>
  <c r="AW98" i="10"/>
  <c r="AX98" i="10" s="1"/>
  <c r="AW99" i="10"/>
  <c r="AX99" i="10" s="1"/>
  <c r="AW100" i="10"/>
  <c r="AX100" i="10" s="1"/>
  <c r="AW101" i="10"/>
  <c r="AX101" i="10" s="1"/>
  <c r="AW102" i="10"/>
  <c r="AX102" i="10" s="1"/>
  <c r="AW103" i="10"/>
  <c r="AX103" i="10" s="1"/>
  <c r="AW104" i="10"/>
  <c r="AX104" i="10" s="1"/>
  <c r="AW105" i="10"/>
  <c r="AX105" i="10" s="1"/>
  <c r="AW106" i="10"/>
  <c r="AX106" i="10" s="1"/>
  <c r="AU2" i="10"/>
  <c r="AV2" i="10" s="1"/>
  <c r="AU3" i="10"/>
  <c r="AV3" i="10" s="1"/>
  <c r="AU4" i="10"/>
  <c r="AV4" i="10" s="1"/>
  <c r="AU13" i="10"/>
  <c r="AV13" i="10" s="1"/>
  <c r="AU16" i="10"/>
  <c r="AV16" i="10" s="1"/>
  <c r="AU17" i="10"/>
  <c r="AV17" i="10" s="1"/>
  <c r="AU27" i="10"/>
  <c r="AV27" i="10" s="1"/>
  <c r="AU28" i="10"/>
  <c r="AV28" i="10" s="1"/>
  <c r="AU29" i="10"/>
  <c r="AV29" i="10" s="1"/>
  <c r="AU30" i="10"/>
  <c r="AV30" i="10" s="1"/>
  <c r="AU39" i="10"/>
  <c r="AV39" i="10" s="1"/>
  <c r="AU40" i="10"/>
  <c r="AV40" i="10" s="1"/>
  <c r="AU43" i="10"/>
  <c r="AV43" i="10" s="1"/>
  <c r="AU44" i="10"/>
  <c r="AV44" i="10" s="1"/>
  <c r="AU45" i="10"/>
  <c r="AV45" i="10" s="1"/>
  <c r="AU46" i="10"/>
  <c r="AV46" i="10" s="1"/>
  <c r="AU49" i="10"/>
  <c r="AV49" i="10" s="1"/>
  <c r="AU50" i="10"/>
  <c r="AV50" i="10" s="1"/>
  <c r="AU51" i="10"/>
  <c r="AV51" i="10" s="1"/>
  <c r="AU52" i="10"/>
  <c r="AV52" i="10" s="1"/>
  <c r="AU53" i="10"/>
  <c r="AV53" i="10" s="1"/>
  <c r="AU54" i="10"/>
  <c r="AV54" i="10" s="1"/>
  <c r="AU55" i="10"/>
  <c r="AV55" i="10" s="1"/>
  <c r="AU56" i="10"/>
  <c r="AV56" i="10" s="1"/>
  <c r="AU65" i="10"/>
  <c r="AV65" i="10" s="1"/>
  <c r="AU66" i="10"/>
  <c r="AV66" i="10" s="1"/>
  <c r="AU67" i="10"/>
  <c r="AV67" i="10" s="1"/>
  <c r="AU68" i="10"/>
  <c r="AV68" i="10" s="1"/>
  <c r="AU69" i="10"/>
  <c r="AV69" i="10" s="1"/>
  <c r="AU70" i="10"/>
  <c r="AV70" i="10" s="1"/>
  <c r="AU71" i="10"/>
  <c r="AV71" i="10" s="1"/>
  <c r="AU74" i="10"/>
  <c r="AV74" i="10" s="1"/>
  <c r="AU75" i="10"/>
  <c r="AV75" i="10" s="1"/>
  <c r="AU76" i="10"/>
  <c r="AV76" i="10" s="1"/>
  <c r="AU77" i="10"/>
  <c r="AV77" i="10" s="1"/>
  <c r="AU78" i="10"/>
  <c r="AV78" i="10" s="1"/>
  <c r="AU79" i="10"/>
  <c r="AV79" i="10" s="1"/>
  <c r="AU80" i="10"/>
  <c r="AV80" i="10" s="1"/>
  <c r="AU81" i="10"/>
  <c r="AV81" i="10" s="1"/>
  <c r="AU82" i="10"/>
  <c r="AV82" i="10" s="1"/>
  <c r="AU83" i="10"/>
  <c r="AV83" i="10" s="1"/>
  <c r="AU86" i="10"/>
  <c r="AV86" i="10" s="1"/>
  <c r="AU87" i="10"/>
  <c r="AV87" i="10" s="1"/>
  <c r="AU88" i="10"/>
  <c r="AV88" i="10" s="1"/>
  <c r="AU89" i="10"/>
  <c r="AV89" i="10" s="1"/>
  <c r="AU90" i="10"/>
  <c r="AV90" i="10" s="1"/>
  <c r="AU91" i="10"/>
  <c r="AV91" i="10" s="1"/>
  <c r="AU92" i="10"/>
  <c r="AV92" i="10" s="1"/>
  <c r="AU94" i="10"/>
  <c r="AV94" i="10" s="1"/>
  <c r="AU95" i="10"/>
  <c r="AV95" i="10" s="1"/>
  <c r="AU96" i="10"/>
  <c r="AV96" i="10" s="1"/>
  <c r="AU97" i="10"/>
  <c r="AV97" i="10" s="1"/>
  <c r="AU98" i="10"/>
  <c r="AV98" i="10" s="1"/>
  <c r="AU99" i="10"/>
  <c r="AV99" i="10" s="1"/>
  <c r="AU100" i="10"/>
  <c r="AV100" i="10" s="1"/>
  <c r="AU101" i="10"/>
  <c r="AV101" i="10" s="1"/>
  <c r="AU102" i="10"/>
  <c r="AV102" i="10" s="1"/>
  <c r="AU103" i="10"/>
  <c r="AV103" i="10" s="1"/>
  <c r="AU104" i="10"/>
  <c r="AV104" i="10" s="1"/>
  <c r="AU105" i="10"/>
  <c r="AV105" i="10" s="1"/>
  <c r="AU106" i="10"/>
  <c r="AV106" i="10" s="1"/>
  <c r="AS2" i="10"/>
  <c r="AT2" i="10" s="1"/>
  <c r="AS3" i="10"/>
  <c r="AT3" i="10" s="1"/>
  <c r="AS4" i="10"/>
  <c r="AT4" i="10" s="1"/>
  <c r="AS13" i="10"/>
  <c r="AT13" i="10" s="1"/>
  <c r="AS16" i="10"/>
  <c r="AT16" i="10" s="1"/>
  <c r="AS17" i="10"/>
  <c r="AT17" i="10" s="1"/>
  <c r="AS27" i="10"/>
  <c r="AT27" i="10" s="1"/>
  <c r="AS28" i="10"/>
  <c r="AT28" i="10" s="1"/>
  <c r="AS29" i="10"/>
  <c r="AT29" i="10" s="1"/>
  <c r="AS30" i="10"/>
  <c r="AT30" i="10" s="1"/>
  <c r="AS39" i="10"/>
  <c r="AT39" i="10" s="1"/>
  <c r="AS40" i="10"/>
  <c r="AT40" i="10" s="1"/>
  <c r="AS43" i="10"/>
  <c r="AT43" i="10" s="1"/>
  <c r="AS44" i="10"/>
  <c r="AT44" i="10" s="1"/>
  <c r="AS45" i="10"/>
  <c r="AT45" i="10" s="1"/>
  <c r="AS46" i="10"/>
  <c r="AT46" i="10" s="1"/>
  <c r="AS49" i="10"/>
  <c r="AT49" i="10" s="1"/>
  <c r="AS50" i="10"/>
  <c r="AT50" i="10" s="1"/>
  <c r="AS51" i="10"/>
  <c r="AT51" i="10" s="1"/>
  <c r="AS52" i="10"/>
  <c r="AT52" i="10" s="1"/>
  <c r="AS53" i="10"/>
  <c r="AT53" i="10" s="1"/>
  <c r="AS54" i="10"/>
  <c r="AT54" i="10" s="1"/>
  <c r="AS55" i="10"/>
  <c r="AT55" i="10" s="1"/>
  <c r="AS56" i="10"/>
  <c r="AT56" i="10" s="1"/>
  <c r="AS65" i="10"/>
  <c r="AT65" i="10" s="1"/>
  <c r="AS66" i="10"/>
  <c r="AT66" i="10" s="1"/>
  <c r="AS67" i="10"/>
  <c r="AT67" i="10" s="1"/>
  <c r="AS68" i="10"/>
  <c r="AT68" i="10" s="1"/>
  <c r="AS69" i="10"/>
  <c r="AT69" i="10" s="1"/>
  <c r="AS70" i="10"/>
  <c r="AT70" i="10" s="1"/>
  <c r="AS71" i="10"/>
  <c r="AT71" i="10" s="1"/>
  <c r="AS74" i="10"/>
  <c r="AT74" i="10" s="1"/>
  <c r="AS75" i="10"/>
  <c r="AT75" i="10" s="1"/>
  <c r="AS76" i="10"/>
  <c r="AT76" i="10" s="1"/>
  <c r="AS77" i="10"/>
  <c r="AT77" i="10" s="1"/>
  <c r="AS78" i="10"/>
  <c r="AT78" i="10" s="1"/>
  <c r="AS79" i="10"/>
  <c r="AT79" i="10" s="1"/>
  <c r="AS80" i="10"/>
  <c r="AT80" i="10" s="1"/>
  <c r="AS81" i="10"/>
  <c r="AT81" i="10" s="1"/>
  <c r="AS82" i="10"/>
  <c r="AT82" i="10" s="1"/>
  <c r="AS83" i="10"/>
  <c r="AT83" i="10" s="1"/>
  <c r="AS86" i="10"/>
  <c r="AT86" i="10" s="1"/>
  <c r="AS87" i="10"/>
  <c r="AT87" i="10" s="1"/>
  <c r="AS88" i="10"/>
  <c r="AT88" i="10" s="1"/>
  <c r="AS89" i="10"/>
  <c r="AT89" i="10" s="1"/>
  <c r="AS90" i="10"/>
  <c r="AT90" i="10" s="1"/>
  <c r="AS91" i="10"/>
  <c r="AT91" i="10" s="1"/>
  <c r="AS92" i="10"/>
  <c r="AT92" i="10" s="1"/>
  <c r="AS94" i="10"/>
  <c r="AT94" i="10" s="1"/>
  <c r="AS95" i="10"/>
  <c r="AT95" i="10" s="1"/>
  <c r="AS96" i="10"/>
  <c r="AT96" i="10" s="1"/>
  <c r="AS97" i="10"/>
  <c r="AT97" i="10" s="1"/>
  <c r="AS98" i="10"/>
  <c r="AT98" i="10" s="1"/>
  <c r="AS99" i="10"/>
  <c r="AT99" i="10" s="1"/>
  <c r="AS100" i="10"/>
  <c r="AT100" i="10" s="1"/>
  <c r="AS101" i="10"/>
  <c r="AT101" i="10" s="1"/>
  <c r="AS102" i="10"/>
  <c r="AT102" i="10" s="1"/>
  <c r="AS103" i="10"/>
  <c r="AT103" i="10" s="1"/>
  <c r="AS104" i="10"/>
  <c r="AT104" i="10" s="1"/>
  <c r="AS105" i="10"/>
  <c r="AT105" i="10" s="1"/>
  <c r="AS106" i="10"/>
  <c r="AT106" i="10" s="1"/>
  <c r="E4" i="10"/>
  <c r="F4" i="10"/>
  <c r="O4" i="10"/>
  <c r="R4" i="10"/>
  <c r="Q4" i="10" s="1"/>
  <c r="V4" i="10"/>
  <c r="X4" i="10" s="1"/>
  <c r="Y4" i="10"/>
  <c r="Z4" i="10" s="1"/>
  <c r="AA4" i="10"/>
  <c r="H4" i="10" s="1"/>
  <c r="AF4" i="10"/>
  <c r="AG4" i="10"/>
  <c r="AH4" i="10"/>
  <c r="AI4" i="10"/>
  <c r="AJ4" i="10"/>
  <c r="AD4" i="10" a="1"/>
  <c r="AD4" i="10" s="1"/>
  <c r="E45" i="10"/>
  <c r="E46" i="10"/>
  <c r="F45" i="10"/>
  <c r="F46" i="10"/>
  <c r="O45" i="10"/>
  <c r="O46" i="10"/>
  <c r="R45" i="10"/>
  <c r="Q45" i="10" s="1"/>
  <c r="R46" i="10"/>
  <c r="Q46" i="10" s="1"/>
  <c r="V45" i="10"/>
  <c r="X45" i="10" s="1"/>
  <c r="V46" i="10"/>
  <c r="X46" i="10" s="1"/>
  <c r="Y45" i="10"/>
  <c r="Z45" i="10" s="1"/>
  <c r="Y46" i="10"/>
  <c r="Z46" i="10" s="1"/>
  <c r="AA45" i="10"/>
  <c r="H45" i="10" s="1"/>
  <c r="AA46" i="10"/>
  <c r="H46" i="10" s="1"/>
  <c r="AF45" i="10"/>
  <c r="AF46" i="10"/>
  <c r="AG45" i="10"/>
  <c r="AG46" i="10"/>
  <c r="AH45" i="10"/>
  <c r="AH46" i="10"/>
  <c r="AI45" i="10"/>
  <c r="AI46" i="10"/>
  <c r="AJ45" i="10"/>
  <c r="AJ46" i="10"/>
  <c r="AC45" i="10" a="1"/>
  <c r="AC45" i="10" s="1"/>
  <c r="AC46" i="10" a="1"/>
  <c r="AC46" i="10" s="1"/>
  <c r="E92" i="10"/>
  <c r="F92" i="10"/>
  <c r="O92" i="10"/>
  <c r="R92" i="10"/>
  <c r="Q92" i="10" s="1"/>
  <c r="V92" i="10"/>
  <c r="X92" i="10" s="1"/>
  <c r="Y92" i="10"/>
  <c r="Z92" i="10" s="1"/>
  <c r="AA92" i="10"/>
  <c r="H92" i="10" s="1"/>
  <c r="AF92" i="10"/>
  <c r="AG92" i="10"/>
  <c r="AH92" i="10"/>
  <c r="AI92" i="10"/>
  <c r="AJ92" i="10"/>
  <c r="AD92" i="10" a="1"/>
  <c r="AD92" i="10" s="1"/>
  <c r="E81" i="10"/>
  <c r="F81" i="10"/>
  <c r="O81" i="10"/>
  <c r="R81" i="10"/>
  <c r="Q81" i="10" s="1"/>
  <c r="V81" i="10"/>
  <c r="X81" i="10" s="1"/>
  <c r="Y81" i="10"/>
  <c r="Z81" i="10" s="1"/>
  <c r="AA81" i="10"/>
  <c r="H81" i="10" s="1"/>
  <c r="AF81" i="10"/>
  <c r="AG81" i="10"/>
  <c r="AH81" i="10"/>
  <c r="AI81" i="10"/>
  <c r="AJ81" i="10"/>
  <c r="AC81" i="10" a="1"/>
  <c r="AC81" i="10" s="1"/>
  <c r="E87" i="10"/>
  <c r="E88" i="10"/>
  <c r="F87" i="10"/>
  <c r="F88" i="10"/>
  <c r="O87" i="10"/>
  <c r="O88" i="10"/>
  <c r="R87" i="10"/>
  <c r="Q87" i="10" s="1"/>
  <c r="R88" i="10"/>
  <c r="Q88" i="10" s="1"/>
  <c r="V87" i="10"/>
  <c r="W87" i="10" s="1"/>
  <c r="U87" i="10" s="1"/>
  <c r="V88" i="10"/>
  <c r="W88" i="10" s="1"/>
  <c r="U88" i="10" s="1"/>
  <c r="Y87" i="10"/>
  <c r="Z87" i="10" s="1"/>
  <c r="Y88" i="10"/>
  <c r="Z88" i="10" s="1"/>
  <c r="AA87" i="10"/>
  <c r="H87" i="10" s="1"/>
  <c r="AA88" i="10"/>
  <c r="H88" i="10" s="1"/>
  <c r="AF87" i="10"/>
  <c r="AF88" i="10"/>
  <c r="AG87" i="10"/>
  <c r="AG88" i="10"/>
  <c r="AH87" i="10"/>
  <c r="AH88" i="10"/>
  <c r="AI87" i="10"/>
  <c r="AI88" i="10"/>
  <c r="AJ87" i="10"/>
  <c r="AJ88" i="10"/>
  <c r="AD87" i="10" a="1"/>
  <c r="AD87" i="10" s="1"/>
  <c r="AC88" i="10" a="1"/>
  <c r="AC88" i="10" s="1"/>
  <c r="E70" i="10"/>
  <c r="F70" i="10"/>
  <c r="O70" i="10"/>
  <c r="R70" i="10"/>
  <c r="Q70" i="10" s="1"/>
  <c r="V70" i="10"/>
  <c r="X70" i="10" s="1"/>
  <c r="Y70" i="10"/>
  <c r="Z70" i="10" s="1"/>
  <c r="AA70" i="10"/>
  <c r="H70" i="10" s="1"/>
  <c r="AF70" i="10"/>
  <c r="AG70" i="10"/>
  <c r="AH70" i="10"/>
  <c r="AI70" i="10"/>
  <c r="AJ70" i="10"/>
  <c r="AD70" i="10" a="1"/>
  <c r="AD70" i="10" s="1"/>
  <c r="E71" i="10"/>
  <c r="F71" i="10"/>
  <c r="O71" i="10"/>
  <c r="R71" i="10"/>
  <c r="S71" i="10" s="1"/>
  <c r="V71" i="10"/>
  <c r="X71" i="10" s="1"/>
  <c r="Y71" i="10"/>
  <c r="Z71" i="10" s="1"/>
  <c r="AA71" i="10"/>
  <c r="H71" i="10" s="1"/>
  <c r="AF71" i="10"/>
  <c r="AG71" i="10"/>
  <c r="AH71" i="10"/>
  <c r="AI71" i="10"/>
  <c r="AJ71" i="10"/>
  <c r="AD71" i="10" a="1"/>
  <c r="AD71" i="10" s="1"/>
  <c r="E69" i="10"/>
  <c r="F69" i="10"/>
  <c r="O69" i="10"/>
  <c r="R69" i="10"/>
  <c r="Q69" i="10" s="1"/>
  <c r="V69" i="10"/>
  <c r="W69" i="10" s="1"/>
  <c r="U69" i="10" s="1"/>
  <c r="Y69" i="10"/>
  <c r="Z69" i="10" s="1"/>
  <c r="AA69" i="10"/>
  <c r="AB69" i="10" s="1"/>
  <c r="AF69" i="10"/>
  <c r="AG69" i="10"/>
  <c r="AH69" i="10"/>
  <c r="AI69" i="10"/>
  <c r="AJ69" i="10"/>
  <c r="AD69" i="10" a="1"/>
  <c r="AD69" i="10" s="1"/>
  <c r="E75" i="10"/>
  <c r="F75" i="10"/>
  <c r="O75" i="10"/>
  <c r="R75" i="10"/>
  <c r="Q75" i="10" s="1"/>
  <c r="V75" i="10"/>
  <c r="X75" i="10" s="1"/>
  <c r="Y75" i="10"/>
  <c r="Z75" i="10" s="1"/>
  <c r="AA75" i="10"/>
  <c r="H75" i="10" s="1"/>
  <c r="AF75" i="10"/>
  <c r="AG75" i="10"/>
  <c r="AH75" i="10"/>
  <c r="AI75" i="10"/>
  <c r="AJ75" i="10"/>
  <c r="AD75" i="10" a="1"/>
  <c r="AD75" i="10" s="1"/>
  <c r="E91" i="10"/>
  <c r="F91" i="10"/>
  <c r="O91" i="10"/>
  <c r="R91" i="10"/>
  <c r="Q91" i="10" s="1"/>
  <c r="V91" i="10"/>
  <c r="X91" i="10" s="1"/>
  <c r="Y91" i="10"/>
  <c r="Z91" i="10" s="1"/>
  <c r="AA91" i="10"/>
  <c r="H91" i="10" s="1"/>
  <c r="AF91" i="10"/>
  <c r="AG91" i="10"/>
  <c r="AH91" i="10"/>
  <c r="AI91" i="10"/>
  <c r="AJ91" i="10"/>
  <c r="AD91" i="10" a="1"/>
  <c r="AD91" i="10" s="1"/>
  <c r="E77" i="10"/>
  <c r="F77" i="10"/>
  <c r="O77" i="10"/>
  <c r="Q77" i="10"/>
  <c r="R77" i="10"/>
  <c r="S77" i="10" s="1"/>
  <c r="V77" i="10"/>
  <c r="X77" i="10" s="1"/>
  <c r="Y77" i="10"/>
  <c r="Z77" i="10" s="1"/>
  <c r="AA77" i="10"/>
  <c r="H77" i="10" s="1"/>
  <c r="AF77" i="10"/>
  <c r="AG77" i="10"/>
  <c r="AH77" i="10"/>
  <c r="AI77" i="10"/>
  <c r="AJ77" i="10"/>
  <c r="AD77" i="10" a="1"/>
  <c r="AD77" i="10" s="1"/>
  <c r="E76" i="10"/>
  <c r="F76" i="10"/>
  <c r="O76" i="10"/>
  <c r="R76" i="10"/>
  <c r="Q76" i="10" s="1"/>
  <c r="V76" i="10"/>
  <c r="X76" i="10" s="1"/>
  <c r="Y76" i="10"/>
  <c r="Z76" i="10" s="1"/>
  <c r="AA76" i="10"/>
  <c r="H76" i="10" s="1"/>
  <c r="AF76" i="10"/>
  <c r="AG76" i="10"/>
  <c r="AH76" i="10"/>
  <c r="AI76" i="10"/>
  <c r="AJ76" i="10"/>
  <c r="AD76" i="10" a="1"/>
  <c r="AD76" i="10" s="1"/>
  <c r="E78" i="10"/>
  <c r="F78" i="10"/>
  <c r="O78" i="10"/>
  <c r="R78" i="10"/>
  <c r="Q78" i="10" s="1"/>
  <c r="V78" i="10"/>
  <c r="X78" i="10" s="1"/>
  <c r="Y78" i="10"/>
  <c r="Z78" i="10" s="1"/>
  <c r="AA78" i="10"/>
  <c r="H78" i="10" s="1"/>
  <c r="AF78" i="10"/>
  <c r="AG78" i="10"/>
  <c r="AH78" i="10"/>
  <c r="AI78" i="10"/>
  <c r="AJ78" i="10"/>
  <c r="AD78" i="10" a="1"/>
  <c r="AD78" i="10" s="1"/>
  <c r="E27" i="10"/>
  <c r="F27" i="10"/>
  <c r="O27" i="10"/>
  <c r="R27" i="10"/>
  <c r="Q27" i="10" s="1"/>
  <c r="V27" i="10"/>
  <c r="X27" i="10" s="1"/>
  <c r="Y27" i="10"/>
  <c r="Z27" i="10" s="1"/>
  <c r="AA27" i="10"/>
  <c r="H27" i="10" s="1"/>
  <c r="AF27" i="10"/>
  <c r="AG27" i="10"/>
  <c r="AH27" i="10"/>
  <c r="AI27" i="10"/>
  <c r="AJ27" i="10"/>
  <c r="AD27" i="10" a="1"/>
  <c r="AD27" i="10" s="1"/>
  <c r="E94" i="10"/>
  <c r="F94" i="10"/>
  <c r="O94" i="10"/>
  <c r="R94" i="10"/>
  <c r="Q94" i="10" s="1"/>
  <c r="V94" i="10"/>
  <c r="X94" i="10" s="1"/>
  <c r="Y94" i="10"/>
  <c r="Z94" i="10" s="1"/>
  <c r="AA94" i="10"/>
  <c r="H94" i="10" s="1"/>
  <c r="AF94" i="10"/>
  <c r="AG94" i="10"/>
  <c r="AH94" i="10"/>
  <c r="AI94" i="10"/>
  <c r="AJ94" i="10"/>
  <c r="AD94" i="10" a="1"/>
  <c r="AD94" i="10" s="1"/>
  <c r="E28" i="10"/>
  <c r="F28" i="10"/>
  <c r="O28" i="10"/>
  <c r="Q28" i="10"/>
  <c r="R28" i="10"/>
  <c r="S28" i="10" s="1"/>
  <c r="V28" i="10"/>
  <c r="X28" i="10" s="1"/>
  <c r="Y28" i="10"/>
  <c r="Z28" i="10" s="1"/>
  <c r="AA28" i="10"/>
  <c r="H28" i="10" s="1"/>
  <c r="AF28" i="10"/>
  <c r="AG28" i="10"/>
  <c r="AH28" i="10"/>
  <c r="AI28" i="10"/>
  <c r="AJ28" i="10"/>
  <c r="AD28" i="10" a="1"/>
  <c r="AD28" i="10" s="1"/>
  <c r="V96" i="10"/>
  <c r="W96" i="10" s="1"/>
  <c r="U96" i="10" s="1"/>
  <c r="E96" i="10"/>
  <c r="F96" i="10"/>
  <c r="O96" i="10"/>
  <c r="R96" i="10"/>
  <c r="Q96" i="10" s="1"/>
  <c r="Y96" i="10"/>
  <c r="Z96" i="10" s="1"/>
  <c r="AA96" i="10"/>
  <c r="H96" i="10" s="1"/>
  <c r="AF96" i="10"/>
  <c r="AG96" i="10"/>
  <c r="AH96" i="10"/>
  <c r="AI96" i="10"/>
  <c r="AJ96" i="10"/>
  <c r="AE96" i="10" a="1"/>
  <c r="AE96" i="10" s="1"/>
  <c r="E65" i="10"/>
  <c r="E66" i="10"/>
  <c r="E67" i="10"/>
  <c r="F65" i="10"/>
  <c r="F66" i="10"/>
  <c r="F67" i="10"/>
  <c r="O65" i="10"/>
  <c r="O66" i="10"/>
  <c r="O67" i="10"/>
  <c r="Q66" i="10"/>
  <c r="Q67" i="10"/>
  <c r="R65" i="10"/>
  <c r="S65" i="10" s="1"/>
  <c r="R66" i="10"/>
  <c r="S66" i="10" s="1"/>
  <c r="R67" i="10"/>
  <c r="S67" i="10" s="1"/>
  <c r="V65" i="10"/>
  <c r="X65" i="10" s="1"/>
  <c r="V66" i="10"/>
  <c r="W66" i="10" s="1"/>
  <c r="U66" i="10" s="1"/>
  <c r="V67" i="10"/>
  <c r="X67" i="10" s="1"/>
  <c r="Y65" i="10"/>
  <c r="Z65" i="10" s="1"/>
  <c r="Y66" i="10"/>
  <c r="Z66" i="10" s="1"/>
  <c r="Y67" i="10"/>
  <c r="Z67" i="10" s="1"/>
  <c r="AA65" i="10"/>
  <c r="AB65" i="10" s="1"/>
  <c r="AA66" i="10"/>
  <c r="AB66" i="10" s="1"/>
  <c r="AA67" i="10"/>
  <c r="H67" i="10" s="1"/>
  <c r="AF65" i="10"/>
  <c r="AF66" i="10"/>
  <c r="AF67" i="10"/>
  <c r="AG65" i="10"/>
  <c r="AG66" i="10"/>
  <c r="AG67" i="10"/>
  <c r="AH65" i="10"/>
  <c r="AH66" i="10"/>
  <c r="AH67" i="10"/>
  <c r="AI65" i="10"/>
  <c r="AI66" i="10"/>
  <c r="AI67" i="10"/>
  <c r="AJ65" i="10"/>
  <c r="AJ66" i="10"/>
  <c r="AJ67" i="10"/>
  <c r="AE65" i="10" a="1"/>
  <c r="AE65" i="10" s="1"/>
  <c r="AE66" i="10" a="1"/>
  <c r="AE66" i="10" s="1"/>
  <c r="AC67" i="10" a="1"/>
  <c r="AC67" i="10" s="1"/>
  <c r="E74" i="10"/>
  <c r="F74" i="10"/>
  <c r="O74" i="10"/>
  <c r="R74" i="10"/>
  <c r="S74" i="10" s="1"/>
  <c r="V74" i="10"/>
  <c r="X74" i="10" s="1"/>
  <c r="Y74" i="10"/>
  <c r="Z74" i="10" s="1"/>
  <c r="AA74" i="10"/>
  <c r="H74" i="10" s="1"/>
  <c r="AF74" i="10"/>
  <c r="AG74" i="10"/>
  <c r="AH74" i="10"/>
  <c r="AI74" i="10"/>
  <c r="AJ74" i="10"/>
  <c r="AD74" i="10" a="1"/>
  <c r="AD74" i="10" s="1"/>
  <c r="E82" i="10"/>
  <c r="F82" i="10"/>
  <c r="O82" i="10"/>
  <c r="R82" i="10"/>
  <c r="Q82" i="10" s="1"/>
  <c r="V82" i="10"/>
  <c r="X82" i="10" s="1"/>
  <c r="Y82" i="10"/>
  <c r="Z82" i="10" s="1"/>
  <c r="AA82" i="10"/>
  <c r="H82" i="10" s="1"/>
  <c r="AF82" i="10"/>
  <c r="AG82" i="10"/>
  <c r="AH82" i="10"/>
  <c r="AI82" i="10"/>
  <c r="AJ82" i="10"/>
  <c r="AE82" i="10" a="1"/>
  <c r="AE82" i="10" s="1"/>
  <c r="E3" i="10"/>
  <c r="F3" i="10"/>
  <c r="O3" i="10"/>
  <c r="R3" i="10"/>
  <c r="Q3" i="10" s="1"/>
  <c r="V3" i="10"/>
  <c r="X3" i="10" s="1"/>
  <c r="Y3" i="10"/>
  <c r="Z3" i="10" s="1"/>
  <c r="AA3" i="10"/>
  <c r="H3" i="10" s="1"/>
  <c r="AF3" i="10"/>
  <c r="AG3" i="10"/>
  <c r="AH3" i="10"/>
  <c r="AI3" i="10"/>
  <c r="AJ3" i="10"/>
  <c r="AD3" i="10" a="1"/>
  <c r="AD3" i="10" s="1"/>
  <c r="E2" i="10"/>
  <c r="F2" i="10"/>
  <c r="O2" i="10"/>
  <c r="R2" i="10"/>
  <c r="Q2" i="10" s="1"/>
  <c r="V2" i="10"/>
  <c r="X2" i="10" s="1"/>
  <c r="Y2" i="10"/>
  <c r="Z2" i="10" s="1"/>
  <c r="AA2" i="10"/>
  <c r="H2" i="10" s="1"/>
  <c r="AF2" i="10"/>
  <c r="AG2" i="10"/>
  <c r="AH2" i="10"/>
  <c r="AI2" i="10"/>
  <c r="AJ2" i="10"/>
  <c r="AD2" i="10" a="1"/>
  <c r="AD2" i="10" s="1"/>
  <c r="A2" i="17" a="1"/>
  <c r="A2" i="17" s="1"/>
  <c r="Q13" i="10"/>
  <c r="Q16" i="10"/>
  <c r="Q29" i="10"/>
  <c r="Q30" i="10"/>
  <c r="Q39" i="10"/>
  <c r="Q40" i="10"/>
  <c r="Q43" i="10"/>
  <c r="Q44" i="10"/>
  <c r="Q50" i="10"/>
  <c r="Q53" i="10"/>
  <c r="Q54" i="10"/>
  <c r="Q55" i="10"/>
  <c r="Q56" i="10"/>
  <c r="Q68" i="10"/>
  <c r="Q79" i="10"/>
  <c r="Q80" i="10"/>
  <c r="Q83" i="10"/>
  <c r="Q86" i="10"/>
  <c r="Q89" i="10"/>
  <c r="Q90" i="10"/>
  <c r="Q95" i="10"/>
  <c r="Q99" i="10"/>
  <c r="Q103" i="10"/>
  <c r="Q104" i="10"/>
  <c r="Q105" i="10"/>
  <c r="Q106" i="10"/>
  <c r="O13" i="10"/>
  <c r="O16" i="10"/>
  <c r="O17" i="10"/>
  <c r="O29" i="10"/>
  <c r="O30" i="10"/>
  <c r="O39" i="10"/>
  <c r="O40" i="10"/>
  <c r="O43" i="10"/>
  <c r="O44" i="10"/>
  <c r="O49" i="10"/>
  <c r="O50" i="10"/>
  <c r="O51" i="10"/>
  <c r="O52" i="10"/>
  <c r="O53" i="10"/>
  <c r="O54" i="10"/>
  <c r="O55" i="10"/>
  <c r="O56" i="10"/>
  <c r="O68" i="10"/>
  <c r="O79" i="10"/>
  <c r="O80" i="10"/>
  <c r="O83" i="10"/>
  <c r="O86" i="10"/>
  <c r="O89" i="10"/>
  <c r="O90" i="10"/>
  <c r="O95" i="10"/>
  <c r="O97" i="10"/>
  <c r="O98" i="10"/>
  <c r="O99" i="10"/>
  <c r="O100" i="10"/>
  <c r="O101" i="10"/>
  <c r="O102" i="10"/>
  <c r="O103" i="10"/>
  <c r="O104" i="10"/>
  <c r="O105" i="10"/>
  <c r="O106" i="10"/>
  <c r="E13" i="10"/>
  <c r="E16" i="10"/>
  <c r="E17" i="10"/>
  <c r="E29" i="10"/>
  <c r="E30" i="10"/>
  <c r="E39" i="10"/>
  <c r="E40" i="10"/>
  <c r="E43" i="10"/>
  <c r="E44" i="10"/>
  <c r="E49" i="10"/>
  <c r="E50" i="10"/>
  <c r="E51" i="10"/>
  <c r="E52" i="10"/>
  <c r="E53" i="10"/>
  <c r="E54" i="10"/>
  <c r="E55" i="10"/>
  <c r="E56" i="10"/>
  <c r="E68" i="10"/>
  <c r="E79" i="10"/>
  <c r="E80" i="10"/>
  <c r="E83" i="10"/>
  <c r="E86" i="10"/>
  <c r="E89" i="10"/>
  <c r="E90" i="10"/>
  <c r="E95" i="10"/>
  <c r="E97" i="10"/>
  <c r="E98" i="10"/>
  <c r="E99" i="10"/>
  <c r="E100" i="10"/>
  <c r="E101" i="10"/>
  <c r="E102" i="10"/>
  <c r="E103" i="10"/>
  <c r="E104" i="10"/>
  <c r="E105" i="10"/>
  <c r="E106" i="10"/>
  <c r="F13" i="10"/>
  <c r="F16" i="10"/>
  <c r="F17" i="10"/>
  <c r="F29" i="10"/>
  <c r="F30" i="10"/>
  <c r="F39" i="10"/>
  <c r="F40" i="10"/>
  <c r="F43" i="10"/>
  <c r="F44" i="10"/>
  <c r="F49" i="10"/>
  <c r="F50" i="10"/>
  <c r="F51" i="10"/>
  <c r="F52" i="10"/>
  <c r="F53" i="10"/>
  <c r="F54" i="10"/>
  <c r="F55" i="10"/>
  <c r="F56" i="10"/>
  <c r="F68" i="10"/>
  <c r="F79" i="10"/>
  <c r="F80" i="10"/>
  <c r="F83" i="10"/>
  <c r="F86" i="10"/>
  <c r="F89" i="10"/>
  <c r="F90" i="10"/>
  <c r="F95" i="10"/>
  <c r="F97" i="10"/>
  <c r="F98" i="10"/>
  <c r="F99" i="10"/>
  <c r="F100" i="10"/>
  <c r="F101" i="10"/>
  <c r="F102" i="10"/>
  <c r="F103" i="10"/>
  <c r="F104" i="10"/>
  <c r="F105" i="10"/>
  <c r="F106" i="10"/>
  <c r="R89" i="10"/>
  <c r="S89" i="10" s="1"/>
  <c r="V89" i="10"/>
  <c r="X89" i="10" s="1"/>
  <c r="Y89" i="10"/>
  <c r="Z89" i="10" s="1"/>
  <c r="AA89" i="10"/>
  <c r="H89" i="10" s="1"/>
  <c r="AF89" i="10"/>
  <c r="AG89" i="10"/>
  <c r="AH89" i="10"/>
  <c r="AI89" i="10"/>
  <c r="AJ89" i="10"/>
  <c r="AC89" i="10" a="1"/>
  <c r="AC89" i="10" s="1"/>
  <c r="R90" i="10"/>
  <c r="S90" i="10" s="1"/>
  <c r="V90" i="10"/>
  <c r="X90" i="10" s="1"/>
  <c r="Y90" i="10"/>
  <c r="Z90" i="10" s="1"/>
  <c r="AA90" i="10"/>
  <c r="H90" i="10" s="1"/>
  <c r="AF90" i="10"/>
  <c r="AG90" i="10"/>
  <c r="AH90" i="10"/>
  <c r="AI90" i="10"/>
  <c r="AJ90" i="10"/>
  <c r="AE90" i="10" a="1"/>
  <c r="AE90" i="10" s="1"/>
  <c r="R17" i="10"/>
  <c r="Q17" i="10" s="1"/>
  <c r="V17" i="10"/>
  <c r="X17" i="10" s="1"/>
  <c r="Y17" i="10"/>
  <c r="Z17" i="10" s="1"/>
  <c r="AA17" i="10"/>
  <c r="H17" i="10" s="1"/>
  <c r="AF17" i="10"/>
  <c r="AG17" i="10"/>
  <c r="AH17" i="10"/>
  <c r="AI17" i="10"/>
  <c r="AJ17" i="10"/>
  <c r="AE17" i="10" a="1"/>
  <c r="AE17" i="10" s="1"/>
  <c r="R68" i="10"/>
  <c r="S68" i="10" s="1"/>
  <c r="V68" i="10"/>
  <c r="X68" i="10" s="1"/>
  <c r="Y68" i="10"/>
  <c r="Z68" i="10" s="1"/>
  <c r="AA68" i="10"/>
  <c r="H68" i="10" s="1"/>
  <c r="AF68" i="10"/>
  <c r="AG68" i="10"/>
  <c r="AH68" i="10"/>
  <c r="AI68" i="10"/>
  <c r="AJ68" i="10"/>
  <c r="AD68" i="10" a="1"/>
  <c r="AD68" i="10" s="1"/>
  <c r="R40" i="10"/>
  <c r="S40" i="10" s="1"/>
  <c r="V40" i="10"/>
  <c r="X40" i="10" s="1"/>
  <c r="Y40" i="10"/>
  <c r="Z40" i="10" s="1"/>
  <c r="AA40" i="10"/>
  <c r="H40" i="10" s="1"/>
  <c r="AF40" i="10"/>
  <c r="AG40" i="10"/>
  <c r="AH40" i="10"/>
  <c r="AI40" i="10"/>
  <c r="AJ40" i="10"/>
  <c r="AC40" i="10" a="1"/>
  <c r="AC40" i="10" s="1"/>
  <c r="R39" i="10"/>
  <c r="S39" i="10" s="1"/>
  <c r="V39" i="10"/>
  <c r="X39" i="10" s="1"/>
  <c r="Y39" i="10"/>
  <c r="Z39" i="10" s="1"/>
  <c r="AA39" i="10"/>
  <c r="H39" i="10" s="1"/>
  <c r="AF39" i="10"/>
  <c r="AG39" i="10"/>
  <c r="AH39" i="10"/>
  <c r="AI39" i="10"/>
  <c r="AJ39" i="10"/>
  <c r="AD39" i="10" a="1"/>
  <c r="AD39" i="10" s="1"/>
  <c r="R56" i="10"/>
  <c r="S56" i="10" s="1"/>
  <c r="V56" i="10"/>
  <c r="X56" i="10" s="1"/>
  <c r="Y56" i="10"/>
  <c r="Z56" i="10" s="1"/>
  <c r="AA56" i="10"/>
  <c r="H56" i="10" s="1"/>
  <c r="AF56" i="10"/>
  <c r="AG56" i="10"/>
  <c r="AH56" i="10"/>
  <c r="AI56" i="10"/>
  <c r="AJ56" i="10"/>
  <c r="AC56" i="10" a="1"/>
  <c r="AC56" i="10" s="1"/>
  <c r="R95" i="10"/>
  <c r="S95" i="10" s="1"/>
  <c r="V95" i="10"/>
  <c r="W95" i="10" s="1"/>
  <c r="U95" i="10" s="1"/>
  <c r="Y95" i="10"/>
  <c r="Z95" i="10" s="1"/>
  <c r="AA95" i="10"/>
  <c r="H95" i="10" s="1"/>
  <c r="AF95" i="10"/>
  <c r="AG95" i="10"/>
  <c r="AH95" i="10"/>
  <c r="AI95" i="10"/>
  <c r="AJ95" i="10"/>
  <c r="AC95" i="10" a="1"/>
  <c r="AC95" i="10" s="1"/>
  <c r="AG13" i="10"/>
  <c r="AG16" i="10"/>
  <c r="AG29" i="10"/>
  <c r="AG30" i="10"/>
  <c r="AG43" i="10"/>
  <c r="AG44" i="10"/>
  <c r="AG49" i="10"/>
  <c r="AG50" i="10"/>
  <c r="AG51" i="10"/>
  <c r="AG52" i="10"/>
  <c r="AG53" i="10"/>
  <c r="AG54" i="10"/>
  <c r="AG55" i="10"/>
  <c r="AG79" i="10"/>
  <c r="AG80" i="10"/>
  <c r="AG83" i="10"/>
  <c r="AG86" i="10"/>
  <c r="AG97" i="10"/>
  <c r="AG98" i="10"/>
  <c r="AG99" i="10"/>
  <c r="AG100" i="10"/>
  <c r="AG101" i="10"/>
  <c r="AG102" i="10"/>
  <c r="AG103" i="10"/>
  <c r="AG104" i="10"/>
  <c r="AG105" i="10"/>
  <c r="AG106" i="10"/>
  <c r="AE13" i="10" a="1"/>
  <c r="AE13" i="10" s="1"/>
  <c r="AD16" i="10" a="1"/>
  <c r="AD16" i="10" s="1"/>
  <c r="AD29" i="10" a="1"/>
  <c r="AD29" i="10" s="1"/>
  <c r="AC30" i="10" a="1"/>
  <c r="AC30" i="10" s="1"/>
  <c r="AE43" i="10" a="1"/>
  <c r="AE43" i="10" s="1"/>
  <c r="AE44" i="10" a="1"/>
  <c r="AE44" i="10" s="1"/>
  <c r="AD49" i="10" a="1"/>
  <c r="AD49" i="10" s="1"/>
  <c r="AE50" i="10" a="1"/>
  <c r="AE50" i="10" s="1"/>
  <c r="AD51" i="10" a="1"/>
  <c r="AD51" i="10" s="1"/>
  <c r="AC52" i="10" a="1"/>
  <c r="AC52" i="10" s="1"/>
  <c r="AD53" i="10" a="1"/>
  <c r="AD53" i="10" s="1"/>
  <c r="AC54" i="10" a="1"/>
  <c r="AC54" i="10" s="1"/>
  <c r="AE55" i="10" a="1"/>
  <c r="AE55" i="10" s="1"/>
  <c r="AE79" i="10" a="1"/>
  <c r="AE79" i="10" s="1"/>
  <c r="AD80" i="10" a="1"/>
  <c r="AD80" i="10" s="1"/>
  <c r="AC83" i="10" a="1"/>
  <c r="AC83" i="10" s="1"/>
  <c r="AD86" i="10" a="1"/>
  <c r="AD86" i="10" s="1"/>
  <c r="AD97" i="10" a="1"/>
  <c r="AD97" i="10" s="1"/>
  <c r="AE98" i="10" a="1"/>
  <c r="AE98" i="10" s="1"/>
  <c r="AD99" i="10" a="1"/>
  <c r="AD99" i="10" s="1"/>
  <c r="AC100" i="10" a="1"/>
  <c r="AC100" i="10" s="1"/>
  <c r="AD101" i="10" a="1"/>
  <c r="AD101" i="10" s="1"/>
  <c r="AC102" i="10" a="1"/>
  <c r="AC102" i="10" s="1"/>
  <c r="AE103" i="10" a="1"/>
  <c r="AE103" i="10" s="1"/>
  <c r="AC104" i="10" a="1"/>
  <c r="AC104" i="10" s="1"/>
  <c r="AD105" i="10" a="1"/>
  <c r="AD105" i="10" s="1"/>
  <c r="AE106" i="10" a="1"/>
  <c r="AE106" i="10" s="1"/>
  <c r="R13" i="10"/>
  <c r="S13" i="10" s="1"/>
  <c r="V13" i="10"/>
  <c r="X13" i="10" s="1"/>
  <c r="Y13" i="10"/>
  <c r="Z13" i="10" s="1"/>
  <c r="AA13" i="10"/>
  <c r="H13" i="10" s="1"/>
  <c r="AF13" i="10"/>
  <c r="AH13" i="10"/>
  <c r="AI13" i="10"/>
  <c r="AJ13" i="10"/>
  <c r="R86" i="10"/>
  <c r="S86" i="10" s="1"/>
  <c r="V86" i="10"/>
  <c r="W86" i="10" s="1"/>
  <c r="U86" i="10" s="1"/>
  <c r="Y86" i="10"/>
  <c r="Z86" i="10" s="1"/>
  <c r="AA86" i="10"/>
  <c r="H86" i="10" s="1"/>
  <c r="AF86" i="10"/>
  <c r="AH86" i="10"/>
  <c r="AI86" i="10"/>
  <c r="AJ86" i="10"/>
  <c r="AF16" i="10"/>
  <c r="AF29" i="10"/>
  <c r="AF30" i="10"/>
  <c r="AF43" i="10"/>
  <c r="AF44" i="10"/>
  <c r="AF49" i="10"/>
  <c r="AF50" i="10"/>
  <c r="AF51" i="10"/>
  <c r="AF52" i="10"/>
  <c r="AF53" i="10"/>
  <c r="AF54" i="10"/>
  <c r="AF55" i="10"/>
  <c r="AF79" i="10"/>
  <c r="AF80" i="10"/>
  <c r="AF83" i="10"/>
  <c r="AF97" i="10"/>
  <c r="AF98" i="10"/>
  <c r="AF99" i="10"/>
  <c r="AF100" i="10"/>
  <c r="AF101" i="10"/>
  <c r="AF102" i="10"/>
  <c r="AF103" i="10"/>
  <c r="AF104" i="10"/>
  <c r="AF105" i="10"/>
  <c r="AF106" i="10"/>
  <c r="AI16" i="10"/>
  <c r="AI43" i="10"/>
  <c r="AI29" i="10"/>
  <c r="AI30" i="10"/>
  <c r="AI44" i="10"/>
  <c r="AI49" i="10"/>
  <c r="AI50" i="10"/>
  <c r="AI51" i="10"/>
  <c r="AI52" i="10"/>
  <c r="AI53" i="10"/>
  <c r="AI54" i="10"/>
  <c r="AI55" i="10"/>
  <c r="AI79" i="10"/>
  <c r="AI80" i="10"/>
  <c r="AI83" i="10"/>
  <c r="AI97" i="10"/>
  <c r="AI98" i="10"/>
  <c r="AI99" i="10"/>
  <c r="AI100" i="10"/>
  <c r="AI101" i="10"/>
  <c r="AI102" i="10"/>
  <c r="AI103" i="10"/>
  <c r="AI104" i="10"/>
  <c r="AI105" i="10"/>
  <c r="AI106" i="10"/>
  <c r="AJ16" i="10"/>
  <c r="AJ29" i="10"/>
  <c r="AJ30" i="10"/>
  <c r="AJ43" i="10"/>
  <c r="AJ44" i="10"/>
  <c r="AJ49" i="10"/>
  <c r="AJ50" i="10"/>
  <c r="AJ51" i="10"/>
  <c r="AJ52" i="10"/>
  <c r="AJ53" i="10"/>
  <c r="AJ54" i="10"/>
  <c r="AJ55" i="10"/>
  <c r="AJ79" i="10"/>
  <c r="AJ80" i="10"/>
  <c r="AJ83" i="10"/>
  <c r="AJ97" i="10"/>
  <c r="AJ98" i="10"/>
  <c r="AJ99" i="10"/>
  <c r="AJ100" i="10"/>
  <c r="AJ101" i="10"/>
  <c r="AJ102" i="10"/>
  <c r="AJ103" i="10"/>
  <c r="AJ104" i="10"/>
  <c r="AJ105" i="10"/>
  <c r="AJ106" i="10"/>
  <c r="AH16" i="10"/>
  <c r="AH29" i="10"/>
  <c r="AH30" i="10"/>
  <c r="AH43" i="10"/>
  <c r="AH44" i="10"/>
  <c r="AH49" i="10"/>
  <c r="AH50" i="10"/>
  <c r="AH51" i="10"/>
  <c r="AH52" i="10"/>
  <c r="AH53" i="10"/>
  <c r="AH54" i="10"/>
  <c r="AH55" i="10"/>
  <c r="AH79" i="10"/>
  <c r="AH80" i="10"/>
  <c r="AH83" i="10"/>
  <c r="AH97" i="10"/>
  <c r="AH98" i="10"/>
  <c r="AH99" i="10"/>
  <c r="AH100" i="10"/>
  <c r="AH101" i="10"/>
  <c r="AH102" i="10"/>
  <c r="AH103" i="10"/>
  <c r="AH104" i="10"/>
  <c r="AH105" i="10"/>
  <c r="AH106" i="10"/>
  <c r="R43" i="10"/>
  <c r="S43" i="10" s="1"/>
  <c r="V43" i="10"/>
  <c r="X43" i="10" s="1"/>
  <c r="Y43" i="10"/>
  <c r="Z43" i="10" s="1"/>
  <c r="AA43" i="10"/>
  <c r="H43" i="10" s="1"/>
  <c r="R44" i="10"/>
  <c r="S44" i="10" s="1"/>
  <c r="V44" i="10"/>
  <c r="X44" i="10" s="1"/>
  <c r="Y44" i="10"/>
  <c r="Z44" i="10" s="1"/>
  <c r="AA44" i="10"/>
  <c r="H44" i="10" s="1"/>
  <c r="AA16" i="10"/>
  <c r="AA29" i="10"/>
  <c r="AA30" i="10"/>
  <c r="AA49" i="10"/>
  <c r="H49" i="10" s="1"/>
  <c r="AA50" i="10"/>
  <c r="H50" i="10" s="1"/>
  <c r="AA51" i="10"/>
  <c r="AA52" i="10"/>
  <c r="AA53" i="10"/>
  <c r="AA54" i="10"/>
  <c r="H54" i="10" s="1"/>
  <c r="AA55" i="10"/>
  <c r="AA79" i="10"/>
  <c r="H79" i="10" s="1"/>
  <c r="AA80" i="10"/>
  <c r="H80" i="10" s="1"/>
  <c r="AA83" i="10"/>
  <c r="AA97" i="10"/>
  <c r="H97" i="10" s="1"/>
  <c r="AB97" i="10" s="1"/>
  <c r="AA98" i="10"/>
  <c r="AA99" i="10"/>
  <c r="AA100" i="10"/>
  <c r="H100" i="10" s="1"/>
  <c r="AA101" i="10"/>
  <c r="AA102" i="10"/>
  <c r="H102" i="10" s="1"/>
  <c r="AA103" i="10"/>
  <c r="AA104" i="10"/>
  <c r="AA105" i="10"/>
  <c r="AA106" i="10"/>
  <c r="V29" i="10"/>
  <c r="X29" i="10" s="1"/>
  <c r="V16" i="10"/>
  <c r="X16" i="10" s="1"/>
  <c r="V30" i="10"/>
  <c r="X30" i="10" s="1"/>
  <c r="V49" i="10"/>
  <c r="W49" i="10" s="1"/>
  <c r="V50" i="10"/>
  <c r="X50" i="10" s="1"/>
  <c r="V51" i="10"/>
  <c r="W51" i="10" s="1"/>
  <c r="U51" i="10" s="1"/>
  <c r="V52" i="10"/>
  <c r="W52" i="10" s="1"/>
  <c r="U52" i="10" s="1"/>
  <c r="V53" i="10"/>
  <c r="X53" i="10" s="1"/>
  <c r="V54" i="10"/>
  <c r="X54" i="10" s="1"/>
  <c r="V55" i="10"/>
  <c r="X55" i="10" s="1"/>
  <c r="V79" i="10"/>
  <c r="W79" i="10" s="1"/>
  <c r="U79" i="10" s="1"/>
  <c r="V80" i="10"/>
  <c r="W80" i="10" s="1"/>
  <c r="U80" i="10" s="1"/>
  <c r="V83" i="10"/>
  <c r="X83" i="10" s="1"/>
  <c r="V97" i="10"/>
  <c r="W97" i="10" s="1"/>
  <c r="V98" i="10"/>
  <c r="W98" i="10" s="1"/>
  <c r="U98" i="10" s="1"/>
  <c r="V99" i="10"/>
  <c r="W99" i="10" s="1"/>
  <c r="V100" i="10"/>
  <c r="X100" i="10" s="1"/>
  <c r="V101" i="10"/>
  <c r="W101" i="10" s="1"/>
  <c r="U101" i="10" s="1"/>
  <c r="V102" i="10"/>
  <c r="X102" i="10" s="1"/>
  <c r="V103" i="10"/>
  <c r="X103" i="10" s="1"/>
  <c r="V104" i="10"/>
  <c r="W104" i="10" s="1"/>
  <c r="U104" i="10" s="1"/>
  <c r="V105" i="10"/>
  <c r="X105" i="10" s="1"/>
  <c r="V106" i="10"/>
  <c r="W106" i="10" s="1"/>
  <c r="U106" i="10" s="1"/>
  <c r="R29" i="10"/>
  <c r="S29" i="10" s="1"/>
  <c r="Y29" i="10"/>
  <c r="Z29" i="10" s="1"/>
  <c r="R30" i="10"/>
  <c r="S30" i="10" s="1"/>
  <c r="Y30" i="10"/>
  <c r="Z30" i="10" s="1"/>
  <c r="R104" i="10"/>
  <c r="S104" i="10" s="1"/>
  <c r="Y104" i="10"/>
  <c r="Z104" i="10" s="1"/>
  <c r="R106" i="10"/>
  <c r="S106" i="10" s="1"/>
  <c r="Y106" i="10"/>
  <c r="Z106" i="10" s="1"/>
  <c r="R105" i="10"/>
  <c r="S105" i="10" s="1"/>
  <c r="Y105" i="10"/>
  <c r="Z105" i="10" s="1"/>
  <c r="R103" i="10"/>
  <c r="S103" i="10" s="1"/>
  <c r="Y103" i="10"/>
  <c r="Z103" i="10" s="1"/>
  <c r="R83" i="10"/>
  <c r="S83" i="10" s="1"/>
  <c r="Y83" i="10"/>
  <c r="Z83" i="10" s="1"/>
  <c r="R54" i="10"/>
  <c r="S54" i="10" s="1"/>
  <c r="U54" i="10"/>
  <c r="Y54" i="10"/>
  <c r="Z54" i="10" s="1"/>
  <c r="R55" i="10"/>
  <c r="S55" i="10" s="1"/>
  <c r="U55" i="10"/>
  <c r="Y55" i="10"/>
  <c r="Z55" i="10" s="1"/>
  <c r="R53" i="10"/>
  <c r="S53" i="10" s="1"/>
  <c r="Y53" i="10"/>
  <c r="Z53" i="10" s="1"/>
  <c r="R16" i="10"/>
  <c r="S16" i="10" s="1"/>
  <c r="Y16" i="10"/>
  <c r="Z16" i="10" s="1"/>
  <c r="Y49" i="10"/>
  <c r="Y50" i="10"/>
  <c r="Z50" i="10" s="1"/>
  <c r="Y51" i="10"/>
  <c r="Z51" i="10" s="1"/>
  <c r="Y52" i="10"/>
  <c r="Y79" i="10"/>
  <c r="Y80" i="10"/>
  <c r="Y97" i="10"/>
  <c r="Z97" i="10" s="1"/>
  <c r="Y98" i="10"/>
  <c r="Z98" i="10" s="1"/>
  <c r="Y99" i="10"/>
  <c r="Z99" i="10" s="1"/>
  <c r="Y100" i="10"/>
  <c r="Z100" i="10" s="1"/>
  <c r="Y101" i="10"/>
  <c r="Z101" i="10" s="1"/>
  <c r="Y102" i="10"/>
  <c r="Z102" i="10" s="1"/>
  <c r="R49" i="10"/>
  <c r="Q49" i="10" s="1"/>
  <c r="R50" i="10"/>
  <c r="S50" i="10" s="1"/>
  <c r="R51" i="10"/>
  <c r="Q51" i="10" s="1"/>
  <c r="R52" i="10"/>
  <c r="S52" i="10" s="1"/>
  <c r="R79" i="10"/>
  <c r="S79" i="10" s="1"/>
  <c r="R80" i="10"/>
  <c r="S80" i="10" s="1"/>
  <c r="R97" i="10"/>
  <c r="Q97" i="10" s="1"/>
  <c r="R98" i="10"/>
  <c r="Q98" i="10" s="1"/>
  <c r="R99" i="10"/>
  <c r="S99" i="10" s="1"/>
  <c r="R100" i="10"/>
  <c r="S100" i="10" s="1"/>
  <c r="R101" i="10"/>
  <c r="S101" i="10" s="1"/>
  <c r="R102" i="10"/>
  <c r="S102" i="10" s="1"/>
  <c r="W102" i="10"/>
  <c r="U49" i="10"/>
  <c r="U97" i="10"/>
  <c r="U102" i="10"/>
  <c r="U50" i="10"/>
  <c r="X41" i="10" l="1"/>
  <c r="W42" i="10"/>
  <c r="U42" i="10" s="1"/>
  <c r="AE41" i="10" a="1"/>
  <c r="AE41" i="10" s="1"/>
  <c r="AM41" i="10" s="1"/>
  <c r="AP41" i="10" s="1"/>
  <c r="AD41" i="10" a="1"/>
  <c r="AD41" i="10" s="1"/>
  <c r="AL41" i="10" s="1"/>
  <c r="AO41" i="10" s="1"/>
  <c r="AK41" i="10"/>
  <c r="AN41" i="10" s="1"/>
  <c r="AK42" i="10"/>
  <c r="AN42" i="10" s="1"/>
  <c r="AB42" i="10"/>
  <c r="S42" i="10"/>
  <c r="AD42" i="10" a="1"/>
  <c r="AD42" i="10" s="1"/>
  <c r="AL42" i="10" s="1"/>
  <c r="AO42" i="10" s="1"/>
  <c r="AB41" i="10"/>
  <c r="S41" i="10"/>
  <c r="AE42" i="10" a="1"/>
  <c r="AE42" i="10" s="1"/>
  <c r="AM42" i="10" s="1"/>
  <c r="AP42" i="10" s="1"/>
  <c r="AC33" i="10" a="1"/>
  <c r="AC33" i="10" s="1"/>
  <c r="AK33" i="10" s="1"/>
  <c r="AL38" i="10"/>
  <c r="W38" i="10"/>
  <c r="U38" i="10" s="1"/>
  <c r="S37" i="10"/>
  <c r="W37" i="10"/>
  <c r="U37" i="10" s="1"/>
  <c r="AL37" i="10"/>
  <c r="S36" i="10"/>
  <c r="X36" i="10"/>
  <c r="W35" i="10"/>
  <c r="U35" i="10" s="1"/>
  <c r="AL35" i="10"/>
  <c r="X34" i="10"/>
  <c r="AL34" i="10"/>
  <c r="X33" i="10"/>
  <c r="AL33" i="10"/>
  <c r="AC37" i="10" a="1"/>
  <c r="AC37" i="10" s="1"/>
  <c r="AK37" i="10" s="1"/>
  <c r="AE37" i="10" a="1"/>
  <c r="AE37" i="10" s="1"/>
  <c r="AM37" i="10" s="1"/>
  <c r="AB36" i="10"/>
  <c r="AK36" i="10"/>
  <c r="AB35" i="10"/>
  <c r="AE33" i="10" a="1"/>
  <c r="AE33" i="10" s="1"/>
  <c r="AM33" i="10" s="1"/>
  <c r="AE35" i="10" a="1"/>
  <c r="AE35" i="10" s="1"/>
  <c r="AM35" i="10" s="1"/>
  <c r="AC35" i="10" a="1"/>
  <c r="AC35" i="10" s="1"/>
  <c r="AK35" i="10" s="1"/>
  <c r="S35" i="10"/>
  <c r="AB34" i="10"/>
  <c r="S34" i="10"/>
  <c r="Q38" i="10"/>
  <c r="AE38" i="10" a="1"/>
  <c r="AE38" i="10" s="1"/>
  <c r="AM38" i="10" s="1"/>
  <c r="AE34" i="10" a="1"/>
  <c r="AE34" i="10" s="1"/>
  <c r="AM34" i="10" s="1"/>
  <c r="AD36" i="10" a="1"/>
  <c r="AD36" i="10" s="1"/>
  <c r="AL36" i="10" s="1"/>
  <c r="AC38" i="10" a="1"/>
  <c r="AC38" i="10" s="1"/>
  <c r="AK38" i="10" s="1"/>
  <c r="AC34" i="10" a="1"/>
  <c r="AC34" i="10" s="1"/>
  <c r="AK34" i="10" s="1"/>
  <c r="AB33" i="10"/>
  <c r="AB38" i="10"/>
  <c r="AE36" i="10" a="1"/>
  <c r="AE36" i="10" s="1"/>
  <c r="AM36" i="10" s="1"/>
  <c r="AB37" i="10"/>
  <c r="X32" i="10"/>
  <c r="X31" i="10"/>
  <c r="AE31" i="10" a="1"/>
  <c r="AE31" i="10" s="1"/>
  <c r="AM31" i="10" s="1"/>
  <c r="AD31" i="10" a="1"/>
  <c r="AD31" i="10" s="1"/>
  <c r="AL31" i="10" s="1"/>
  <c r="AK31" i="10"/>
  <c r="AK32" i="10"/>
  <c r="AB32" i="10"/>
  <c r="S32" i="10"/>
  <c r="AD32" i="10" a="1"/>
  <c r="AD32" i="10" s="1"/>
  <c r="AL32" i="10" s="1"/>
  <c r="AB31" i="10"/>
  <c r="S31" i="10"/>
  <c r="AE32" i="10" a="1"/>
  <c r="AE32" i="10" s="1"/>
  <c r="AM32" i="10" s="1"/>
  <c r="W15" i="10"/>
  <c r="U15" i="10" s="1"/>
  <c r="W14" i="10"/>
  <c r="U14" i="10" s="1"/>
  <c r="AK15" i="10"/>
  <c r="AL14" i="10"/>
  <c r="AE14" i="10" a="1"/>
  <c r="AE14" i="10" s="1"/>
  <c r="AM14" i="10" s="1"/>
  <c r="AC14" i="10" a="1"/>
  <c r="AC14" i="10" s="1"/>
  <c r="AK14" i="10" s="1"/>
  <c r="AB15" i="10"/>
  <c r="S15" i="10"/>
  <c r="AD15" i="10" a="1"/>
  <c r="AD15" i="10" s="1"/>
  <c r="AL15" i="10" s="1"/>
  <c r="AB14" i="10"/>
  <c r="AE15" i="10" a="1"/>
  <c r="AE15" i="10" s="1"/>
  <c r="AM15" i="10" s="1"/>
  <c r="X8" i="10"/>
  <c r="AL8" i="10"/>
  <c r="S7" i="10"/>
  <c r="X7" i="10"/>
  <c r="AL9" i="10"/>
  <c r="W9" i="10"/>
  <c r="U9" i="10" s="1"/>
  <c r="W10" i="10"/>
  <c r="U10" i="10" s="1"/>
  <c r="W11" i="10"/>
  <c r="U11" i="10" s="1"/>
  <c r="AL12" i="10"/>
  <c r="W12" i="10"/>
  <c r="U12" i="10" s="1"/>
  <c r="AC7" i="10" a="1"/>
  <c r="AC7" i="10" s="1"/>
  <c r="AK7" i="10" s="1"/>
  <c r="S12" i="10"/>
  <c r="S10" i="10"/>
  <c r="S9" i="10"/>
  <c r="AE11" i="10" a="1"/>
  <c r="AE11" i="10" s="1"/>
  <c r="AM11" i="10" s="1"/>
  <c r="AD11" i="10" a="1"/>
  <c r="AD11" i="10" s="1"/>
  <c r="AL11" i="10" s="1"/>
  <c r="AK10" i="10"/>
  <c r="H10" i="10"/>
  <c r="AB9" i="10"/>
  <c r="AD7" i="10" a="1"/>
  <c r="AD7" i="10" s="1"/>
  <c r="AL7" i="10" s="1"/>
  <c r="AK11" i="10"/>
  <c r="AM7" i="10"/>
  <c r="AE9" i="10" a="1"/>
  <c r="AE9" i="10" s="1"/>
  <c r="AM9" i="10" s="1"/>
  <c r="AC9" i="10" a="1"/>
  <c r="AC9" i="10" s="1"/>
  <c r="AK9" i="10" s="1"/>
  <c r="AB8" i="10"/>
  <c r="S8" i="10"/>
  <c r="AE12" i="10" a="1"/>
  <c r="AE12" i="10" s="1"/>
  <c r="AM12" i="10" s="1"/>
  <c r="AE8" i="10" a="1"/>
  <c r="AE8" i="10" s="1"/>
  <c r="AM8" i="10" s="1"/>
  <c r="AD10" i="10" a="1"/>
  <c r="AD10" i="10" s="1"/>
  <c r="AL10" i="10" s="1"/>
  <c r="AC12" i="10" a="1"/>
  <c r="AC12" i="10" s="1"/>
  <c r="AK12" i="10" s="1"/>
  <c r="AC8" i="10" a="1"/>
  <c r="AC8" i="10" s="1"/>
  <c r="AK8" i="10" s="1"/>
  <c r="AB7" i="10"/>
  <c r="Q11" i="10"/>
  <c r="AB12" i="10"/>
  <c r="AE10" i="10" a="1"/>
  <c r="AE10" i="10" s="1"/>
  <c r="AM10" i="10" s="1"/>
  <c r="AB11" i="10"/>
  <c r="AL6" i="10"/>
  <c r="W6" i="10"/>
  <c r="U6" i="10" s="1"/>
  <c r="AC6" i="10" a="1"/>
  <c r="AC6" i="10" s="1"/>
  <c r="AK6" i="10" s="1"/>
  <c r="AB6" i="10"/>
  <c r="S6" i="10"/>
  <c r="AE6" i="10" a="1"/>
  <c r="AE6" i="10" s="1"/>
  <c r="AM6" i="10" s="1"/>
  <c r="S5" i="10"/>
  <c r="AL5" i="10"/>
  <c r="W5" i="10"/>
  <c r="U5" i="10" s="1"/>
  <c r="AC5" i="10" a="1"/>
  <c r="AC5" i="10" s="1"/>
  <c r="AK5" i="10" s="1"/>
  <c r="AB5" i="10"/>
  <c r="AE5" i="10" a="1"/>
  <c r="AE5" i="10" s="1"/>
  <c r="AM5" i="10" s="1"/>
  <c r="AL58" i="10"/>
  <c r="W58" i="10"/>
  <c r="U58" i="10" s="1"/>
  <c r="AL57" i="10"/>
  <c r="W57" i="10"/>
  <c r="U57" i="10" s="1"/>
  <c r="W59" i="10"/>
  <c r="U59" i="10" s="1"/>
  <c r="AL59" i="10"/>
  <c r="AC57" i="10" a="1"/>
  <c r="AC57" i="10" s="1"/>
  <c r="AK57" i="10" s="1"/>
  <c r="AB57" i="10"/>
  <c r="S57" i="10"/>
  <c r="AE57" i="10" a="1"/>
  <c r="AE57" i="10" s="1"/>
  <c r="AM57" i="10" s="1"/>
  <c r="AC59" i="10" a="1"/>
  <c r="AC59" i="10" s="1"/>
  <c r="AK59" i="10" s="1"/>
  <c r="AB59" i="10"/>
  <c r="S59" i="10"/>
  <c r="AE59" i="10" a="1"/>
  <c r="AE59" i="10" s="1"/>
  <c r="AM59" i="10" s="1"/>
  <c r="AC58" i="10" a="1"/>
  <c r="AC58" i="10" s="1"/>
  <c r="AK58" i="10" s="1"/>
  <c r="AB58" i="10"/>
  <c r="S58" i="10"/>
  <c r="AE58" i="10" a="1"/>
  <c r="AE58" i="10" s="1"/>
  <c r="AM58" i="10" s="1"/>
  <c r="W26" i="10"/>
  <c r="U26" i="10" s="1"/>
  <c r="W25" i="10"/>
  <c r="U25" i="10" s="1"/>
  <c r="W24" i="10"/>
  <c r="U24" i="10" s="1"/>
  <c r="W23" i="10"/>
  <c r="U23" i="10" s="1"/>
  <c r="W22" i="10"/>
  <c r="U22" i="10" s="1"/>
  <c r="W21" i="10"/>
  <c r="U21" i="10" s="1"/>
  <c r="X20" i="10"/>
  <c r="AL20" i="10"/>
  <c r="W19" i="10"/>
  <c r="U19" i="10" s="1"/>
  <c r="W18" i="10"/>
  <c r="U18" i="10" s="1"/>
  <c r="AK25" i="10"/>
  <c r="AE25" i="10" a="1"/>
  <c r="AE25" i="10" s="1"/>
  <c r="AM25" i="10" s="1"/>
  <c r="AD25" i="10" a="1"/>
  <c r="AD25" i="10" s="1"/>
  <c r="AL25" i="10" s="1"/>
  <c r="AK26" i="10"/>
  <c r="AB26" i="10"/>
  <c r="S26" i="10"/>
  <c r="S18" i="10"/>
  <c r="AD26" i="10" a="1"/>
  <c r="AD26" i="10" s="1"/>
  <c r="AL26" i="10" s="1"/>
  <c r="AB25" i="10"/>
  <c r="S25" i="10"/>
  <c r="S24" i="10"/>
  <c r="AE26" i="10" a="1"/>
  <c r="AE26" i="10" s="1"/>
  <c r="AM26" i="10" s="1"/>
  <c r="AL24" i="10"/>
  <c r="AC24" i="10" a="1"/>
  <c r="AC24" i="10" s="1"/>
  <c r="AK24" i="10" s="1"/>
  <c r="S22" i="10"/>
  <c r="AB24" i="10"/>
  <c r="AE24" i="10" a="1"/>
  <c r="AE24" i="10" s="1"/>
  <c r="AM24" i="10" s="1"/>
  <c r="AL22" i="10"/>
  <c r="AC22" i="10" a="1"/>
  <c r="AC22" i="10" s="1"/>
  <c r="AK22" i="10" s="1"/>
  <c r="AB22" i="10"/>
  <c r="S21" i="10"/>
  <c r="AE22" i="10" a="1"/>
  <c r="AE22" i="10" s="1"/>
  <c r="AM22" i="10" s="1"/>
  <c r="AE23" i="10" a="1"/>
  <c r="AE23" i="10" s="1"/>
  <c r="AM23" i="10" s="1"/>
  <c r="S19" i="10"/>
  <c r="AD23" i="10" a="1"/>
  <c r="AD23" i="10" s="1"/>
  <c r="AL23" i="10" s="1"/>
  <c r="AK23" i="10"/>
  <c r="AE21" i="10" a="1"/>
  <c r="AE21" i="10" s="1"/>
  <c r="AM21" i="10" s="1"/>
  <c r="AK21" i="10"/>
  <c r="AB21" i="10"/>
  <c r="AC20" i="10" a="1"/>
  <c r="AC20" i="10" s="1"/>
  <c r="AK20" i="10" s="1"/>
  <c r="AK18" i="10"/>
  <c r="AD19" i="10" a="1"/>
  <c r="AD19" i="10" s="1"/>
  <c r="AL19" i="10" s="1"/>
  <c r="AM19" i="10"/>
  <c r="AB19" i="10"/>
  <c r="AD18" i="10" a="1"/>
  <c r="AD18" i="10" s="1"/>
  <c r="AL18" i="10" s="1"/>
  <c r="AB18" i="10"/>
  <c r="AE18" i="10" a="1"/>
  <c r="AE18" i="10" s="1"/>
  <c r="AM18" i="10" s="1"/>
  <c r="H23" i="10"/>
  <c r="AC19" i="10" a="1"/>
  <c r="AC19" i="10" s="1"/>
  <c r="AK19" i="10" s="1"/>
  <c r="H20" i="10"/>
  <c r="AE20" i="10" a="1"/>
  <c r="AE20" i="10" s="1"/>
  <c r="AM20" i="10" s="1"/>
  <c r="AD21" i="10" a="1"/>
  <c r="AD21" i="10" s="1"/>
  <c r="AL21" i="10" s="1"/>
  <c r="S23" i="10"/>
  <c r="AM47" i="10"/>
  <c r="AK61" i="10"/>
  <c r="AK48" i="10"/>
  <c r="AK60" i="10"/>
  <c r="AK45" i="10"/>
  <c r="AN45" i="10" s="1"/>
  <c r="AM90" i="10"/>
  <c r="AP90" i="10" s="1"/>
  <c r="AL2" i="10"/>
  <c r="AM106" i="10"/>
  <c r="AP106" i="10" s="1"/>
  <c r="AM98" i="10"/>
  <c r="AP98" i="10" s="1"/>
  <c r="AK52" i="10"/>
  <c r="AN52" i="10" s="1"/>
  <c r="AM85" i="10"/>
  <c r="AM13" i="10"/>
  <c r="AP13" i="10" s="1"/>
  <c r="AK102" i="10"/>
  <c r="AN102" i="10" s="1"/>
  <c r="AK89" i="10"/>
  <c r="AN89" i="10" s="1"/>
  <c r="AM79" i="10"/>
  <c r="AP79" i="10" s="1"/>
  <c r="AM44" i="10"/>
  <c r="AP44" i="10" s="1"/>
  <c r="AK88" i="10"/>
  <c r="AN88" i="10" s="1"/>
  <c r="AK104" i="10"/>
  <c r="AN104" i="10" s="1"/>
  <c r="AM43" i="10"/>
  <c r="AP43" i="10" s="1"/>
  <c r="AK95" i="10"/>
  <c r="AN95" i="10" s="1"/>
  <c r="AK67" i="10"/>
  <c r="AN67" i="10" s="1"/>
  <c r="AK100" i="10"/>
  <c r="AN100" i="10" s="1"/>
  <c r="AM55" i="10"/>
  <c r="AK54" i="10"/>
  <c r="AN54" i="10" s="1"/>
  <c r="AK30" i="10"/>
  <c r="AN30" i="10" s="1"/>
  <c r="AM66" i="10"/>
  <c r="AP66" i="10" s="1"/>
  <c r="AM96" i="10"/>
  <c r="AP96" i="10" s="1"/>
  <c r="AK81" i="10"/>
  <c r="AN81" i="10" s="1"/>
  <c r="AK56" i="10"/>
  <c r="AN56" i="10" s="1"/>
  <c r="AM17" i="10"/>
  <c r="AP17" i="10" s="1"/>
  <c r="AM65" i="10"/>
  <c r="AP65" i="10" s="1"/>
  <c r="AK46" i="10"/>
  <c r="AN46" i="10" s="1"/>
  <c r="AM103" i="10"/>
  <c r="AP103" i="10" s="1"/>
  <c r="AK83" i="10"/>
  <c r="AN83" i="10" s="1"/>
  <c r="AM50" i="10"/>
  <c r="AP50" i="10" s="1"/>
  <c r="AK40" i="10"/>
  <c r="AN40" i="10" s="1"/>
  <c r="AM82" i="10"/>
  <c r="AP82" i="10" s="1"/>
  <c r="W48" i="10"/>
  <c r="U48" i="10" s="1"/>
  <c r="S47" i="10"/>
  <c r="X47" i="10"/>
  <c r="AD48" i="10" a="1"/>
  <c r="AD48" i="10" s="1"/>
  <c r="AL48" i="10" s="1"/>
  <c r="AD47" i="10" a="1"/>
  <c r="AD47" i="10" s="1"/>
  <c r="AL47" i="10" s="1"/>
  <c r="AC47" i="10" a="1"/>
  <c r="AC47" i="10" s="1"/>
  <c r="AK47" i="10" s="1"/>
  <c r="AB47" i="10"/>
  <c r="AB48" i="10"/>
  <c r="S48" i="10"/>
  <c r="AE48" i="10" a="1"/>
  <c r="AE48" i="10" s="1"/>
  <c r="AM48" i="10" s="1"/>
  <c r="W61" i="10"/>
  <c r="U61" i="10" s="1"/>
  <c r="W60" i="10"/>
  <c r="U60" i="10" s="1"/>
  <c r="AE60" i="10" a="1"/>
  <c r="AE60" i="10" s="1"/>
  <c r="AM60" i="10" s="1"/>
  <c r="AD60" i="10" a="1"/>
  <c r="AD60" i="10" s="1"/>
  <c r="AL60" i="10" s="1"/>
  <c r="AB61" i="10"/>
  <c r="S61" i="10"/>
  <c r="AD61" i="10" a="1"/>
  <c r="AD61" i="10" s="1"/>
  <c r="AL61" i="10" s="1"/>
  <c r="AB60" i="10"/>
  <c r="S60" i="10"/>
  <c r="AE61" i="10" a="1"/>
  <c r="AE61" i="10" s="1"/>
  <c r="AM61" i="10" s="1"/>
  <c r="S63" i="10"/>
  <c r="X63" i="10"/>
  <c r="AL63" i="10"/>
  <c r="AL62" i="10"/>
  <c r="W62" i="10"/>
  <c r="U62" i="10" s="1"/>
  <c r="AC62" i="10" a="1"/>
  <c r="AC62" i="10" s="1"/>
  <c r="AK62" i="10" s="1"/>
  <c r="AB62" i="10"/>
  <c r="AE62" i="10" a="1"/>
  <c r="AE62" i="10" s="1"/>
  <c r="AM62" i="10" s="1"/>
  <c r="AC63" i="10" a="1"/>
  <c r="AC63" i="10" s="1"/>
  <c r="AK63" i="10" s="1"/>
  <c r="AB63" i="10"/>
  <c r="AE63" i="10" a="1"/>
  <c r="AE63" i="10" s="1"/>
  <c r="AM63" i="10" s="1"/>
  <c r="AL93" i="10"/>
  <c r="W93" i="10"/>
  <c r="U93" i="10" s="1"/>
  <c r="AC93" i="10" a="1"/>
  <c r="AC93" i="10" s="1"/>
  <c r="AK93" i="10" s="1"/>
  <c r="AB93" i="10"/>
  <c r="AE93" i="10" a="1"/>
  <c r="AE93" i="10" s="1"/>
  <c r="AM93" i="10" s="1"/>
  <c r="W85" i="10"/>
  <c r="U85" i="10" s="1"/>
  <c r="AD85" i="10" a="1"/>
  <c r="AD85" i="10" s="1"/>
  <c r="AL85" i="10" s="1"/>
  <c r="AC85" i="10" a="1"/>
  <c r="AC85" i="10" s="1"/>
  <c r="AK85" i="10" s="1"/>
  <c r="AB85" i="10"/>
  <c r="S85" i="10"/>
  <c r="S84" i="10"/>
  <c r="AL84" i="10"/>
  <c r="W84" i="10"/>
  <c r="U84" i="10" s="1"/>
  <c r="AC84" i="10" a="1"/>
  <c r="AC84" i="10" s="1"/>
  <c r="AK84" i="10" s="1"/>
  <c r="AB84" i="10"/>
  <c r="S72" i="10"/>
  <c r="AE84" i="10" a="1"/>
  <c r="AE84" i="10" s="1"/>
  <c r="AM84" i="10" s="1"/>
  <c r="S64" i="10"/>
  <c r="AL64" i="10"/>
  <c r="W64" i="10"/>
  <c r="U64" i="10" s="1"/>
  <c r="AC64" i="10" a="1"/>
  <c r="AC64" i="10" s="1"/>
  <c r="AK64" i="10" s="1"/>
  <c r="AB64" i="10"/>
  <c r="AE64" i="10" a="1"/>
  <c r="AE64" i="10" s="1"/>
  <c r="AM64" i="10" s="1"/>
  <c r="S73" i="10"/>
  <c r="AL73" i="10"/>
  <c r="W73" i="10"/>
  <c r="U73" i="10" s="1"/>
  <c r="AC73" i="10" a="1"/>
  <c r="AC73" i="10" s="1"/>
  <c r="AK73" i="10" s="1"/>
  <c r="AB73" i="10"/>
  <c r="AE73" i="10" a="1"/>
  <c r="AE73" i="10" s="1"/>
  <c r="AM73" i="10" s="1"/>
  <c r="AL72" i="10"/>
  <c r="W72" i="10"/>
  <c r="U72" i="10" s="1"/>
  <c r="AC72" i="10" a="1"/>
  <c r="AC72" i="10" s="1"/>
  <c r="AK72" i="10" s="1"/>
  <c r="AB72" i="10"/>
  <c r="AE72" i="10" a="1"/>
  <c r="AE72" i="10" s="1"/>
  <c r="AM72" i="10" s="1"/>
  <c r="AP55" i="10"/>
  <c r="AL3" i="10"/>
  <c r="D6" i="14" s="1" a="1"/>
  <c r="D6" i="14" s="1"/>
  <c r="AL4" i="10"/>
  <c r="W4" i="10"/>
  <c r="U4" i="10" s="1"/>
  <c r="AC4" i="10" a="1"/>
  <c r="AC4" i="10" s="1"/>
  <c r="AK4" i="10" s="1"/>
  <c r="AB4" i="10"/>
  <c r="S4" i="10"/>
  <c r="AE4" i="10" a="1"/>
  <c r="AE4" i="10" s="1"/>
  <c r="W46" i="10"/>
  <c r="U46" i="10" s="1"/>
  <c r="W45" i="10"/>
  <c r="U45" i="10" s="1"/>
  <c r="AE45" i="10" a="1"/>
  <c r="AE45" i="10" s="1"/>
  <c r="AD45" i="10" a="1"/>
  <c r="AD45" i="10" s="1"/>
  <c r="AL45" i="10" s="1"/>
  <c r="AB46" i="10"/>
  <c r="S46" i="10"/>
  <c r="AD46" i="10" a="1"/>
  <c r="AD46" i="10" s="1"/>
  <c r="AL46" i="10" s="1"/>
  <c r="AB45" i="10"/>
  <c r="S45" i="10"/>
  <c r="AE46" i="10" a="1"/>
  <c r="AE46" i="10" s="1"/>
  <c r="S92" i="10"/>
  <c r="AL92" i="10"/>
  <c r="W92" i="10"/>
  <c r="U92" i="10" s="1"/>
  <c r="AC92" i="10" a="1"/>
  <c r="AC92" i="10" s="1"/>
  <c r="AK92" i="10" s="1"/>
  <c r="AB92" i="10"/>
  <c r="AE92" i="10" a="1"/>
  <c r="AE92" i="10" s="1"/>
  <c r="W81" i="10"/>
  <c r="U81" i="10" s="1"/>
  <c r="AE81" i="10" a="1"/>
  <c r="AE81" i="10" s="1"/>
  <c r="AD81" i="10" a="1"/>
  <c r="AD81" i="10" s="1"/>
  <c r="AL81" i="10" s="1"/>
  <c r="AB81" i="10"/>
  <c r="S81" i="10"/>
  <c r="S88" i="10"/>
  <c r="S87" i="10"/>
  <c r="X87" i="10"/>
  <c r="X88" i="10"/>
  <c r="AL87" i="10"/>
  <c r="AC87" i="10" a="1"/>
  <c r="AC87" i="10" s="1"/>
  <c r="AK87" i="10" s="1"/>
  <c r="AE87" i="10" a="1"/>
  <c r="AE87" i="10" s="1"/>
  <c r="AB88" i="10"/>
  <c r="AD88" i="10" a="1"/>
  <c r="AD88" i="10" s="1"/>
  <c r="AL88" i="10" s="1"/>
  <c r="AB87" i="10"/>
  <c r="AE88" i="10" a="1"/>
  <c r="AE88" i="10" s="1"/>
  <c r="S70" i="10"/>
  <c r="AL70" i="10"/>
  <c r="W71" i="10"/>
  <c r="U71" i="10" s="1"/>
  <c r="W70" i="10"/>
  <c r="U70" i="10" s="1"/>
  <c r="AL69" i="10"/>
  <c r="X69" i="10"/>
  <c r="AB70" i="10"/>
  <c r="AC70" i="10" a="1"/>
  <c r="AC70" i="10" s="1"/>
  <c r="AK70" i="10" s="1"/>
  <c r="Q71" i="10"/>
  <c r="AC71" i="10" a="1"/>
  <c r="AC71" i="10" s="1"/>
  <c r="AK71" i="10" s="1"/>
  <c r="AE70" i="10" a="1"/>
  <c r="AE70" i="10" s="1"/>
  <c r="AL71" i="10"/>
  <c r="AB71" i="10"/>
  <c r="AE71" i="10" a="1"/>
  <c r="AE71" i="10" s="1"/>
  <c r="AC69" i="10" a="1"/>
  <c r="AC69" i="10" s="1"/>
  <c r="AK69" i="10" s="1"/>
  <c r="H69" i="10"/>
  <c r="S69" i="10"/>
  <c r="AE69" i="10" a="1"/>
  <c r="AE69" i="10" s="1"/>
  <c r="AL75" i="10"/>
  <c r="W75" i="10"/>
  <c r="U75" i="10" s="1"/>
  <c r="AC75" i="10" a="1"/>
  <c r="AC75" i="10" s="1"/>
  <c r="AK75" i="10" s="1"/>
  <c r="AB75" i="10"/>
  <c r="S75" i="10"/>
  <c r="AE75" i="10" a="1"/>
  <c r="AE75" i="10" s="1"/>
  <c r="S91" i="10"/>
  <c r="AL91" i="10"/>
  <c r="W91" i="10"/>
  <c r="U91" i="10" s="1"/>
  <c r="AC91" i="10" a="1"/>
  <c r="AC91" i="10" s="1"/>
  <c r="AK91" i="10" s="1"/>
  <c r="AB91" i="10"/>
  <c r="AE91" i="10" a="1"/>
  <c r="AE91" i="10" s="1"/>
  <c r="S76" i="10"/>
  <c r="W77" i="10"/>
  <c r="U77" i="10" s="1"/>
  <c r="W76" i="10"/>
  <c r="U76" i="10" s="1"/>
  <c r="AL77" i="10"/>
  <c r="AL76" i="10"/>
  <c r="AC77" i="10" a="1"/>
  <c r="AC77" i="10" s="1"/>
  <c r="AK77" i="10" s="1"/>
  <c r="AB77" i="10"/>
  <c r="AE77" i="10" a="1"/>
  <c r="AE77" i="10" s="1"/>
  <c r="AC76" i="10" a="1"/>
  <c r="AC76" i="10" s="1"/>
  <c r="AK76" i="10" s="1"/>
  <c r="AB76" i="10"/>
  <c r="AE76" i="10" a="1"/>
  <c r="AE76" i="10" s="1"/>
  <c r="AL78" i="10"/>
  <c r="W78" i="10"/>
  <c r="U78" i="10" s="1"/>
  <c r="AC78" i="10" a="1"/>
  <c r="AC78" i="10" s="1"/>
  <c r="AK78" i="10" s="1"/>
  <c r="AB78" i="10"/>
  <c r="S78" i="10"/>
  <c r="AE78" i="10" a="1"/>
  <c r="AE78" i="10" s="1"/>
  <c r="AL27" i="10"/>
  <c r="W27" i="10"/>
  <c r="U27" i="10" s="1"/>
  <c r="AC27" i="10" a="1"/>
  <c r="AC27" i="10" s="1"/>
  <c r="AK27" i="10" s="1"/>
  <c r="AB27" i="10"/>
  <c r="S27" i="10"/>
  <c r="AE27" i="10" a="1"/>
  <c r="AE27" i="10" s="1"/>
  <c r="S94" i="10"/>
  <c r="AL94" i="10"/>
  <c r="W94" i="10"/>
  <c r="U94" i="10" s="1"/>
  <c r="AC94" i="10" a="1"/>
  <c r="AC94" i="10" s="1"/>
  <c r="AK94" i="10" s="1"/>
  <c r="AB94" i="10"/>
  <c r="AE94" i="10" a="1"/>
  <c r="AE94" i="10" s="1"/>
  <c r="AL28" i="10"/>
  <c r="W28" i="10"/>
  <c r="U28" i="10" s="1"/>
  <c r="AC28" i="10" a="1"/>
  <c r="AC28" i="10" s="1"/>
  <c r="AK28" i="10" s="1"/>
  <c r="AB28" i="10"/>
  <c r="AE28" i="10" a="1"/>
  <c r="AE28" i="10" s="1"/>
  <c r="X96" i="10"/>
  <c r="AD96" i="10" a="1"/>
  <c r="AD96" i="10" s="1"/>
  <c r="AL96" i="10" s="1"/>
  <c r="AC96" i="10" a="1"/>
  <c r="AC96" i="10" s="1"/>
  <c r="AK96" i="10" s="1"/>
  <c r="AB96" i="10"/>
  <c r="S96" i="10"/>
  <c r="W67" i="10"/>
  <c r="U67" i="10" s="1"/>
  <c r="X66" i="10"/>
  <c r="W65" i="10"/>
  <c r="U65" i="10" s="1"/>
  <c r="AE67" i="10" a="1"/>
  <c r="AE67" i="10" s="1"/>
  <c r="AD67" i="10" a="1"/>
  <c r="AD67" i="10" s="1"/>
  <c r="AL67" i="10" s="1"/>
  <c r="AB67" i="10"/>
  <c r="AD66" i="10" a="1"/>
  <c r="AD66" i="10" s="1"/>
  <c r="AL66" i="10" s="1"/>
  <c r="AC66" i="10" a="1"/>
  <c r="AC66" i="10" s="1"/>
  <c r="AK66" i="10" s="1"/>
  <c r="H66" i="10"/>
  <c r="AC65" i="10" a="1"/>
  <c r="AC65" i="10" s="1"/>
  <c r="AK65" i="10" s="1"/>
  <c r="H65" i="10"/>
  <c r="Q65" i="10"/>
  <c r="AD65" i="10" a="1"/>
  <c r="AD65" i="10" s="1"/>
  <c r="AL65" i="10" s="1"/>
  <c r="W74" i="10"/>
  <c r="U74" i="10" s="1"/>
  <c r="AC74" i="10" a="1"/>
  <c r="AC74" i="10" s="1"/>
  <c r="AK74" i="10" s="1"/>
  <c r="Q74" i="10"/>
  <c r="AL74" i="10"/>
  <c r="D219" i="14" s="1" a="1"/>
  <c r="D219" i="14" s="1"/>
  <c r="AB74" i="10"/>
  <c r="AE74" i="10" a="1"/>
  <c r="AE74" i="10" s="1"/>
  <c r="AM74" i="10" s="1"/>
  <c r="D244" i="14" a="1"/>
  <c r="D244" i="14" s="1"/>
  <c r="W82" i="10"/>
  <c r="U82" i="10" s="1"/>
  <c r="AD82" i="10" a="1"/>
  <c r="AD82" i="10" s="1"/>
  <c r="AL82" i="10" s="1"/>
  <c r="D243" i="14" s="1" a="1"/>
  <c r="D243" i="14" s="1"/>
  <c r="AC82" i="10" a="1"/>
  <c r="AC82" i="10" s="1"/>
  <c r="AK82" i="10" s="1"/>
  <c r="AB82" i="10"/>
  <c r="S82" i="10"/>
  <c r="S3" i="10"/>
  <c r="W3" i="10"/>
  <c r="U3" i="10" s="1"/>
  <c r="AC3" i="10" a="1"/>
  <c r="AC3" i="10" s="1"/>
  <c r="AK3" i="10" s="1"/>
  <c r="AB3" i="10"/>
  <c r="AE3" i="10" a="1"/>
  <c r="AE3" i="10" s="1"/>
  <c r="W2" i="10"/>
  <c r="U2" i="10" s="1"/>
  <c r="AC2" i="10" a="1"/>
  <c r="AC2" i="10" s="1"/>
  <c r="AK2" i="10" s="1"/>
  <c r="AB2" i="10"/>
  <c r="S2" i="10"/>
  <c r="AE2" i="10" a="1"/>
  <c r="AE2" i="10" s="1"/>
  <c r="AD50" i="10" a="1"/>
  <c r="AD50" i="10" s="1"/>
  <c r="AL50" i="10" s="1"/>
  <c r="D153" i="14" s="1" a="1"/>
  <c r="D153" i="14" s="1"/>
  <c r="AD17" i="10" a="1"/>
  <c r="AD17" i="10" s="1"/>
  <c r="AL17" i="10" s="1"/>
  <c r="D39" i="14" s="1" a="1"/>
  <c r="D39" i="14" s="1"/>
  <c r="AC101" i="10" a="1"/>
  <c r="AC101" i="10" s="1"/>
  <c r="AD106" i="10" a="1"/>
  <c r="AD106" i="10" s="1"/>
  <c r="AL106" i="10" s="1"/>
  <c r="D315" i="14" s="1" a="1"/>
  <c r="D315" i="14" s="1"/>
  <c r="AC39" i="10" a="1"/>
  <c r="AC39" i="10" s="1"/>
  <c r="AK39" i="10" s="1"/>
  <c r="AD98" i="10" a="1"/>
  <c r="AD98" i="10" s="1"/>
  <c r="AE95" i="10" a="1"/>
  <c r="AE95" i="10" s="1"/>
  <c r="AD95" i="10" a="1"/>
  <c r="AD95" i="10" s="1"/>
  <c r="AL95" i="10" s="1"/>
  <c r="D282" i="14" s="1" a="1"/>
  <c r="D282" i="14" s="1"/>
  <c r="AE56" i="10" a="1"/>
  <c r="AE56" i="10" s="1"/>
  <c r="AD79" i="10" a="1"/>
  <c r="AD79" i="10" s="1"/>
  <c r="AL79" i="10" s="1"/>
  <c r="D234" i="14" s="1" a="1"/>
  <c r="D234" i="14" s="1"/>
  <c r="AE54" i="10" a="1"/>
  <c r="AE54" i="10" s="1"/>
  <c r="AD56" i="10" a="1"/>
  <c r="AD56" i="10" s="1"/>
  <c r="AL56" i="10" s="1"/>
  <c r="D165" i="14" s="1" a="1"/>
  <c r="D165" i="14" s="1"/>
  <c r="AE16" i="10" a="1"/>
  <c r="AE16" i="10" s="1"/>
  <c r="AD44" i="10" a="1"/>
  <c r="AD44" i="10" s="1"/>
  <c r="AL44" i="10" s="1"/>
  <c r="D129" i="14" s="1" a="1"/>
  <c r="D129" i="14" s="1"/>
  <c r="AD13" i="10" a="1"/>
  <c r="AD13" i="10" s="1"/>
  <c r="AL13" i="10" s="1"/>
  <c r="D36" i="14" s="1" a="1"/>
  <c r="D36" i="14" s="1"/>
  <c r="AC99" i="10" a="1"/>
  <c r="AC99" i="10" s="1"/>
  <c r="AK99" i="10" s="1"/>
  <c r="AC80" i="10" a="1"/>
  <c r="AC80" i="10" s="1"/>
  <c r="AK80" i="10" s="1"/>
  <c r="AC51" i="10" a="1"/>
  <c r="AC51" i="10" s="1"/>
  <c r="AK51" i="10" s="1"/>
  <c r="AC29" i="10" a="1"/>
  <c r="AC29" i="10" s="1"/>
  <c r="AK29" i="10" s="1"/>
  <c r="AE102" i="10" a="1"/>
  <c r="AE102" i="10" s="1"/>
  <c r="AE89" i="10" a="1"/>
  <c r="AE89" i="10" s="1"/>
  <c r="AE40" i="10" a="1"/>
  <c r="AE40" i="10" s="1"/>
  <c r="AC86" i="10" a="1"/>
  <c r="AC86" i="10" s="1"/>
  <c r="AK86" i="10" s="1"/>
  <c r="AC53" i="10" a="1"/>
  <c r="AC53" i="10" s="1"/>
  <c r="AK53" i="10" s="1"/>
  <c r="AE104" i="10" a="1"/>
  <c r="AE104" i="10" s="1"/>
  <c r="AD103" i="10" a="1"/>
  <c r="AD103" i="10" s="1"/>
  <c r="AL103" i="10" s="1"/>
  <c r="D306" i="14" s="1" a="1"/>
  <c r="D306" i="14" s="1"/>
  <c r="AD90" i="10" a="1"/>
  <c r="AD90" i="10" s="1"/>
  <c r="AL90" i="10" s="1"/>
  <c r="D267" i="14" s="1" a="1"/>
  <c r="D267" i="14" s="1"/>
  <c r="AD55" i="10" a="1"/>
  <c r="AD55" i="10" s="1"/>
  <c r="AL55" i="10" s="1"/>
  <c r="D162" i="14" s="1" a="1"/>
  <c r="D162" i="14" s="1"/>
  <c r="AD43" i="10" a="1"/>
  <c r="AD43" i="10" s="1"/>
  <c r="AL43" i="10" s="1"/>
  <c r="D126" i="14" s="1" a="1"/>
  <c r="D126" i="14" s="1"/>
  <c r="AC106" i="10" a="1"/>
  <c r="AC106" i="10" s="1"/>
  <c r="AK106" i="10" s="1"/>
  <c r="AC98" i="10" a="1"/>
  <c r="AC98" i="10" s="1"/>
  <c r="AK98" i="10" s="1"/>
  <c r="AC79" i="10" a="1"/>
  <c r="AC79" i="10" s="1"/>
  <c r="AC50" i="10" a="1"/>
  <c r="AC50" i="10" s="1"/>
  <c r="AK50" i="10" s="1"/>
  <c r="AC17" i="10" a="1"/>
  <c r="AC17" i="10" s="1"/>
  <c r="AK17" i="10" s="1"/>
  <c r="AE101" i="10" a="1"/>
  <c r="AE101" i="10" s="1"/>
  <c r="AE86" i="10" a="1"/>
  <c r="AE86" i="10" s="1"/>
  <c r="AE53" i="10" a="1"/>
  <c r="AE53" i="10" s="1"/>
  <c r="AE39" i="10" a="1"/>
  <c r="AE39" i="10" s="1"/>
  <c r="AD102" i="10" a="1"/>
  <c r="AD102" i="10" s="1"/>
  <c r="AL102" i="10" s="1"/>
  <c r="D303" i="14" s="1" a="1"/>
  <c r="D303" i="14" s="1"/>
  <c r="AD89" i="10" a="1"/>
  <c r="AD89" i="10" s="1"/>
  <c r="AL89" i="10" s="1"/>
  <c r="D264" i="14" s="1" a="1"/>
  <c r="D264" i="14" s="1"/>
  <c r="AD54" i="10" a="1"/>
  <c r="AD54" i="10" s="1"/>
  <c r="AL54" i="10" s="1"/>
  <c r="D159" i="14" s="1" a="1"/>
  <c r="D159" i="14" s="1"/>
  <c r="AD40" i="10" a="1"/>
  <c r="AD40" i="10" s="1"/>
  <c r="AL40" i="10" s="1"/>
  <c r="D117" i="14" s="1" a="1"/>
  <c r="D117" i="14" s="1"/>
  <c r="AC105" i="10" a="1"/>
  <c r="AC105" i="10" s="1"/>
  <c r="AC97" i="10" a="1"/>
  <c r="AC97" i="10" s="1"/>
  <c r="AK97" i="10" s="1"/>
  <c r="AC68" i="10" a="1"/>
  <c r="AC68" i="10" s="1"/>
  <c r="AK68" i="10" s="1"/>
  <c r="AC49" i="10" a="1"/>
  <c r="AC49" i="10" s="1"/>
  <c r="AK49" i="10" s="1"/>
  <c r="AC16" i="10" a="1"/>
  <c r="AC16" i="10" s="1"/>
  <c r="AK16" i="10" s="1"/>
  <c r="D41" i="14" s="1" a="1"/>
  <c r="D41" i="14" s="1"/>
  <c r="AE100" i="10" a="1"/>
  <c r="AE100" i="10" s="1"/>
  <c r="AE83" i="10" a="1"/>
  <c r="AE83" i="10" s="1"/>
  <c r="AE52" i="10" a="1"/>
  <c r="AE52" i="10" s="1"/>
  <c r="AE30" i="10" a="1"/>
  <c r="AE30" i="10" s="1"/>
  <c r="AD104" i="10" a="1"/>
  <c r="AD104" i="10" s="1"/>
  <c r="AL104" i="10" s="1"/>
  <c r="D309" i="14" s="1" a="1"/>
  <c r="D309" i="14" s="1"/>
  <c r="AC44" i="10" a="1"/>
  <c r="AC44" i="10" s="1"/>
  <c r="AK44" i="10" s="1"/>
  <c r="AC13" i="10" a="1"/>
  <c r="AC13" i="10" s="1"/>
  <c r="AK13" i="10" s="1"/>
  <c r="AE99" i="10" a="1"/>
  <c r="AE99" i="10" s="1"/>
  <c r="AE80" i="10" a="1"/>
  <c r="AE80" i="10" s="1"/>
  <c r="AE51" i="10" a="1"/>
  <c r="AE51" i="10" s="1"/>
  <c r="AE29" i="10" a="1"/>
  <c r="AE29" i="10" s="1"/>
  <c r="AD100" i="10" a="1"/>
  <c r="AD100" i="10" s="1"/>
  <c r="AL100" i="10" s="1"/>
  <c r="D291" i="14" s="1" a="1"/>
  <c r="D291" i="14" s="1"/>
  <c r="AD83" i="10" a="1"/>
  <c r="AD83" i="10" s="1"/>
  <c r="AL83" i="10" s="1"/>
  <c r="D246" i="14" s="1" a="1"/>
  <c r="D246" i="14" s="1"/>
  <c r="AD52" i="10" a="1"/>
  <c r="AD52" i="10" s="1"/>
  <c r="AL52" i="10" s="1"/>
  <c r="D150" i="14" s="1" a="1"/>
  <c r="D150" i="14" s="1"/>
  <c r="AD30" i="10" a="1"/>
  <c r="AD30" i="10" s="1"/>
  <c r="AL30" i="10" s="1"/>
  <c r="D87" i="14" s="1" a="1"/>
  <c r="D87" i="14" s="1"/>
  <c r="AC103" i="10" a="1"/>
  <c r="AC103" i="10" s="1"/>
  <c r="AK103" i="10" s="1"/>
  <c r="AC90" i="10" a="1"/>
  <c r="AC90" i="10" s="1"/>
  <c r="AK90" i="10" s="1"/>
  <c r="AC55" i="10" a="1"/>
  <c r="AC55" i="10" s="1"/>
  <c r="AK55" i="10" s="1"/>
  <c r="AC43" i="10" a="1"/>
  <c r="AC43" i="10" s="1"/>
  <c r="AK43" i="10" s="1"/>
  <c r="AE105" i="10" a="1"/>
  <c r="AE105" i="10" s="1"/>
  <c r="AE97" i="10" a="1"/>
  <c r="AE97" i="10" s="1"/>
  <c r="AE68" i="10" a="1"/>
  <c r="AE68" i="10" s="1"/>
  <c r="AE49" i="10" a="1"/>
  <c r="AE49" i="10" s="1"/>
  <c r="S51" i="10"/>
  <c r="Q102" i="10"/>
  <c r="S98" i="10"/>
  <c r="S17" i="10"/>
  <c r="Q101" i="10"/>
  <c r="S97" i="10"/>
  <c r="S49" i="10"/>
  <c r="Q100" i="10"/>
  <c r="Q52" i="10"/>
  <c r="W90" i="10"/>
  <c r="U90" i="10" s="1"/>
  <c r="W89" i="10"/>
  <c r="U89" i="10" s="1"/>
  <c r="D263" i="14" a="1"/>
  <c r="D263" i="14" s="1"/>
  <c r="AB89" i="10"/>
  <c r="AB90" i="10"/>
  <c r="W17" i="10"/>
  <c r="U17" i="10" s="1"/>
  <c r="AB17" i="10"/>
  <c r="AL68" i="10"/>
  <c r="D201" i="14" s="1" a="1"/>
  <c r="D201" i="14" s="1"/>
  <c r="W68" i="10"/>
  <c r="U68" i="10" s="1"/>
  <c r="AB68" i="10"/>
  <c r="D116" i="14" a="1"/>
  <c r="D116" i="14" s="1"/>
  <c r="W40" i="10"/>
  <c r="U40" i="10" s="1"/>
  <c r="W39" i="10"/>
  <c r="U39" i="10" s="1"/>
  <c r="AB40" i="10"/>
  <c r="AL39" i="10"/>
  <c r="D114" i="14" s="1" a="1"/>
  <c r="D114" i="14" s="1"/>
  <c r="AB39" i="10"/>
  <c r="W56" i="10"/>
  <c r="U56" i="10" s="1"/>
  <c r="D164" i="14" a="1"/>
  <c r="D164" i="14" s="1"/>
  <c r="AB56" i="10"/>
  <c r="X95" i="10"/>
  <c r="D281" i="14" a="1"/>
  <c r="D281" i="14" s="1"/>
  <c r="AB95" i="10"/>
  <c r="W13" i="10"/>
  <c r="U13" i="10" s="1"/>
  <c r="AB13" i="10"/>
  <c r="D302" i="14" a="1"/>
  <c r="D302" i="14" s="1"/>
  <c r="D290" i="14" a="1"/>
  <c r="D290" i="14" s="1"/>
  <c r="D158" i="14" a="1"/>
  <c r="D158" i="14" s="1"/>
  <c r="D86" i="14" a="1"/>
  <c r="D86" i="14" s="1"/>
  <c r="D149" i="14" a="1"/>
  <c r="D149" i="14" s="1"/>
  <c r="X86" i="10"/>
  <c r="AL86" i="10"/>
  <c r="D249" i="14" s="1" a="1"/>
  <c r="D249" i="14" s="1"/>
  <c r="D308" i="14" a="1"/>
  <c r="D308" i="14" s="1"/>
  <c r="D245" i="14" a="1"/>
  <c r="D245" i="14" s="1"/>
  <c r="AB86" i="10"/>
  <c r="AL101" i="10"/>
  <c r="D294" i="14" s="1" a="1"/>
  <c r="D294" i="14" s="1"/>
  <c r="AL99" i="10"/>
  <c r="D297" i="14" s="1" a="1"/>
  <c r="D297" i="14" s="1"/>
  <c r="AL53" i="10"/>
  <c r="D156" i="14" s="1" a="1"/>
  <c r="D156" i="14" s="1"/>
  <c r="AL29" i="10"/>
  <c r="D84" i="14" s="1" a="1"/>
  <c r="D84" i="14" s="1"/>
  <c r="AL80" i="10"/>
  <c r="D237" i="14" s="1" a="1"/>
  <c r="D237" i="14" s="1"/>
  <c r="AL49" i="10"/>
  <c r="D144" i="14" s="1" a="1"/>
  <c r="D144" i="14" s="1"/>
  <c r="AL105" i="10"/>
  <c r="D312" i="14" s="1" a="1"/>
  <c r="D312" i="14" s="1"/>
  <c r="AL98" i="10"/>
  <c r="D300" i="14" s="1" a="1"/>
  <c r="D300" i="14" s="1"/>
  <c r="AL97" i="10"/>
  <c r="D288" i="14" s="1" a="1"/>
  <c r="D288" i="14" s="1"/>
  <c r="AL51" i="10"/>
  <c r="D147" i="14" s="1" a="1"/>
  <c r="D147" i="14" s="1"/>
  <c r="AL16" i="10"/>
  <c r="D42" i="14" s="1" a="1"/>
  <c r="D42" i="14" s="1"/>
  <c r="W43" i="10"/>
  <c r="U43" i="10" s="1"/>
  <c r="W44" i="10"/>
  <c r="U44" i="10" s="1"/>
  <c r="AB43" i="10"/>
  <c r="AB44" i="10"/>
  <c r="H83" i="10"/>
  <c r="AB83" i="10" s="1"/>
  <c r="H104" i="10"/>
  <c r="AB104" i="10" s="1"/>
  <c r="H103" i="10"/>
  <c r="AB103" i="10" s="1"/>
  <c r="H106" i="10"/>
  <c r="AB106" i="10" s="1"/>
  <c r="H98" i="10"/>
  <c r="AB98" i="10" s="1"/>
  <c r="H99" i="10"/>
  <c r="AB99" i="10" s="1"/>
  <c r="H53" i="10"/>
  <c r="AB53" i="10" s="1"/>
  <c r="H105" i="10"/>
  <c r="AB105" i="10" s="1"/>
  <c r="H16" i="10"/>
  <c r="AB79" i="10"/>
  <c r="AB102" i="10"/>
  <c r="H52" i="10"/>
  <c r="AB52" i="10" s="1"/>
  <c r="AB100" i="10"/>
  <c r="H51" i="10"/>
  <c r="AB51" i="10" s="1"/>
  <c r="AB54" i="10"/>
  <c r="H30" i="10"/>
  <c r="AB30" i="10" s="1"/>
  <c r="H101" i="10"/>
  <c r="AB101" i="10" s="1"/>
  <c r="H55" i="10"/>
  <c r="AB55" i="10" s="1"/>
  <c r="H29" i="10"/>
  <c r="AB29" i="10" s="1"/>
  <c r="AB50" i="10"/>
  <c r="AB80" i="10"/>
  <c r="AB49" i="10"/>
  <c r="W30" i="10"/>
  <c r="U30" i="10" s="1"/>
  <c r="W29" i="10"/>
  <c r="U29" i="10" s="1"/>
  <c r="X104" i="10"/>
  <c r="X106" i="10"/>
  <c r="W105" i="10"/>
  <c r="U105" i="10" s="1"/>
  <c r="W103" i="10"/>
  <c r="U103" i="10" s="1"/>
  <c r="W83" i="10"/>
  <c r="U83" i="10" s="1"/>
  <c r="W54" i="10"/>
  <c r="W55" i="10"/>
  <c r="W53" i="10"/>
  <c r="U53" i="10" s="1"/>
  <c r="Z80" i="10"/>
  <c r="W16" i="10"/>
  <c r="U16" i="10" s="1"/>
  <c r="Z52" i="10"/>
  <c r="Z79" i="10"/>
  <c r="Z49" i="10"/>
  <c r="X79" i="10"/>
  <c r="X80" i="10"/>
  <c r="W50" i="10"/>
  <c r="X51" i="10"/>
  <c r="X101" i="10"/>
  <c r="X97" i="10"/>
  <c r="X98" i="10"/>
  <c r="X52" i="10"/>
  <c r="W100" i="10"/>
  <c r="U100" i="10" s="1"/>
  <c r="U99" i="10"/>
  <c r="X99" i="10"/>
  <c r="X49" i="10"/>
  <c r="AN33" i="10" l="1"/>
  <c r="E95" i="14" s="1" a="1"/>
  <c r="E95" i="14" s="1"/>
  <c r="D95" i="14" a="1"/>
  <c r="D95" i="14" s="1"/>
  <c r="AN34" i="10"/>
  <c r="E98" i="14" s="1" a="1"/>
  <c r="E98" i="14" s="1"/>
  <c r="D98" i="14" a="1"/>
  <c r="D98" i="14" s="1"/>
  <c r="AP37" i="10"/>
  <c r="E109" i="14" s="1" a="1"/>
  <c r="E109" i="14" s="1"/>
  <c r="D109" i="14" a="1"/>
  <c r="D109" i="14" s="1"/>
  <c r="AN38" i="10"/>
  <c r="E110" i="14" s="1" a="1"/>
  <c r="E110" i="14" s="1"/>
  <c r="D110" i="14" a="1"/>
  <c r="D110" i="14" s="1"/>
  <c r="AN35" i="10"/>
  <c r="E101" i="14" s="1" a="1"/>
  <c r="E101" i="14" s="1"/>
  <c r="D101" i="14" a="1"/>
  <c r="D101" i="14" s="1"/>
  <c r="AN37" i="10"/>
  <c r="E107" i="14" s="1" a="1"/>
  <c r="E107" i="14" s="1"/>
  <c r="D107" i="14" a="1"/>
  <c r="D107" i="14" s="1"/>
  <c r="AO36" i="10"/>
  <c r="E105" i="14" s="1" a="1"/>
  <c r="E105" i="14" s="1"/>
  <c r="D105" i="14" a="1"/>
  <c r="D105" i="14" s="1"/>
  <c r="AP35" i="10"/>
  <c r="E103" i="14" s="1" a="1"/>
  <c r="E103" i="14" s="1"/>
  <c r="D103" i="14" a="1"/>
  <c r="D103" i="14" s="1"/>
  <c r="AO33" i="10"/>
  <c r="E96" i="14" s="1" a="1"/>
  <c r="E96" i="14" s="1"/>
  <c r="D96" i="14" a="1"/>
  <c r="D96" i="14" s="1"/>
  <c r="AO37" i="10"/>
  <c r="E108" i="14" s="1" a="1"/>
  <c r="E108" i="14" s="1"/>
  <c r="D108" i="14" a="1"/>
  <c r="D108" i="14" s="1"/>
  <c r="AP34" i="10"/>
  <c r="E100" i="14" s="1" a="1"/>
  <c r="E100" i="14" s="1"/>
  <c r="D100" i="14" a="1"/>
  <c r="D100" i="14" s="1"/>
  <c r="AP38" i="10"/>
  <c r="E112" i="14" s="1" a="1"/>
  <c r="E112" i="14" s="1"/>
  <c r="D112" i="14" a="1"/>
  <c r="D112" i="14" s="1"/>
  <c r="AP33" i="10"/>
  <c r="E97" i="14" s="1" a="1"/>
  <c r="E97" i="14" s="1"/>
  <c r="D97" i="14" a="1"/>
  <c r="D97" i="14" s="1"/>
  <c r="AO34" i="10"/>
  <c r="E99" i="14" s="1" a="1"/>
  <c r="E99" i="14" s="1"/>
  <c r="D99" i="14" a="1"/>
  <c r="D99" i="14" s="1"/>
  <c r="AP36" i="10"/>
  <c r="E106" i="14" s="1" a="1"/>
  <c r="E106" i="14" s="1"/>
  <c r="D106" i="14" a="1"/>
  <c r="D106" i="14" s="1"/>
  <c r="AN36" i="10"/>
  <c r="E104" i="14" s="1" a="1"/>
  <c r="E104" i="14" s="1"/>
  <c r="D104" i="14" a="1"/>
  <c r="D104" i="14" s="1"/>
  <c r="AO35" i="10"/>
  <c r="E102" i="14" s="1" a="1"/>
  <c r="E102" i="14" s="1"/>
  <c r="D102" i="14" a="1"/>
  <c r="D102" i="14" s="1"/>
  <c r="AO38" i="10"/>
  <c r="E111" i="14" s="1" a="1"/>
  <c r="E111" i="14" s="1"/>
  <c r="D111" i="14" a="1"/>
  <c r="D111" i="14" s="1"/>
  <c r="AN32" i="10"/>
  <c r="E92" i="14" s="1" a="1"/>
  <c r="E92" i="14" s="1"/>
  <c r="D92" i="14" a="1"/>
  <c r="D92" i="14" s="1"/>
  <c r="AN31" i="10"/>
  <c r="E89" i="14" s="1" a="1"/>
  <c r="E89" i="14" s="1"/>
  <c r="D89" i="14" a="1"/>
  <c r="D89" i="14" s="1"/>
  <c r="AP32" i="10"/>
  <c r="E94" i="14" s="1" a="1"/>
  <c r="E94" i="14" s="1"/>
  <c r="D94" i="14" a="1"/>
  <c r="D94" i="14" s="1"/>
  <c r="AO31" i="10"/>
  <c r="E90" i="14" s="1" a="1"/>
  <c r="E90" i="14" s="1"/>
  <c r="D90" i="14" a="1"/>
  <c r="D90" i="14" s="1"/>
  <c r="AP31" i="10"/>
  <c r="E91" i="14" s="1" a="1"/>
  <c r="E91" i="14" s="1"/>
  <c r="D91" i="14" a="1"/>
  <c r="D91" i="14" s="1"/>
  <c r="AO32" i="10"/>
  <c r="E93" i="14" s="1" a="1"/>
  <c r="E93" i="14" s="1"/>
  <c r="D93" i="14" a="1"/>
  <c r="D93" i="14" s="1"/>
  <c r="AN14" i="10"/>
  <c r="E44" i="14" s="1" a="1"/>
  <c r="E44" i="14" s="1"/>
  <c r="D44" i="14" a="1"/>
  <c r="D44" i="14" s="1"/>
  <c r="AP14" i="10"/>
  <c r="E46" i="14" s="1" a="1"/>
  <c r="E46" i="14" s="1"/>
  <c r="D46" i="14" a="1"/>
  <c r="D46" i="14" s="1"/>
  <c r="AO14" i="10"/>
  <c r="E45" i="14" s="1" a="1"/>
  <c r="E45" i="14" s="1"/>
  <c r="D45" i="14" a="1"/>
  <c r="D45" i="14" s="1"/>
  <c r="AP15" i="10"/>
  <c r="E49" i="14" s="1" a="1"/>
  <c r="E49" i="14" s="1"/>
  <c r="D49" i="14" a="1"/>
  <c r="D49" i="14" s="1"/>
  <c r="AN15" i="10"/>
  <c r="E47" i="14" s="1" a="1"/>
  <c r="E47" i="14" s="1"/>
  <c r="D47" i="14" a="1"/>
  <c r="D47" i="14" s="1"/>
  <c r="AO15" i="10"/>
  <c r="E48" i="14" s="1" a="1"/>
  <c r="E48" i="14" s="1"/>
  <c r="D48" i="14" a="1"/>
  <c r="D48" i="14" s="1"/>
  <c r="AN9" i="10"/>
  <c r="E23" i="14" s="1" a="1"/>
  <c r="E23" i="14" s="1"/>
  <c r="D23" i="14" a="1"/>
  <c r="D23" i="14" s="1"/>
  <c r="AO11" i="10"/>
  <c r="E30" i="14" s="1" a="1"/>
  <c r="E30" i="14" s="1"/>
  <c r="D30" i="14" a="1"/>
  <c r="D30" i="14" s="1"/>
  <c r="AN8" i="10"/>
  <c r="E20" i="14" s="1" a="1"/>
  <c r="E20" i="14" s="1"/>
  <c r="D20" i="14" a="1"/>
  <c r="D20" i="14" s="1"/>
  <c r="AP9" i="10"/>
  <c r="E25" i="14" s="1" a="1"/>
  <c r="E25" i="14" s="1"/>
  <c r="D25" i="14" a="1"/>
  <c r="D25" i="14" s="1"/>
  <c r="AP11" i="10"/>
  <c r="E31" i="14" s="1" a="1"/>
  <c r="E31" i="14" s="1"/>
  <c r="D31" i="14" a="1"/>
  <c r="D31" i="14" s="1"/>
  <c r="AN12" i="10"/>
  <c r="E32" i="14" s="1" a="1"/>
  <c r="E32" i="14" s="1"/>
  <c r="D32" i="14" a="1"/>
  <c r="D32" i="14" s="1"/>
  <c r="AP7" i="10"/>
  <c r="E19" i="14" s="1" a="1"/>
  <c r="E19" i="14" s="1"/>
  <c r="D19" i="14" a="1"/>
  <c r="D19" i="14" s="1"/>
  <c r="AO10" i="10"/>
  <c r="E27" i="14" s="1" a="1"/>
  <c r="E27" i="14" s="1"/>
  <c r="D27" i="14" a="1"/>
  <c r="D27" i="14" s="1"/>
  <c r="AN11" i="10"/>
  <c r="E29" i="14" s="1" a="1"/>
  <c r="E29" i="14" s="1"/>
  <c r="D29" i="14" a="1"/>
  <c r="D29" i="14" s="1"/>
  <c r="AO9" i="10"/>
  <c r="E24" i="14" s="1" a="1"/>
  <c r="E24" i="14" s="1"/>
  <c r="D24" i="14" a="1"/>
  <c r="D24" i="14" s="1"/>
  <c r="AP8" i="10"/>
  <c r="E22" i="14" s="1" a="1"/>
  <c r="E22" i="14" s="1"/>
  <c r="D22" i="14" a="1"/>
  <c r="D22" i="14" s="1"/>
  <c r="AO7" i="10"/>
  <c r="E18" i="14" s="1" a="1"/>
  <c r="E18" i="14" s="1"/>
  <c r="D18" i="14" a="1"/>
  <c r="D18" i="14" s="1"/>
  <c r="AP10" i="10"/>
  <c r="E28" i="14" s="1" a="1"/>
  <c r="E28" i="14" s="1"/>
  <c r="D28" i="14" a="1"/>
  <c r="D28" i="14" s="1"/>
  <c r="AP12" i="10"/>
  <c r="E34" i="14" s="1" a="1"/>
  <c r="E34" i="14" s="1"/>
  <c r="D34" i="14" a="1"/>
  <c r="D34" i="14" s="1"/>
  <c r="AN7" i="10"/>
  <c r="E17" i="14" s="1" a="1"/>
  <c r="E17" i="14" s="1"/>
  <c r="D17" i="14" a="1"/>
  <c r="D17" i="14" s="1"/>
  <c r="AO8" i="10"/>
  <c r="E21" i="14" s="1" a="1"/>
  <c r="E21" i="14" s="1"/>
  <c r="D21" i="14" a="1"/>
  <c r="D21" i="14" s="1"/>
  <c r="AN10" i="10"/>
  <c r="E26" i="14" s="1" a="1"/>
  <c r="E26" i="14" s="1"/>
  <c r="D26" i="14" a="1"/>
  <c r="D26" i="14" s="1"/>
  <c r="AO12" i="10"/>
  <c r="E33" i="14" s="1" a="1"/>
  <c r="E33" i="14" s="1"/>
  <c r="D33" i="14" a="1"/>
  <c r="D33" i="14" s="1"/>
  <c r="AP6" i="10"/>
  <c r="E16" i="14" s="1" a="1"/>
  <c r="E16" i="14" s="1"/>
  <c r="D16" i="14" a="1"/>
  <c r="D16" i="14" s="1"/>
  <c r="AN6" i="10"/>
  <c r="E14" i="14" s="1" a="1"/>
  <c r="E14" i="14" s="1"/>
  <c r="D14" i="14" a="1"/>
  <c r="D14" i="14" s="1"/>
  <c r="AO6" i="10"/>
  <c r="E15" i="14" s="1" a="1"/>
  <c r="E15" i="14" s="1"/>
  <c r="D15" i="14" a="1"/>
  <c r="D15" i="14" s="1"/>
  <c r="AP5" i="10"/>
  <c r="E13" i="14" s="1" a="1"/>
  <c r="E13" i="14" s="1"/>
  <c r="D13" i="14" a="1"/>
  <c r="D13" i="14" s="1"/>
  <c r="AN5" i="10"/>
  <c r="E11" i="14" s="1" a="1"/>
  <c r="E11" i="14" s="1"/>
  <c r="D11" i="14" a="1"/>
  <c r="D11" i="14" s="1"/>
  <c r="AO5" i="10"/>
  <c r="E12" i="14" s="1" a="1"/>
  <c r="E12" i="14" s="1"/>
  <c r="D12" i="14" a="1"/>
  <c r="D12" i="14" s="1"/>
  <c r="AN58" i="10"/>
  <c r="E170" i="14" s="1" a="1"/>
  <c r="E170" i="14" s="1"/>
  <c r="D170" i="14" a="1"/>
  <c r="D170" i="14" s="1"/>
  <c r="AN57" i="10"/>
  <c r="E167" i="14" s="1" a="1"/>
  <c r="E167" i="14" s="1"/>
  <c r="D167" i="14" a="1"/>
  <c r="D167" i="14" s="1"/>
  <c r="AP59" i="10"/>
  <c r="E175" i="14" s="1" a="1"/>
  <c r="E175" i="14" s="1"/>
  <c r="D175" i="14" a="1"/>
  <c r="D175" i="14" s="1"/>
  <c r="AO59" i="10"/>
  <c r="E174" i="14" s="1" a="1"/>
  <c r="E174" i="14" s="1"/>
  <c r="D174" i="14" a="1"/>
  <c r="D174" i="14" s="1"/>
  <c r="AN59" i="10"/>
  <c r="E173" i="14" s="1" a="1"/>
  <c r="E173" i="14" s="1"/>
  <c r="D173" i="14" a="1"/>
  <c r="D173" i="14" s="1"/>
  <c r="AO57" i="10"/>
  <c r="E168" i="14" s="1" a="1"/>
  <c r="E168" i="14" s="1"/>
  <c r="D168" i="14" a="1"/>
  <c r="D168" i="14" s="1"/>
  <c r="AP58" i="10"/>
  <c r="E172" i="14" s="1" a="1"/>
  <c r="E172" i="14" s="1"/>
  <c r="D172" i="14" a="1"/>
  <c r="D172" i="14" s="1"/>
  <c r="AP57" i="10"/>
  <c r="E169" i="14" s="1" a="1"/>
  <c r="E169" i="14" s="1"/>
  <c r="D169" i="14" a="1"/>
  <c r="D169" i="14" s="1"/>
  <c r="AO58" i="10"/>
  <c r="E171" i="14" s="1" a="1"/>
  <c r="E171" i="14" s="1"/>
  <c r="D171" i="14" a="1"/>
  <c r="D171" i="14" s="1"/>
  <c r="AP23" i="10"/>
  <c r="E67" i="14" s="1" a="1"/>
  <c r="E67" i="14" s="1"/>
  <c r="D67" i="14" a="1"/>
  <c r="D67" i="14" s="1"/>
  <c r="AN20" i="10"/>
  <c r="E56" i="14" s="1" a="1"/>
  <c r="E56" i="14" s="1"/>
  <c r="D56" i="14" a="1"/>
  <c r="D56" i="14" s="1"/>
  <c r="AP22" i="10"/>
  <c r="E64" i="14" s="1" a="1"/>
  <c r="E64" i="14" s="1"/>
  <c r="D64" i="14" a="1"/>
  <c r="D64" i="14" s="1"/>
  <c r="AN24" i="10"/>
  <c r="E68" i="14" s="1" a="1"/>
  <c r="E68" i="14" s="1"/>
  <c r="D68" i="14" a="1"/>
  <c r="D68" i="14" s="1"/>
  <c r="AO20" i="10"/>
  <c r="E57" i="14" s="1" a="1"/>
  <c r="E57" i="14" s="1"/>
  <c r="D57" i="14" a="1"/>
  <c r="D57" i="14" s="1"/>
  <c r="AP18" i="10"/>
  <c r="E52" i="14" s="1" a="1"/>
  <c r="E52" i="14" s="1"/>
  <c r="D52" i="14" a="1"/>
  <c r="D52" i="14" s="1"/>
  <c r="AO24" i="10"/>
  <c r="E69" i="14" s="1" a="1"/>
  <c r="E69" i="14" s="1"/>
  <c r="D69" i="14" a="1"/>
  <c r="D69" i="14" s="1"/>
  <c r="AN21" i="10"/>
  <c r="E59" i="14" s="1" a="1"/>
  <c r="E59" i="14" s="1"/>
  <c r="D59" i="14" a="1"/>
  <c r="D59" i="14" s="1"/>
  <c r="AP26" i="10"/>
  <c r="E76" i="14" s="1" a="1"/>
  <c r="E76" i="14" s="1"/>
  <c r="D76" i="14" a="1"/>
  <c r="D76" i="14" s="1"/>
  <c r="AN26" i="10"/>
  <c r="E74" i="14" s="1" a="1"/>
  <c r="E74" i="14" s="1"/>
  <c r="D74" i="14" a="1"/>
  <c r="D74" i="14" s="1"/>
  <c r="AO21" i="10"/>
  <c r="E60" i="14" s="1" a="1"/>
  <c r="E60" i="14" s="1"/>
  <c r="D60" i="14" a="1"/>
  <c r="D60" i="14" s="1"/>
  <c r="AO18" i="10"/>
  <c r="E51" i="14" s="1" a="1"/>
  <c r="E51" i="14" s="1"/>
  <c r="D51" i="14" a="1"/>
  <c r="D51" i="14" s="1"/>
  <c r="AP21" i="10"/>
  <c r="E61" i="14" s="1" a="1"/>
  <c r="E61" i="14" s="1"/>
  <c r="D61" i="14" a="1"/>
  <c r="D61" i="14" s="1"/>
  <c r="AN22" i="10"/>
  <c r="E62" i="14" s="1" a="1"/>
  <c r="E62" i="14" s="1"/>
  <c r="D62" i="14" a="1"/>
  <c r="D62" i="14" s="1"/>
  <c r="AO25" i="10"/>
  <c r="E72" i="14" s="1" a="1"/>
  <c r="E72" i="14" s="1"/>
  <c r="D72" i="14" a="1"/>
  <c r="D72" i="14" s="1"/>
  <c r="AP20" i="10"/>
  <c r="E58" i="14" s="1" a="1"/>
  <c r="E58" i="14" s="1"/>
  <c r="D58" i="14" a="1"/>
  <c r="D58" i="14" s="1"/>
  <c r="AN23" i="10"/>
  <c r="E65" i="14" s="1" a="1"/>
  <c r="E65" i="14" s="1"/>
  <c r="D65" i="14" a="1"/>
  <c r="D65" i="14" s="1"/>
  <c r="AO22" i="10"/>
  <c r="E63" i="14" s="1" a="1"/>
  <c r="E63" i="14" s="1"/>
  <c r="D63" i="14" a="1"/>
  <c r="D63" i="14" s="1"/>
  <c r="AP25" i="10"/>
  <c r="E73" i="14" s="1" a="1"/>
  <c r="E73" i="14" s="1"/>
  <c r="D73" i="14" a="1"/>
  <c r="D73" i="14" s="1"/>
  <c r="AP19" i="10"/>
  <c r="E55" i="14" s="1" a="1"/>
  <c r="E55" i="14" s="1"/>
  <c r="D55" i="14" a="1"/>
  <c r="D55" i="14" s="1"/>
  <c r="AO23" i="10"/>
  <c r="E66" i="14" s="1" a="1"/>
  <c r="E66" i="14" s="1"/>
  <c r="D66" i="14" a="1"/>
  <c r="D66" i="14" s="1"/>
  <c r="AP24" i="10"/>
  <c r="E70" i="14" s="1" a="1"/>
  <c r="E70" i="14" s="1"/>
  <c r="D70" i="14" a="1"/>
  <c r="D70" i="14" s="1"/>
  <c r="AN25" i="10"/>
  <c r="E71" i="14" s="1" a="1"/>
  <c r="E71" i="14" s="1"/>
  <c r="D71" i="14" a="1"/>
  <c r="D71" i="14" s="1"/>
  <c r="AN19" i="10"/>
  <c r="E53" i="14" s="1" a="1"/>
  <c r="E53" i="14" s="1"/>
  <c r="D53" i="14" a="1"/>
  <c r="D53" i="14" s="1"/>
  <c r="AO19" i="10"/>
  <c r="E54" i="14" s="1" a="1"/>
  <c r="E54" i="14" s="1"/>
  <c r="D54" i="14" a="1"/>
  <c r="D54" i="14" s="1"/>
  <c r="AO26" i="10"/>
  <c r="E75" i="14" s="1" a="1"/>
  <c r="E75" i="14" s="1"/>
  <c r="D75" i="14" a="1"/>
  <c r="D75" i="14" s="1"/>
  <c r="AN18" i="10"/>
  <c r="E50" i="14" s="1" a="1"/>
  <c r="E50" i="14" s="1"/>
  <c r="D50" i="14" a="1"/>
  <c r="D50" i="14" s="1"/>
  <c r="AM80" i="10"/>
  <c r="AP80" i="10" s="1"/>
  <c r="E238" i="14" s="1" a="1"/>
  <c r="E238" i="14" s="1"/>
  <c r="AM100" i="10"/>
  <c r="AP100" i="10" s="1"/>
  <c r="E292" i="14" s="1" a="1"/>
  <c r="E292" i="14" s="1"/>
  <c r="AK79" i="10"/>
  <c r="D233" i="14" s="1" a="1"/>
  <c r="D233" i="14" s="1"/>
  <c r="AM2" i="10"/>
  <c r="AP2" i="10" s="1"/>
  <c r="E4" i="14" s="1" a="1"/>
  <c r="E4" i="14" s="1"/>
  <c r="AM67" i="10"/>
  <c r="AP67" i="10" s="1"/>
  <c r="E199" i="14" s="1" a="1"/>
  <c r="E199" i="14" s="1"/>
  <c r="AM76" i="10"/>
  <c r="AP76" i="10" s="1"/>
  <c r="E226" i="14" s="1" a="1"/>
  <c r="E226" i="14" s="1"/>
  <c r="AM99" i="10"/>
  <c r="AP99" i="10" s="1"/>
  <c r="E298" i="14" s="1" a="1"/>
  <c r="E298" i="14" s="1"/>
  <c r="AM95" i="10"/>
  <c r="AP95" i="10" s="1"/>
  <c r="E283" i="14" s="1" a="1"/>
  <c r="E283" i="14" s="1"/>
  <c r="AM28" i="10"/>
  <c r="AP28" i="10" s="1"/>
  <c r="E82" i="14" s="1" a="1"/>
  <c r="E82" i="14" s="1"/>
  <c r="AM75" i="10"/>
  <c r="AP75" i="10" s="1"/>
  <c r="E223" i="14" s="1" a="1"/>
  <c r="E223" i="14" s="1"/>
  <c r="AM88" i="10"/>
  <c r="AP88" i="10" s="1"/>
  <c r="E262" i="14" s="1" a="1"/>
  <c r="E262" i="14" s="1"/>
  <c r="AM92" i="10"/>
  <c r="AP92" i="10" s="1"/>
  <c r="E274" i="14" s="1" a="1"/>
  <c r="E274" i="14" s="1"/>
  <c r="AM4" i="10"/>
  <c r="AP4" i="10" s="1"/>
  <c r="E10" i="14" s="1" a="1"/>
  <c r="E10" i="14" s="1"/>
  <c r="AM49" i="10"/>
  <c r="AP49" i="10" s="1"/>
  <c r="E145" i="14" s="1" a="1"/>
  <c r="E145" i="14" s="1"/>
  <c r="AM39" i="10"/>
  <c r="AP39" i="10" s="1"/>
  <c r="E115" i="14" s="1" a="1"/>
  <c r="E115" i="14" s="1"/>
  <c r="AM40" i="10"/>
  <c r="AP40" i="10" s="1"/>
  <c r="E118" i="14" s="1" a="1"/>
  <c r="E118" i="14" s="1"/>
  <c r="AM78" i="10"/>
  <c r="AP78" i="10" s="1"/>
  <c r="E232" i="14" s="1" a="1"/>
  <c r="E232" i="14" s="1"/>
  <c r="AM68" i="10"/>
  <c r="AP68" i="10" s="1"/>
  <c r="AM53" i="10"/>
  <c r="AP53" i="10" s="1"/>
  <c r="E157" i="14" s="1" a="1"/>
  <c r="E157" i="14" s="1"/>
  <c r="AM89" i="10"/>
  <c r="AP89" i="10" s="1"/>
  <c r="E265" i="14" s="1" a="1"/>
  <c r="E265" i="14" s="1"/>
  <c r="AM16" i="10"/>
  <c r="AM77" i="10"/>
  <c r="AP77" i="10" s="1"/>
  <c r="E229" i="14" s="1" a="1"/>
  <c r="E229" i="14" s="1"/>
  <c r="AM91" i="10"/>
  <c r="AP91" i="10" s="1"/>
  <c r="E271" i="14" s="1" a="1"/>
  <c r="E271" i="14" s="1"/>
  <c r="AM71" i="10"/>
  <c r="AP71" i="10" s="1"/>
  <c r="E211" i="14" s="1" a="1"/>
  <c r="E211" i="14" s="1"/>
  <c r="AM97" i="10"/>
  <c r="AP97" i="10" s="1"/>
  <c r="E289" i="14" s="1" a="1"/>
  <c r="E289" i="14" s="1"/>
  <c r="AM86" i="10"/>
  <c r="AP86" i="10" s="1"/>
  <c r="E250" i="14" s="1" a="1"/>
  <c r="E250" i="14" s="1"/>
  <c r="AM102" i="10"/>
  <c r="AP102" i="10" s="1"/>
  <c r="E304" i="14" s="1" a="1"/>
  <c r="E304" i="14" s="1"/>
  <c r="AM27" i="10"/>
  <c r="AP27" i="10" s="1"/>
  <c r="E79" i="14" s="1" a="1"/>
  <c r="E79" i="14" s="1"/>
  <c r="AM105" i="10"/>
  <c r="AP105" i="10" s="1"/>
  <c r="E313" i="14" s="1" a="1"/>
  <c r="E313" i="14" s="1"/>
  <c r="AM30" i="10"/>
  <c r="AP30" i="10" s="1"/>
  <c r="E88" i="14" s="1" a="1"/>
  <c r="E88" i="14" s="1"/>
  <c r="AK105" i="10"/>
  <c r="D311" i="14" s="1" a="1"/>
  <c r="D311" i="14" s="1"/>
  <c r="AM101" i="10"/>
  <c r="AP101" i="10" s="1"/>
  <c r="E295" i="14" s="1" a="1"/>
  <c r="E295" i="14" s="1"/>
  <c r="AM54" i="10"/>
  <c r="AP54" i="10" s="1"/>
  <c r="E160" i="14" s="1" a="1"/>
  <c r="E160" i="14" s="1"/>
  <c r="AK101" i="10"/>
  <c r="D293" i="14" s="1" a="1"/>
  <c r="D293" i="14" s="1"/>
  <c r="AM3" i="10"/>
  <c r="AP3" i="10" s="1"/>
  <c r="E7" i="14" s="1" a="1"/>
  <c r="E7" i="14" s="1"/>
  <c r="AM87" i="10"/>
  <c r="AP87" i="10" s="1"/>
  <c r="E259" i="14" s="1" a="1"/>
  <c r="E259" i="14" s="1"/>
  <c r="AM94" i="10"/>
  <c r="AP94" i="10" s="1"/>
  <c r="E280" i="14" s="1" a="1"/>
  <c r="E280" i="14" s="1"/>
  <c r="AM70" i="10"/>
  <c r="AP70" i="10" s="1"/>
  <c r="E208" i="14" s="1" a="1"/>
  <c r="E208" i="14" s="1"/>
  <c r="AM45" i="10"/>
  <c r="AP45" i="10" s="1"/>
  <c r="E133" i="14" s="1" a="1"/>
  <c r="E133" i="14" s="1"/>
  <c r="AM29" i="10"/>
  <c r="AP29" i="10" s="1"/>
  <c r="E85" i="14" s="1" a="1"/>
  <c r="E85" i="14" s="1"/>
  <c r="AM52" i="10"/>
  <c r="AP52" i="10" s="1"/>
  <c r="E151" i="14" s="1" a="1"/>
  <c r="E151" i="14" s="1"/>
  <c r="AM51" i="10"/>
  <c r="AP51" i="10" s="1"/>
  <c r="E148" i="14" s="1" a="1"/>
  <c r="E148" i="14" s="1"/>
  <c r="AM83" i="10"/>
  <c r="AP83" i="10" s="1"/>
  <c r="E247" i="14" s="1" a="1"/>
  <c r="E247" i="14" s="1"/>
  <c r="AM104" i="10"/>
  <c r="AP104" i="10" s="1"/>
  <c r="E310" i="14" s="1" a="1"/>
  <c r="E310" i="14" s="1"/>
  <c r="AM56" i="10"/>
  <c r="AP56" i="10" s="1"/>
  <c r="E166" i="14" s="1" a="1"/>
  <c r="E166" i="14" s="1"/>
  <c r="AM69" i="10"/>
  <c r="AP69" i="10" s="1"/>
  <c r="E205" i="14" s="1" a="1"/>
  <c r="E205" i="14" s="1"/>
  <c r="AM81" i="10"/>
  <c r="AP81" i="10" s="1"/>
  <c r="E241" i="14" s="1" a="1"/>
  <c r="E241" i="14" s="1"/>
  <c r="AM46" i="10"/>
  <c r="AP46" i="10" s="1"/>
  <c r="E136" i="14" s="1" a="1"/>
  <c r="E136" i="14" s="1"/>
  <c r="AN47" i="10"/>
  <c r="E137" i="14" s="1" a="1"/>
  <c r="E137" i="14" s="1"/>
  <c r="D137" i="14" a="1"/>
  <c r="D137" i="14" s="1"/>
  <c r="AO47" i="10"/>
  <c r="E138" i="14" s="1" a="1"/>
  <c r="E138" i="14" s="1"/>
  <c r="D138" i="14" a="1"/>
  <c r="D138" i="14" s="1"/>
  <c r="AO48" i="10"/>
  <c r="E141" i="14" s="1" a="1"/>
  <c r="E141" i="14" s="1"/>
  <c r="D141" i="14" a="1"/>
  <c r="D141" i="14" s="1"/>
  <c r="AP48" i="10"/>
  <c r="E142" i="14" s="1" a="1"/>
  <c r="E142" i="14" s="1"/>
  <c r="D142" i="14" a="1"/>
  <c r="D142" i="14" s="1"/>
  <c r="AP47" i="10"/>
  <c r="E139" i="14" s="1" a="1"/>
  <c r="E139" i="14" s="1"/>
  <c r="D139" i="14" a="1"/>
  <c r="D139" i="14" s="1"/>
  <c r="AN48" i="10"/>
  <c r="E140" i="14" s="1" a="1"/>
  <c r="E140" i="14" s="1"/>
  <c r="D140" i="14" a="1"/>
  <c r="D140" i="14" s="1"/>
  <c r="AN61" i="10"/>
  <c r="E179" i="14" s="1" a="1"/>
  <c r="E179" i="14" s="1"/>
  <c r="D179" i="14" a="1"/>
  <c r="D179" i="14" s="1"/>
  <c r="AN60" i="10"/>
  <c r="E176" i="14" s="1" a="1"/>
  <c r="E176" i="14" s="1"/>
  <c r="D176" i="14" a="1"/>
  <c r="D176" i="14" s="1"/>
  <c r="AP61" i="10"/>
  <c r="E181" i="14" s="1" a="1"/>
  <c r="E181" i="14" s="1"/>
  <c r="D181" i="14" a="1"/>
  <c r="D181" i="14" s="1"/>
  <c r="AO60" i="10"/>
  <c r="E177" i="14" s="1" a="1"/>
  <c r="E177" i="14" s="1"/>
  <c r="D177" i="14" a="1"/>
  <c r="D177" i="14" s="1"/>
  <c r="AP60" i="10"/>
  <c r="E178" i="14" s="1" a="1"/>
  <c r="E178" i="14" s="1"/>
  <c r="D178" i="14" a="1"/>
  <c r="D178" i="14" s="1"/>
  <c r="AO61" i="10"/>
  <c r="E180" i="14" s="1" a="1"/>
  <c r="E180" i="14" s="1"/>
  <c r="D180" i="14" a="1"/>
  <c r="D180" i="14" s="1"/>
  <c r="AP62" i="10"/>
  <c r="E184" i="14" s="1" a="1"/>
  <c r="E184" i="14" s="1"/>
  <c r="D184" i="14" a="1"/>
  <c r="D184" i="14" s="1"/>
  <c r="AN62" i="10"/>
  <c r="E182" i="14" s="1" a="1"/>
  <c r="E182" i="14" s="1"/>
  <c r="D182" i="14" a="1"/>
  <c r="D182" i="14" s="1"/>
  <c r="AO62" i="10"/>
  <c r="E183" i="14" s="1" a="1"/>
  <c r="E183" i="14" s="1"/>
  <c r="D183" i="14" a="1"/>
  <c r="D183" i="14" s="1"/>
  <c r="AP63" i="10"/>
  <c r="E187" i="14" s="1" a="1"/>
  <c r="E187" i="14" s="1"/>
  <c r="D187" i="14" a="1"/>
  <c r="D187" i="14" s="1"/>
  <c r="AO63" i="10"/>
  <c r="E186" i="14" s="1" a="1"/>
  <c r="E186" i="14" s="1"/>
  <c r="D186" i="14" a="1"/>
  <c r="D186" i="14" s="1"/>
  <c r="AN63" i="10"/>
  <c r="E185" i="14" s="1" a="1"/>
  <c r="E185" i="14" s="1"/>
  <c r="D185" i="14" a="1"/>
  <c r="D185" i="14" s="1"/>
  <c r="AP93" i="10"/>
  <c r="E277" i="14" s="1" a="1"/>
  <c r="E277" i="14" s="1"/>
  <c r="D277" i="14" a="1"/>
  <c r="D277" i="14" s="1"/>
  <c r="AN93" i="10"/>
  <c r="E275" i="14" s="1" a="1"/>
  <c r="E275" i="14" s="1"/>
  <c r="D275" i="14" a="1"/>
  <c r="D275" i="14" s="1"/>
  <c r="AO93" i="10"/>
  <c r="E276" i="14" s="1" a="1"/>
  <c r="E276" i="14" s="1"/>
  <c r="D276" i="14" a="1"/>
  <c r="D276" i="14" s="1"/>
  <c r="AN85" i="10"/>
  <c r="E254" i="14" s="1" a="1"/>
  <c r="E254" i="14" s="1"/>
  <c r="D254" i="14" a="1"/>
  <c r="D254" i="14" s="1"/>
  <c r="AO85" i="10"/>
  <c r="E255" i="14" s="1" a="1"/>
  <c r="E255" i="14" s="1"/>
  <c r="D255" i="14" a="1"/>
  <c r="D255" i="14" s="1"/>
  <c r="AP85" i="10"/>
  <c r="E256" i="14" s="1" a="1"/>
  <c r="E256" i="14" s="1"/>
  <c r="D256" i="14" a="1"/>
  <c r="D256" i="14" s="1"/>
  <c r="AP84" i="10"/>
  <c r="E253" i="14" s="1" a="1"/>
  <c r="E253" i="14" s="1"/>
  <c r="D253" i="14" a="1"/>
  <c r="D253" i="14" s="1"/>
  <c r="AN84" i="10"/>
  <c r="E251" i="14" s="1" a="1"/>
  <c r="E251" i="14" s="1"/>
  <c r="D251" i="14" a="1"/>
  <c r="D251" i="14" s="1"/>
  <c r="AO84" i="10"/>
  <c r="E252" i="14" s="1" a="1"/>
  <c r="E252" i="14" s="1"/>
  <c r="D252" i="14" a="1"/>
  <c r="D252" i="14" s="1"/>
  <c r="AP64" i="10"/>
  <c r="E190" i="14" s="1" a="1"/>
  <c r="E190" i="14" s="1"/>
  <c r="D190" i="14" a="1"/>
  <c r="D190" i="14" s="1"/>
  <c r="AN64" i="10"/>
  <c r="E188" i="14" s="1" a="1"/>
  <c r="E188" i="14" s="1"/>
  <c r="D188" i="14" a="1"/>
  <c r="D188" i="14" s="1"/>
  <c r="AO64" i="10"/>
  <c r="E189" i="14" s="1" a="1"/>
  <c r="E189" i="14" s="1"/>
  <c r="D189" i="14" a="1"/>
  <c r="D189" i="14" s="1"/>
  <c r="AP73" i="10"/>
  <c r="E217" i="14" s="1" a="1"/>
  <c r="E217" i="14" s="1"/>
  <c r="D217" i="14" a="1"/>
  <c r="D217" i="14" s="1"/>
  <c r="AN73" i="10"/>
  <c r="E215" i="14" s="1" a="1"/>
  <c r="E215" i="14" s="1"/>
  <c r="D215" i="14" a="1"/>
  <c r="D215" i="14" s="1"/>
  <c r="AO73" i="10"/>
  <c r="E216" i="14" s="1" a="1"/>
  <c r="E216" i="14" s="1"/>
  <c r="D216" i="14" a="1"/>
  <c r="D216" i="14" s="1"/>
  <c r="AP72" i="10"/>
  <c r="E214" i="14" s="1" a="1"/>
  <c r="E214" i="14" s="1"/>
  <c r="D214" i="14" a="1"/>
  <c r="D214" i="14" s="1"/>
  <c r="AN72" i="10"/>
  <c r="E212" i="14" s="1" a="1"/>
  <c r="E212" i="14" s="1"/>
  <c r="D212" i="14" a="1"/>
  <c r="D212" i="14" s="1"/>
  <c r="AO72" i="10"/>
  <c r="E213" i="14" s="1" a="1"/>
  <c r="E213" i="14" s="1"/>
  <c r="D213" i="14" a="1"/>
  <c r="D213" i="14" s="1"/>
  <c r="AP74" i="10"/>
  <c r="D7" i="14" a="1"/>
  <c r="D7" i="14" s="1"/>
  <c r="D113" i="14" a="1"/>
  <c r="D113" i="14" s="1"/>
  <c r="AN105" i="10"/>
  <c r="AN101" i="10"/>
  <c r="AN2" i="10"/>
  <c r="E2" i="14" s="1" a="1"/>
  <c r="E2" i="14" s="1"/>
  <c r="AN77" i="10"/>
  <c r="E227" i="14" s="1" a="1"/>
  <c r="E227" i="14" s="1"/>
  <c r="AN71" i="10"/>
  <c r="E209" i="14" s="1" a="1"/>
  <c r="E209" i="14" s="1"/>
  <c r="AN87" i="10"/>
  <c r="E257" i="14" s="1" a="1"/>
  <c r="E257" i="14" s="1"/>
  <c r="AN96" i="10"/>
  <c r="E284" i="14" s="1" a="1"/>
  <c r="E284" i="14" s="1"/>
  <c r="AN79" i="10"/>
  <c r="AN66" i="10"/>
  <c r="AN70" i="10"/>
  <c r="AN65" i="10"/>
  <c r="E191" i="14" s="1" a="1"/>
  <c r="E191" i="14" s="1"/>
  <c r="AN27" i="10"/>
  <c r="E77" i="14" s="1" a="1"/>
  <c r="E77" i="14" s="1"/>
  <c r="AN76" i="10"/>
  <c r="AN69" i="10"/>
  <c r="AN75" i="10"/>
  <c r="E221" i="14" s="1" a="1"/>
  <c r="E221" i="14" s="1"/>
  <c r="D287" i="14" a="1"/>
  <c r="D287" i="14" s="1"/>
  <c r="AN28" i="10"/>
  <c r="AN92" i="10"/>
  <c r="E272" i="14" s="1" a="1"/>
  <c r="E272" i="14" s="1"/>
  <c r="AN94" i="10"/>
  <c r="E278" i="14" s="1" a="1"/>
  <c r="E278" i="14" s="1"/>
  <c r="AN78" i="10"/>
  <c r="E230" i="14" s="1" a="1"/>
  <c r="E230" i="14" s="1"/>
  <c r="D296" i="14" a="1"/>
  <c r="D296" i="14" s="1"/>
  <c r="AN91" i="10"/>
  <c r="E269" i="14" s="1" a="1"/>
  <c r="E269" i="14" s="1"/>
  <c r="D38" i="14" a="1"/>
  <c r="D38" i="14" s="1"/>
  <c r="AN17" i="10"/>
  <c r="D146" i="14" a="1"/>
  <c r="D146" i="14" s="1"/>
  <c r="AN51" i="10"/>
  <c r="D125" i="14" a="1"/>
  <c r="D125" i="14" s="1"/>
  <c r="AN43" i="10"/>
  <c r="D161" i="14" a="1"/>
  <c r="D161" i="14" s="1"/>
  <c r="AN55" i="10"/>
  <c r="D152" i="14" a="1"/>
  <c r="D152" i="14" s="1"/>
  <c r="AN50" i="10"/>
  <c r="D236" i="14" a="1"/>
  <c r="D236" i="14" s="1"/>
  <c r="AN80" i="10"/>
  <c r="D266" i="14" a="1"/>
  <c r="D266" i="14" s="1"/>
  <c r="AN90" i="10"/>
  <c r="D155" i="14" a="1"/>
  <c r="D155" i="14" s="1"/>
  <c r="AN53" i="10"/>
  <c r="D242" i="14" a="1"/>
  <c r="D242" i="14" s="1"/>
  <c r="AN82" i="10"/>
  <c r="D10" i="14" a="1"/>
  <c r="D10" i="14" s="1"/>
  <c r="D305" i="14" a="1"/>
  <c r="D305" i="14" s="1"/>
  <c r="AN103" i="10"/>
  <c r="AN16" i="10"/>
  <c r="E41" i="14" s="1" a="1"/>
  <c r="E41" i="14" s="1"/>
  <c r="D299" i="14" a="1"/>
  <c r="D299" i="14" s="1"/>
  <c r="AN98" i="10"/>
  <c r="D248" i="14" a="1"/>
  <c r="D248" i="14" s="1"/>
  <c r="AN86" i="10"/>
  <c r="D5" i="14" a="1"/>
  <c r="D5" i="14" s="1"/>
  <c r="AN3" i="10"/>
  <c r="D218" i="14" a="1"/>
  <c r="D218" i="14" s="1"/>
  <c r="AN74" i="10"/>
  <c r="D35" i="14" a="1"/>
  <c r="D35" i="14" s="1"/>
  <c r="AN13" i="10"/>
  <c r="D143" i="14" a="1"/>
  <c r="D143" i="14" s="1"/>
  <c r="AN49" i="10"/>
  <c r="D314" i="14" a="1"/>
  <c r="D314" i="14" s="1"/>
  <c r="AN106" i="10"/>
  <c r="D4" i="14" a="1"/>
  <c r="D4" i="14" s="1"/>
  <c r="D128" i="14" a="1"/>
  <c r="D128" i="14" s="1"/>
  <c r="AN44" i="10"/>
  <c r="D200" i="14" a="1"/>
  <c r="D200" i="14" s="1"/>
  <c r="AN68" i="10"/>
  <c r="AN29" i="10"/>
  <c r="AO4" i="10"/>
  <c r="E9" i="14" s="1" a="1"/>
  <c r="E9" i="14" s="1"/>
  <c r="D9" i="14" a="1"/>
  <c r="D9" i="14" s="1"/>
  <c r="AO45" i="10"/>
  <c r="E132" i="14" s="1" a="1"/>
  <c r="E132" i="14" s="1"/>
  <c r="D132" i="14" a="1"/>
  <c r="D132" i="14" s="1"/>
  <c r="D133" i="14" a="1"/>
  <c r="D133" i="14" s="1"/>
  <c r="D136" i="14" a="1"/>
  <c r="D136" i="14" s="1"/>
  <c r="E131" i="14" a="1"/>
  <c r="E131" i="14" s="1"/>
  <c r="D131" i="14" a="1"/>
  <c r="D131" i="14" s="1"/>
  <c r="AO46" i="10"/>
  <c r="E135" i="14" s="1" a="1"/>
  <c r="E135" i="14" s="1"/>
  <c r="D135" i="14" a="1"/>
  <c r="D135" i="14" s="1"/>
  <c r="E134" i="14" a="1"/>
  <c r="E134" i="14" s="1"/>
  <c r="D134" i="14" a="1"/>
  <c r="D134" i="14" s="1"/>
  <c r="D274" i="14" a="1"/>
  <c r="D274" i="14" s="1"/>
  <c r="D272" i="14" a="1"/>
  <c r="D272" i="14" s="1"/>
  <c r="AO92" i="10"/>
  <c r="E273" i="14" s="1" a="1"/>
  <c r="E273" i="14" s="1"/>
  <c r="D273" i="14" a="1"/>
  <c r="D273" i="14" s="1"/>
  <c r="AO81" i="10"/>
  <c r="E240" i="14" s="1" a="1"/>
  <c r="E240" i="14" s="1"/>
  <c r="D240" i="14" a="1"/>
  <c r="D240" i="14" s="1"/>
  <c r="D241" i="14" a="1"/>
  <c r="D241" i="14" s="1"/>
  <c r="E239" i="14" a="1"/>
  <c r="E239" i="14" s="1"/>
  <c r="D239" i="14" a="1"/>
  <c r="D239" i="14" s="1"/>
  <c r="D259" i="14" a="1"/>
  <c r="D259" i="14" s="1"/>
  <c r="D257" i="14" a="1"/>
  <c r="D257" i="14" s="1"/>
  <c r="AO87" i="10"/>
  <c r="E258" i="14" s="1" a="1"/>
  <c r="E258" i="14" s="1"/>
  <c r="D258" i="14" a="1"/>
  <c r="D258" i="14" s="1"/>
  <c r="D262" i="14" a="1"/>
  <c r="D262" i="14" s="1"/>
  <c r="E260" i="14" a="1"/>
  <c r="E260" i="14" s="1"/>
  <c r="D260" i="14" a="1"/>
  <c r="D260" i="14" s="1"/>
  <c r="AO88" i="10"/>
  <c r="E261" i="14" s="1" a="1"/>
  <c r="E261" i="14" s="1"/>
  <c r="D261" i="14" a="1"/>
  <c r="D261" i="14" s="1"/>
  <c r="E206" i="14" a="1"/>
  <c r="E206" i="14" s="1"/>
  <c r="D206" i="14" a="1"/>
  <c r="D206" i="14" s="1"/>
  <c r="E203" i="14" a="1"/>
  <c r="E203" i="14" s="1"/>
  <c r="D203" i="14" a="1"/>
  <c r="D203" i="14" s="1"/>
  <c r="D211" i="14" a="1"/>
  <c r="D211" i="14" s="1"/>
  <c r="AO69" i="10"/>
  <c r="E204" i="14" s="1" a="1"/>
  <c r="E204" i="14" s="1"/>
  <c r="D204" i="14" a="1"/>
  <c r="D204" i="14" s="1"/>
  <c r="AO71" i="10"/>
  <c r="E210" i="14" s="1" a="1"/>
  <c r="E210" i="14" s="1"/>
  <c r="D210" i="14" a="1"/>
  <c r="D210" i="14" s="1"/>
  <c r="D208" i="14" a="1"/>
  <c r="D208" i="14" s="1"/>
  <c r="D205" i="14" a="1"/>
  <c r="D205" i="14" s="1"/>
  <c r="D209" i="14" a="1"/>
  <c r="D209" i="14" s="1"/>
  <c r="AO70" i="10"/>
  <c r="E207" i="14" s="1" a="1"/>
  <c r="E207" i="14" s="1"/>
  <c r="D207" i="14" a="1"/>
  <c r="D207" i="14" s="1"/>
  <c r="D223" i="14" a="1"/>
  <c r="D223" i="14" s="1"/>
  <c r="D221" i="14" a="1"/>
  <c r="D221" i="14" s="1"/>
  <c r="AO75" i="10"/>
  <c r="E222" i="14" s="1" a="1"/>
  <c r="E222" i="14" s="1"/>
  <c r="D222" i="14" a="1"/>
  <c r="D222" i="14" s="1"/>
  <c r="D271" i="14" a="1"/>
  <c r="D271" i="14" s="1"/>
  <c r="D269" i="14" a="1"/>
  <c r="D269" i="14" s="1"/>
  <c r="AO91" i="10"/>
  <c r="E270" i="14" s="1" a="1"/>
  <c r="E270" i="14" s="1"/>
  <c r="D270" i="14" a="1"/>
  <c r="D270" i="14" s="1"/>
  <c r="D229" i="14" a="1"/>
  <c r="D229" i="14" s="1"/>
  <c r="D227" i="14" a="1"/>
  <c r="D227" i="14" s="1"/>
  <c r="AO76" i="10"/>
  <c r="E225" i="14" s="1" a="1"/>
  <c r="E225" i="14" s="1"/>
  <c r="D225" i="14" a="1"/>
  <c r="D225" i="14" s="1"/>
  <c r="AO77" i="10"/>
  <c r="E228" i="14" s="1" a="1"/>
  <c r="E228" i="14" s="1"/>
  <c r="D228" i="14" a="1"/>
  <c r="D228" i="14" s="1"/>
  <c r="D226" i="14" a="1"/>
  <c r="D226" i="14" s="1"/>
  <c r="E224" i="14" a="1"/>
  <c r="E224" i="14" s="1"/>
  <c r="D224" i="14" a="1"/>
  <c r="D224" i="14" s="1"/>
  <c r="D232" i="14" a="1"/>
  <c r="D232" i="14" s="1"/>
  <c r="D230" i="14" a="1"/>
  <c r="D230" i="14" s="1"/>
  <c r="AO78" i="10"/>
  <c r="E231" i="14" s="1" a="1"/>
  <c r="E231" i="14" s="1"/>
  <c r="D231" i="14" a="1"/>
  <c r="D231" i="14" s="1"/>
  <c r="D79" i="14" a="1"/>
  <c r="D79" i="14" s="1"/>
  <c r="D77" i="14" a="1"/>
  <c r="D77" i="14" s="1"/>
  <c r="AO27" i="10"/>
  <c r="E78" i="14" s="1" a="1"/>
  <c r="E78" i="14" s="1"/>
  <c r="D78" i="14" a="1"/>
  <c r="D78" i="14" s="1"/>
  <c r="D280" i="14" a="1"/>
  <c r="D280" i="14" s="1"/>
  <c r="D278" i="14" a="1"/>
  <c r="D278" i="14" s="1"/>
  <c r="AO94" i="10"/>
  <c r="E279" i="14" s="1" a="1"/>
  <c r="E279" i="14" s="1"/>
  <c r="D279" i="14" a="1"/>
  <c r="D279" i="14" s="1"/>
  <c r="D82" i="14" a="1"/>
  <c r="D82" i="14" s="1"/>
  <c r="E80" i="14" a="1"/>
  <c r="E80" i="14" s="1"/>
  <c r="D80" i="14" a="1"/>
  <c r="D80" i="14" s="1"/>
  <c r="AO28" i="10"/>
  <c r="E81" i="14" s="1" a="1"/>
  <c r="E81" i="14" s="1"/>
  <c r="D81" i="14" a="1"/>
  <c r="D81" i="14" s="1"/>
  <c r="D284" i="14" a="1"/>
  <c r="D284" i="14" s="1"/>
  <c r="AO96" i="10"/>
  <c r="E285" i="14" s="1" a="1"/>
  <c r="E285" i="14" s="1"/>
  <c r="D285" i="14" a="1"/>
  <c r="D285" i="14" s="1"/>
  <c r="E286" i="14" a="1"/>
  <c r="E286" i="14" s="1"/>
  <c r="D286" i="14" a="1"/>
  <c r="D286" i="14" s="1"/>
  <c r="D85" i="14" a="1"/>
  <c r="D85" i="14" s="1"/>
  <c r="E127" i="14" a="1"/>
  <c r="E127" i="14" s="1"/>
  <c r="D127" i="14" a="1"/>
  <c r="D127" i="14" s="1"/>
  <c r="AO65" i="10"/>
  <c r="E192" i="14" s="1" a="1"/>
  <c r="E192" i="14" s="1"/>
  <c r="D192" i="14" a="1"/>
  <c r="D192" i="14" s="1"/>
  <c r="AO67" i="10"/>
  <c r="E198" i="14" s="1" a="1"/>
  <c r="E198" i="14" s="1"/>
  <c r="D198" i="14" a="1"/>
  <c r="D198" i="14" s="1"/>
  <c r="D151" i="14" a="1"/>
  <c r="D151" i="14" s="1"/>
  <c r="D148" i="14" a="1"/>
  <c r="D148" i="14" s="1"/>
  <c r="D247" i="14" a="1"/>
  <c r="D247" i="14" s="1"/>
  <c r="D310" i="14" a="1"/>
  <c r="D310" i="14" s="1"/>
  <c r="D166" i="14" a="1"/>
  <c r="D166" i="14" s="1"/>
  <c r="D199" i="14" a="1"/>
  <c r="D199" i="14" s="1"/>
  <c r="D238" i="14" a="1"/>
  <c r="D238" i="14" s="1"/>
  <c r="D292" i="14" a="1"/>
  <c r="D292" i="14" s="1"/>
  <c r="E301" i="14" a="1"/>
  <c r="E301" i="14" s="1"/>
  <c r="D301" i="14" a="1"/>
  <c r="D301" i="14" s="1"/>
  <c r="E154" i="14" a="1"/>
  <c r="E154" i="14" s="1"/>
  <c r="D154" i="14" a="1"/>
  <c r="D154" i="14" s="1"/>
  <c r="E193" i="14" a="1"/>
  <c r="E193" i="14" s="1"/>
  <c r="D193" i="14" a="1"/>
  <c r="D193" i="14" s="1"/>
  <c r="D298" i="14" a="1"/>
  <c r="D298" i="14" s="1"/>
  <c r="D283" i="14" a="1"/>
  <c r="D283" i="14" s="1"/>
  <c r="E316" i="14" a="1"/>
  <c r="E316" i="14" s="1"/>
  <c r="D316" i="14" a="1"/>
  <c r="D316" i="14" s="1"/>
  <c r="E307" i="14" a="1"/>
  <c r="E307" i="14" s="1"/>
  <c r="D307" i="14" a="1"/>
  <c r="D307" i="14" s="1"/>
  <c r="D191" i="14" a="1"/>
  <c r="D191" i="14" s="1"/>
  <c r="D145" i="14" a="1"/>
  <c r="D145" i="14" s="1"/>
  <c r="D115" i="14" a="1"/>
  <c r="D115" i="14" s="1"/>
  <c r="D118" i="14" a="1"/>
  <c r="D118" i="14" s="1"/>
  <c r="E37" i="14" a="1"/>
  <c r="E37" i="14" s="1"/>
  <c r="D37" i="14" a="1"/>
  <c r="D37" i="14" s="1"/>
  <c r="E268" i="14" a="1"/>
  <c r="E268" i="14" s="1"/>
  <c r="D268" i="14" a="1"/>
  <c r="D268" i="14" s="1"/>
  <c r="D157" i="14" a="1"/>
  <c r="D157" i="14" s="1"/>
  <c r="D265" i="14" a="1"/>
  <c r="D265" i="14" s="1"/>
  <c r="E163" i="14" a="1"/>
  <c r="E163" i="14" s="1"/>
  <c r="D163" i="14" a="1"/>
  <c r="D163" i="14" s="1"/>
  <c r="E194" i="14" a="1"/>
  <c r="E194" i="14" s="1"/>
  <c r="D194" i="14" a="1"/>
  <c r="D194" i="14" s="1"/>
  <c r="E196" i="14" a="1"/>
  <c r="E196" i="14" s="1"/>
  <c r="D196" i="14" a="1"/>
  <c r="D196" i="14" s="1"/>
  <c r="D289" i="14" a="1"/>
  <c r="D289" i="14" s="1"/>
  <c r="D250" i="14" a="1"/>
  <c r="D250" i="14" s="1"/>
  <c r="D304" i="14" a="1"/>
  <c r="D304" i="14" s="1"/>
  <c r="E130" i="14" a="1"/>
  <c r="E130" i="14" s="1"/>
  <c r="D130" i="14" a="1"/>
  <c r="D130" i="14" s="1"/>
  <c r="AO66" i="10"/>
  <c r="E195" i="14" s="1" a="1"/>
  <c r="E195" i="14" s="1"/>
  <c r="D195" i="14" a="1"/>
  <c r="D195" i="14" s="1"/>
  <c r="E197" i="14" a="1"/>
  <c r="E197" i="14" s="1"/>
  <c r="D197" i="14" a="1"/>
  <c r="D197" i="14" s="1"/>
  <c r="D313" i="14" a="1"/>
  <c r="D313" i="14" s="1"/>
  <c r="D88" i="14" a="1"/>
  <c r="D88" i="14" s="1"/>
  <c r="D295" i="14" a="1"/>
  <c r="D295" i="14" s="1"/>
  <c r="D160" i="14" a="1"/>
  <c r="D160" i="14" s="1"/>
  <c r="E235" i="14" a="1"/>
  <c r="E235" i="14" s="1"/>
  <c r="D235" i="14" a="1"/>
  <c r="D235" i="14" s="1"/>
  <c r="E40" i="14" a="1"/>
  <c r="E40" i="14" s="1"/>
  <c r="D40" i="14" a="1"/>
  <c r="D40" i="14" s="1"/>
  <c r="E218" i="14" a="1"/>
  <c r="E218" i="14" s="1"/>
  <c r="E220" i="14" a="1"/>
  <c r="E220" i="14" s="1"/>
  <c r="AO74" i="10"/>
  <c r="E219" i="14" s="1" a="1"/>
  <c r="E219" i="14" s="1"/>
  <c r="E242" i="14" a="1"/>
  <c r="E242" i="14" s="1"/>
  <c r="AO82" i="10"/>
  <c r="E243" i="14" s="1" a="1"/>
  <c r="E243" i="14" s="1"/>
  <c r="E244" i="14" a="1"/>
  <c r="E244" i="14" s="1"/>
  <c r="E5" i="14" a="1"/>
  <c r="E5" i="14" s="1"/>
  <c r="AO3" i="10"/>
  <c r="E6" i="14" s="1" a="1"/>
  <c r="E6" i="14" s="1"/>
  <c r="D2" i="14" a="1"/>
  <c r="D2" i="14" s="1"/>
  <c r="AO2" i="10"/>
  <c r="E3" i="14" s="1" a="1"/>
  <c r="E3" i="14" s="1"/>
  <c r="D3" i="14" a="1"/>
  <c r="D3" i="14" s="1"/>
  <c r="E149" i="14" a="1"/>
  <c r="E149" i="14" s="1"/>
  <c r="E125" i="14" a="1"/>
  <c r="E125" i="14" s="1"/>
  <c r="E128" i="14" a="1"/>
  <c r="E128" i="14" s="1"/>
  <c r="E266" i="14" a="1"/>
  <c r="E266" i="14" s="1"/>
  <c r="E263" i="14" a="1"/>
  <c r="E263" i="14" s="1"/>
  <c r="AO89" i="10"/>
  <c r="E264" i="14" s="1" a="1"/>
  <c r="E264" i="14" s="1"/>
  <c r="AO90" i="10"/>
  <c r="E267" i="14" s="1" a="1"/>
  <c r="E267" i="14" s="1"/>
  <c r="AO17" i="10"/>
  <c r="E39" i="14" s="1" a="1"/>
  <c r="E39" i="14" s="1"/>
  <c r="E38" i="14" a="1"/>
  <c r="E38" i="14" s="1"/>
  <c r="E200" i="14" a="1"/>
  <c r="E200" i="14" s="1"/>
  <c r="AO68" i="10"/>
  <c r="E201" i="14" s="1" a="1"/>
  <c r="E201" i="14" s="1"/>
  <c r="AO39" i="10"/>
  <c r="E114" i="14" s="1" a="1"/>
  <c r="E114" i="14" s="1"/>
  <c r="AO40" i="10"/>
  <c r="E117" i="14" s="1" a="1"/>
  <c r="E117" i="14" s="1"/>
  <c r="E116" i="14" a="1"/>
  <c r="E116" i="14" s="1"/>
  <c r="E164" i="14" a="1"/>
  <c r="E164" i="14" s="1"/>
  <c r="AO56" i="10"/>
  <c r="E165" i="14" s="1" a="1"/>
  <c r="E165" i="14" s="1"/>
  <c r="E311" i="14" a="1"/>
  <c r="E311" i="14" s="1"/>
  <c r="E299" i="14" a="1"/>
  <c r="E299" i="14" s="1"/>
  <c r="E293" i="14" a="1"/>
  <c r="E293" i="14" s="1"/>
  <c r="E152" i="14" a="1"/>
  <c r="E152" i="14" s="1"/>
  <c r="E161" i="14" a="1"/>
  <c r="E161" i="14" s="1"/>
  <c r="E233" i="14" a="1"/>
  <c r="E233" i="14" s="1"/>
  <c r="E245" i="14" a="1"/>
  <c r="E245" i="14" s="1"/>
  <c r="E86" i="14" a="1"/>
  <c r="E86" i="14" s="1"/>
  <c r="E302" i="14" a="1"/>
  <c r="E302" i="14" s="1"/>
  <c r="E308" i="14" a="1"/>
  <c r="E308" i="14" s="1"/>
  <c r="E158" i="14" a="1"/>
  <c r="E158" i="14" s="1"/>
  <c r="E83" i="14" a="1"/>
  <c r="E83" i="14" s="1"/>
  <c r="E290" i="14" a="1"/>
  <c r="E290" i="14" s="1"/>
  <c r="E281" i="14" a="1"/>
  <c r="E281" i="14" s="1"/>
  <c r="E314" i="14" a="1"/>
  <c r="E314" i="14" s="1"/>
  <c r="E236" i="14" a="1"/>
  <c r="E236" i="14" s="1"/>
  <c r="E146" i="14" a="1"/>
  <c r="E146" i="14" s="1"/>
  <c r="E248" i="14" a="1"/>
  <c r="E248" i="14" s="1"/>
  <c r="E155" i="14" a="1"/>
  <c r="E155" i="14" s="1"/>
  <c r="E305" i="14" a="1"/>
  <c r="E305" i="14" s="1"/>
  <c r="E143" i="14" a="1"/>
  <c r="E143" i="14" s="1"/>
  <c r="E35" i="14" a="1"/>
  <c r="E35" i="14" s="1"/>
  <c r="AB16" i="10"/>
  <c r="A2" i="16" a="1"/>
  <c r="A2" i="16" s="1"/>
  <c r="AO105" i="10"/>
  <c r="E312" i="14" s="1" a="1"/>
  <c r="E312" i="14" s="1"/>
  <c r="AO104" i="10"/>
  <c r="E309" i="14" s="1" a="1"/>
  <c r="E309" i="14" s="1"/>
  <c r="AO53" i="10"/>
  <c r="E156" i="14" s="1" a="1"/>
  <c r="E156" i="14" s="1"/>
  <c r="AO44" i="10"/>
  <c r="E129" i="14" s="1" a="1"/>
  <c r="E129" i="14" s="1"/>
  <c r="AO106" i="10"/>
  <c r="E315" i="14" s="1" a="1"/>
  <c r="E315" i="14" s="1"/>
  <c r="AO51" i="10"/>
  <c r="E147" i="14" s="1" a="1"/>
  <c r="E147" i="14" s="1"/>
  <c r="AO99" i="10"/>
  <c r="E297" i="14" s="1" a="1"/>
  <c r="E297" i="14" s="1"/>
  <c r="AO79" i="10"/>
  <c r="E234" i="14" s="1" a="1"/>
  <c r="E234" i="14" s="1"/>
  <c r="AO16" i="10"/>
  <c r="E42" i="14" s="1" a="1"/>
  <c r="E42" i="14" s="1"/>
  <c r="AO30" i="10"/>
  <c r="E87" i="14" s="1" a="1"/>
  <c r="E87" i="14" s="1"/>
  <c r="AO102" i="10"/>
  <c r="E303" i="14" s="1" a="1"/>
  <c r="E303" i="14" s="1"/>
  <c r="AO95" i="10"/>
  <c r="E282" i="14" s="1" a="1"/>
  <c r="E282" i="14" s="1"/>
  <c r="AO86" i="10"/>
  <c r="E249" i="14" s="1" a="1"/>
  <c r="E249" i="14" s="1"/>
  <c r="AO83" i="10"/>
  <c r="E246" i="14" s="1" a="1"/>
  <c r="E246" i="14" s="1"/>
  <c r="AO54" i="10"/>
  <c r="E159" i="14" s="1" a="1"/>
  <c r="E159" i="14" s="1"/>
  <c r="AO50" i="10"/>
  <c r="E153" i="14" s="1" a="1"/>
  <c r="E153" i="14" s="1"/>
  <c r="AO98" i="10"/>
  <c r="E300" i="14" s="1" a="1"/>
  <c r="E300" i="14" s="1"/>
  <c r="AO101" i="10"/>
  <c r="E294" i="14" s="1" a="1"/>
  <c r="E294" i="14" s="1"/>
  <c r="AO52" i="10"/>
  <c r="E150" i="14" s="1" a="1"/>
  <c r="E150" i="14" s="1"/>
  <c r="AO49" i="10"/>
  <c r="E144" i="14" s="1" a="1"/>
  <c r="E144" i="14" s="1"/>
  <c r="AO100" i="10"/>
  <c r="E291" i="14" s="1" a="1"/>
  <c r="E291" i="14" s="1"/>
  <c r="AO103" i="10"/>
  <c r="E306" i="14" s="1" a="1"/>
  <c r="E306" i="14" s="1"/>
  <c r="AO55" i="10"/>
  <c r="E162" i="14" s="1" a="1"/>
  <c r="E162" i="14" s="1"/>
  <c r="AO29" i="10"/>
  <c r="E84" i="14" s="1" a="1"/>
  <c r="E84" i="14" s="1"/>
  <c r="AO97" i="10"/>
  <c r="E288" i="14" s="1" a="1"/>
  <c r="E288" i="14" s="1"/>
  <c r="AO80" i="10"/>
  <c r="E237" i="14" s="1" a="1"/>
  <c r="E237" i="14" s="1"/>
  <c r="AO43" i="10"/>
  <c r="E126" i="14" s="1" a="1"/>
  <c r="E126" i="14" s="1"/>
  <c r="AO13" i="10"/>
  <c r="E36" i="14" s="1" a="1"/>
  <c r="E36" i="14" s="1"/>
  <c r="AP16" i="10" l="1"/>
  <c r="E43" i="14" s="1" a="1"/>
  <c r="E43" i="14" s="1"/>
  <c r="D43" i="14" a="1"/>
  <c r="D43" i="14" s="1"/>
  <c r="D220" i="14" a="1"/>
  <c r="D220" i="14" s="1"/>
  <c r="AN99" i="10"/>
  <c r="E296" i="14" s="1" a="1"/>
  <c r="E296" i="14" s="1"/>
  <c r="AN97" i="10"/>
  <c r="E287" i="14" s="1" a="1"/>
  <c r="E287" i="14" s="1"/>
  <c r="AN39" i="10"/>
  <c r="E113" i="14" s="1" a="1"/>
  <c r="E113" i="14" s="1"/>
  <c r="D83" i="14" a="1"/>
  <c r="D83" i="14" s="1"/>
  <c r="AN4" i="10"/>
  <c r="E8" i="14" s="1" a="1"/>
  <c r="E8" i="14" s="1"/>
  <c r="D8" i="14" a="1"/>
  <c r="D8" i="14" s="1"/>
  <c r="E202" i="14" a="1"/>
  <c r="E202" i="14" s="1"/>
  <c r="D202" i="14" a="1"/>
  <c r="D202" i="1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<sst xmlns="http://schemas.openxmlformats.org/spreadsheetml/2006/main" count="6139" uniqueCount="1135">
  <si>
    <t>product_key</t>
  </si>
  <si>
    <t>kcal_per_100g</t>
  </si>
  <si>
    <t>protein_per_100g</t>
  </si>
  <si>
    <t>carbs_per_100g</t>
  </si>
  <si>
    <t>fat_per_100g</t>
  </si>
  <si>
    <t>group_key</t>
  </si>
  <si>
    <t>sort_order</t>
  </si>
  <si>
    <t>WATER</t>
  </si>
  <si>
    <t>Water</t>
  </si>
  <si>
    <t>false</t>
  </si>
  <si>
    <t>VEGETABLES</t>
  </si>
  <si>
    <t>lang</t>
  </si>
  <si>
    <t>name</t>
  </si>
  <si>
    <t>nl</t>
  </si>
  <si>
    <t>en</t>
  </si>
  <si>
    <t>de</t>
  </si>
  <si>
    <t>Wasser</t>
  </si>
  <si>
    <t>fr</t>
  </si>
  <si>
    <t>Eau</t>
  </si>
  <si>
    <t>pl</t>
  </si>
  <si>
    <t>Woda</t>
  </si>
  <si>
    <t>BEVERAGES</t>
  </si>
  <si>
    <t>1</t>
  </si>
  <si>
    <t>Dranken</t>
  </si>
  <si>
    <t>Beverages</t>
  </si>
  <si>
    <t>Getränke</t>
  </si>
  <si>
    <t>Boissons</t>
  </si>
  <si>
    <t>Napoje</t>
  </si>
  <si>
    <t>unit_key</t>
  </si>
  <si>
    <t>gram</t>
  </si>
  <si>
    <t>weight</t>
  </si>
  <si>
    <t>ml</t>
  </si>
  <si>
    <t>volume</t>
  </si>
  <si>
    <t>glass</t>
  </si>
  <si>
    <t>piece</t>
  </si>
  <si>
    <t>label</t>
  </si>
  <si>
    <t>Klein glas</t>
  </si>
  <si>
    <t>grams</t>
  </si>
  <si>
    <t>is_default</t>
  </si>
  <si>
    <t>true</t>
  </si>
  <si>
    <t>preparation_key</t>
  </si>
  <si>
    <t>kcal_per_100ml</t>
  </si>
  <si>
    <t>water_percent</t>
  </si>
  <si>
    <t>salt_per_100g</t>
  </si>
  <si>
    <t>sugar_per_100g</t>
  </si>
  <si>
    <t>fiber_per_100g</t>
  </si>
  <si>
    <t>is_drink</t>
  </si>
  <si>
    <t>density_g_per_ml</t>
  </si>
  <si>
    <t>source_id</t>
  </si>
  <si>
    <t>type</t>
  </si>
  <si>
    <t>FRUITS</t>
  </si>
  <si>
    <t>MEAT</t>
  </si>
  <si>
    <t>FISH</t>
  </si>
  <si>
    <t>GRAINS</t>
  </si>
  <si>
    <t>DAIRY</t>
  </si>
  <si>
    <t>LEGUMES</t>
  </si>
  <si>
    <t>NUTS_SEEDS</t>
  </si>
  <si>
    <t>OILS_FATS</t>
  </si>
  <si>
    <t>OTHER</t>
  </si>
  <si>
    <t>Groenten</t>
  </si>
  <si>
    <t>Vegetables</t>
  </si>
  <si>
    <t>Légumes</t>
  </si>
  <si>
    <t>Gemüse</t>
  </si>
  <si>
    <t>Warzywa</t>
  </si>
  <si>
    <t>Fruit</t>
  </si>
  <si>
    <t>Fruits</t>
  </si>
  <si>
    <t>Obst</t>
  </si>
  <si>
    <t>Owoce</t>
  </si>
  <si>
    <t>Vlees</t>
  </si>
  <si>
    <t>Meat</t>
  </si>
  <si>
    <t>Viande</t>
  </si>
  <si>
    <t>Fleisch</t>
  </si>
  <si>
    <t>Mięso</t>
  </si>
  <si>
    <t>Vis</t>
  </si>
  <si>
    <t>Fish</t>
  </si>
  <si>
    <t>Poisson</t>
  </si>
  <si>
    <t>Fisch</t>
  </si>
  <si>
    <t>Ryby</t>
  </si>
  <si>
    <t>Granen</t>
  </si>
  <si>
    <t>Grains</t>
  </si>
  <si>
    <t>Céréales</t>
  </si>
  <si>
    <t>Getreide</t>
  </si>
  <si>
    <t>Zboża</t>
  </si>
  <si>
    <t>Zuivel</t>
  </si>
  <si>
    <t>Dairy</t>
  </si>
  <si>
    <t>Produits laitiers</t>
  </si>
  <si>
    <t>Milchprodukte</t>
  </si>
  <si>
    <t>Nabiał</t>
  </si>
  <si>
    <t>Peulvruchten</t>
  </si>
  <si>
    <t>Legumes</t>
  </si>
  <si>
    <t>Légumineuses</t>
  </si>
  <si>
    <t>Hülsenfrüchte</t>
  </si>
  <si>
    <t>Rośliny strączkowe</t>
  </si>
  <si>
    <t>Noten &amp; Zaden</t>
  </si>
  <si>
    <t>Nuts &amp; Seeds</t>
  </si>
  <si>
    <t>Noix &amp; Graines</t>
  </si>
  <si>
    <t>Nüsse &amp; Samen</t>
  </si>
  <si>
    <t>Oliën &amp; Vetten</t>
  </si>
  <si>
    <t>Oils &amp; Fats</t>
  </si>
  <si>
    <t>Huiles &amp; Graisses</t>
  </si>
  <si>
    <t>Öle &amp; Fette</t>
  </si>
  <si>
    <t>Overig</t>
  </si>
  <si>
    <t>Other</t>
  </si>
  <si>
    <t>Autres</t>
  </si>
  <si>
    <t>Sonstiges</t>
  </si>
  <si>
    <t>Inne</t>
  </si>
  <si>
    <t>description_internal</t>
  </si>
  <si>
    <t>READY_MEALS</t>
  </si>
  <si>
    <t>Kant-en-klaar</t>
  </si>
  <si>
    <t>Ready Meals</t>
  </si>
  <si>
    <t>Plats préparés</t>
  </si>
  <si>
    <t>Fertiggerichte</t>
  </si>
  <si>
    <t>Dania gotowe</t>
  </si>
  <si>
    <t>Orzechy i nasiona</t>
  </si>
  <si>
    <t>Oleje i tłuszcze</t>
  </si>
  <si>
    <t>DEFAULT</t>
  </si>
  <si>
    <t>true / false</t>
  </si>
  <si>
    <t>TEA</t>
  </si>
  <si>
    <t>SYSTEM</t>
  </si>
  <si>
    <t>Standaard</t>
  </si>
  <si>
    <t>Default</t>
  </si>
  <si>
    <t>Standard</t>
  </si>
  <si>
    <t>unit_type</t>
  </si>
  <si>
    <t>is_base</t>
  </si>
  <si>
    <t>GRAM</t>
  </si>
  <si>
    <t>Gram basisgewicht</t>
  </si>
  <si>
    <t>ML</t>
  </si>
  <si>
    <t>Milliliter basisvolume</t>
  </si>
  <si>
    <t>PIECE</t>
  </si>
  <si>
    <t>Stuks</t>
  </si>
  <si>
    <t>GLASS</t>
  </si>
  <si>
    <t>Glas</t>
  </si>
  <si>
    <t>LONGDRINK</t>
  </si>
  <si>
    <t>Longdrinkglas</t>
  </si>
  <si>
    <t>gramme</t>
  </si>
  <si>
    <t>Gramm</t>
  </si>
  <si>
    <t>klein glas</t>
  </si>
  <si>
    <t>small glass</t>
  </si>
  <si>
    <t>petit verre</t>
  </si>
  <si>
    <t>kleines Glas</t>
  </si>
  <si>
    <t>mała szklanka</t>
  </si>
  <si>
    <t>glas</t>
  </si>
  <si>
    <t>verre</t>
  </si>
  <si>
    <t>szklanka</t>
  </si>
  <si>
    <t>longdrinkglas</t>
  </si>
  <si>
    <t>tall glass</t>
  </si>
  <si>
    <t>grand verre</t>
  </si>
  <si>
    <t>wysoka szklanka</t>
  </si>
  <si>
    <t>Thee</t>
  </si>
  <si>
    <t>Tea</t>
  </si>
  <si>
    <t>Thé</t>
  </si>
  <si>
    <t>Tee</t>
  </si>
  <si>
    <t>Herbata</t>
  </si>
  <si>
    <t>source_key</t>
  </si>
  <si>
    <t>country</t>
  </si>
  <si>
    <t>official_url</t>
  </si>
  <si>
    <t>is_official</t>
  </si>
  <si>
    <t>US</t>
  </si>
  <si>
    <t>DATABASE</t>
  </si>
  <si>
    <t>https://fdc.nal.usda.gov</t>
  </si>
  <si>
    <t>NEVO</t>
  </si>
  <si>
    <t>NL</t>
  </si>
  <si>
    <t>https://nevo-online.rivm.nl</t>
  </si>
  <si>
    <t>CIQUAL</t>
  </si>
  <si>
    <t>FR</t>
  </si>
  <si>
    <t>https://ciqual.anses.fr</t>
  </si>
  <si>
    <t>BLS</t>
  </si>
  <si>
    <t>Bundeslebensmittelschlüssel</t>
  </si>
  <si>
    <t>DE</t>
  </si>
  <si>
    <t>https://blsdb.de</t>
  </si>
  <si>
    <t>MANUFACTURER</t>
  </si>
  <si>
    <t>Manufacturer Label</t>
  </si>
  <si>
    <t>-</t>
  </si>
  <si>
    <t>LABEL</t>
  </si>
  <si>
    <t>INTERNAL</t>
  </si>
  <si>
    <t>Internal FitLifeTool</t>
  </si>
  <si>
    <t>CALCULATED</t>
  </si>
  <si>
    <t>Calculated</t>
  </si>
  <si>
    <t>99</t>
  </si>
  <si>
    <t>stuk</t>
  </si>
  <si>
    <t>pièce</t>
  </si>
  <si>
    <t>Stück</t>
  </si>
  <si>
    <t>sztuka</t>
  </si>
  <si>
    <t>BOTTLE</t>
  </si>
  <si>
    <t>Fles</t>
  </si>
  <si>
    <t>fles</t>
  </si>
  <si>
    <t>bottle</t>
  </si>
  <si>
    <t>bouteille</t>
  </si>
  <si>
    <t>Flasche</t>
  </si>
  <si>
    <t>butelka</t>
  </si>
  <si>
    <t>CUP</t>
  </si>
  <si>
    <t>Kopje</t>
  </si>
  <si>
    <t>MUG</t>
  </si>
  <si>
    <t>Mok</t>
  </si>
  <si>
    <t>kopje</t>
  </si>
  <si>
    <t>cup</t>
  </si>
  <si>
    <t>tasse</t>
  </si>
  <si>
    <t>Tasse</t>
  </si>
  <si>
    <t>filiżanka</t>
  </si>
  <si>
    <t>Groot glas</t>
  </si>
  <si>
    <t>Grote kop</t>
  </si>
  <si>
    <t>grote kop</t>
  </si>
  <si>
    <t>large cup</t>
  </si>
  <si>
    <t>grande tasse</t>
  </si>
  <si>
    <t>große Tasse</t>
  </si>
  <si>
    <t>groot glas</t>
  </si>
  <si>
    <t>large glass</t>
  </si>
  <si>
    <t>großes Glas</t>
  </si>
  <si>
    <t>duża szklanka</t>
  </si>
  <si>
    <t>250</t>
  </si>
  <si>
    <t>3</t>
  </si>
  <si>
    <t>WITH_SUGAR</t>
  </si>
  <si>
    <t>Met suiker</t>
  </si>
  <si>
    <t>WITH_HONEY</t>
  </si>
  <si>
    <t>Met honing</t>
  </si>
  <si>
    <t>WITH_MILK</t>
  </si>
  <si>
    <t>Met melk</t>
  </si>
  <si>
    <t>WITH_SUGAR_MILK</t>
  </si>
  <si>
    <t>Met suiker en melk</t>
  </si>
  <si>
    <t>Nature</t>
  </si>
  <si>
    <t>Standardowe</t>
  </si>
  <si>
    <t>With sugar</t>
  </si>
  <si>
    <t>Avec sucre</t>
  </si>
  <si>
    <t>Mit Zucker</t>
  </si>
  <si>
    <t>Z cukrem</t>
  </si>
  <si>
    <t>With honey</t>
  </si>
  <si>
    <t>Avec miel</t>
  </si>
  <si>
    <t>Mit Honig</t>
  </si>
  <si>
    <t>Z miodem</t>
  </si>
  <si>
    <t>With milk</t>
  </si>
  <si>
    <t>Mit Milch</t>
  </si>
  <si>
    <t>Z mlekiem</t>
  </si>
  <si>
    <t>With sugar and milk</t>
  </si>
  <si>
    <t>Avec sucre et lait</t>
  </si>
  <si>
    <t>Mit Zucker und Milch</t>
  </si>
  <si>
    <t>Z cukrem i mlekiem</t>
  </si>
  <si>
    <t>COFFEE</t>
  </si>
  <si>
    <t>Koffie</t>
  </si>
  <si>
    <t>Coffee</t>
  </si>
  <si>
    <t>Café</t>
  </si>
  <si>
    <t>Kaffee</t>
  </si>
  <si>
    <t>Kawa</t>
  </si>
  <si>
    <t>USDA_FOUNDATION</t>
  </si>
  <si>
    <t>USDA Foundation Foods</t>
  </si>
  <si>
    <t>USDA SR Legacy</t>
  </si>
  <si>
    <t>USDA_SR_LEGACY</t>
  </si>
  <si>
    <t>config_key</t>
  </si>
  <si>
    <t>config_value</t>
  </si>
  <si>
    <t>ENERGY_TOLERANCE_PERCENT</t>
  </si>
  <si>
    <t>Max afwijking kcal vs macro berekening</t>
  </si>
  <si>
    <t>DENSITY_DRINK_MIN</t>
  </si>
  <si>
    <t>0.98</t>
  </si>
  <si>
    <t>Minimum density voor dranken</t>
  </si>
  <si>
    <t>DENSITY_DRINK_MAX</t>
  </si>
  <si>
    <t>1.06</t>
  </si>
  <si>
    <t>Maximum density voor dranken</t>
  </si>
  <si>
    <t>REQUIRE_KCAL_EQUAL_IF_DENSITY_1</t>
  </si>
  <si>
    <t>TRUE</t>
  </si>
  <si>
    <t>kcal_per_100g moet gelijk zijn aan kcal_per_100ml</t>
  </si>
  <si>
    <t>WATER_TOTAL_TOLERANCE</t>
  </si>
  <si>
    <t>Max overschrijding totale macro som</t>
  </si>
  <si>
    <t>kcal_calc</t>
  </si>
  <si>
    <t>kcal_diff_percent</t>
  </si>
  <si>
    <t>MIN_KCAL_FOR_PERCENT_CHECK</t>
  </si>
  <si>
    <t>energy_check</t>
  </si>
  <si>
    <t>kcal_macro_rounded</t>
  </si>
  <si>
    <t>macro_sum</t>
  </si>
  <si>
    <t>macro_check</t>
  </si>
  <si>
    <t>density_lookup</t>
  </si>
  <si>
    <t>density_check</t>
  </si>
  <si>
    <t>alcohol_per_100g</t>
  </si>
  <si>
    <t>MILK_WHOLE</t>
  </si>
  <si>
    <t>Melk, volle</t>
  </si>
  <si>
    <t>density_source_key</t>
  </si>
  <si>
    <t>density_reference_temp_c</t>
  </si>
  <si>
    <t>LITERATURE</t>
  </si>
  <si>
    <t>Scientific Literature</t>
  </si>
  <si>
    <t>REFERENCE</t>
  </si>
  <si>
    <t>Vollmilch</t>
  </si>
  <si>
    <t>MILK_SEMI</t>
  </si>
  <si>
    <t>Semi-skimmed milk</t>
  </si>
  <si>
    <t>sodium_per_100g</t>
  </si>
  <si>
    <t>BEER_LAGER_5</t>
  </si>
  <si>
    <t>Bier, 5% vol</t>
  </si>
  <si>
    <t>Kleine fles</t>
  </si>
  <si>
    <t>Grote fles</t>
  </si>
  <si>
    <t>Klein kopje</t>
  </si>
  <si>
    <t>CAN</t>
  </si>
  <si>
    <t>Groot blik</t>
  </si>
  <si>
    <t>Blik</t>
  </si>
  <si>
    <t>Klein blik</t>
  </si>
  <si>
    <t>kleine fles</t>
  </si>
  <si>
    <t>small bottle</t>
  </si>
  <si>
    <t>petite bouteille</t>
  </si>
  <si>
    <t>kleine Flasche</t>
  </si>
  <si>
    <t>mała butelka</t>
  </si>
  <si>
    <t>grote fles</t>
  </si>
  <si>
    <t>large bottle</t>
  </si>
  <si>
    <t>grande bouteille</t>
  </si>
  <si>
    <t>duża butelka</t>
  </si>
  <si>
    <t>große Flasche</t>
  </si>
  <si>
    <t>can</t>
  </si>
  <si>
    <t>canette</t>
  </si>
  <si>
    <t>Dose</t>
  </si>
  <si>
    <t>puszka</t>
  </si>
  <si>
    <t>small can</t>
  </si>
  <si>
    <t>petite canette</t>
  </si>
  <si>
    <t>kleine Dose</t>
  </si>
  <si>
    <t>mała puszka</t>
  </si>
  <si>
    <t>groot blik</t>
  </si>
  <si>
    <t>large can</t>
  </si>
  <si>
    <t>grande canette</t>
  </si>
  <si>
    <t>große Dose</t>
  </si>
  <si>
    <t>duża puszka</t>
  </si>
  <si>
    <t>klein kopje</t>
  </si>
  <si>
    <t>small cup</t>
  </si>
  <si>
    <t>petite tasse</t>
  </si>
  <si>
    <t>kleine Tasse</t>
  </si>
  <si>
    <t>mała filiżanka</t>
  </si>
  <si>
    <t>mok</t>
  </si>
  <si>
    <t>mug</t>
  </si>
  <si>
    <t>Becher</t>
  </si>
  <si>
    <t>kubek</t>
  </si>
  <si>
    <t>blikje</t>
  </si>
  <si>
    <t>klein blikje</t>
  </si>
  <si>
    <t>Avec du lait</t>
  </si>
  <si>
    <t>COLA</t>
  </si>
  <si>
    <t>Cola</t>
  </si>
  <si>
    <t>COLA_ZERO</t>
  </si>
  <si>
    <t>GENERIC_ZERO_SOFT_DRINK</t>
  </si>
  <si>
    <t>Cola, zero</t>
  </si>
  <si>
    <t>200</t>
  </si>
  <si>
    <t>330</t>
  </si>
  <si>
    <t>2</t>
  </si>
  <si>
    <t>500</t>
  </si>
  <si>
    <t>4</t>
  </si>
  <si>
    <t>COLA_LIGHT</t>
  </si>
  <si>
    <t>GENERIC_LIGHT_SOFT_DRINK</t>
  </si>
  <si>
    <t>Cola, light</t>
  </si>
  <si>
    <t>Diet cola</t>
  </si>
  <si>
    <t>ORANGE_JUICE_100</t>
  </si>
  <si>
    <t>Sinaasappelsap</t>
  </si>
  <si>
    <t>Orange juice</t>
  </si>
  <si>
    <t>Jus d'orange</t>
  </si>
  <si>
    <t>Orangensaft</t>
  </si>
  <si>
    <t>Sok pomarańczowy</t>
  </si>
  <si>
    <t>WINE_RED</t>
  </si>
  <si>
    <t>Wijn, rood</t>
  </si>
  <si>
    <t>Red wine</t>
  </si>
  <si>
    <t>Rotwein</t>
  </si>
  <si>
    <t>WINE_WHITE_DRY</t>
  </si>
  <si>
    <t>WINE_WHITE_SWEET</t>
  </si>
  <si>
    <t>Wijn, wit, zoet</t>
  </si>
  <si>
    <t>Wijn, wit, droog</t>
  </si>
  <si>
    <t>WINE_ROSE</t>
  </si>
  <si>
    <t>Wijn, rose</t>
  </si>
  <si>
    <t>Rosé wine</t>
  </si>
  <si>
    <t>Roséwein</t>
  </si>
  <si>
    <t>BROCCOLI</t>
  </si>
  <si>
    <t>Broccoli</t>
  </si>
  <si>
    <t>NULL</t>
  </si>
  <si>
    <t>920</t>
  </si>
  <si>
    <t>921</t>
  </si>
  <si>
    <t>BOILED</t>
  </si>
  <si>
    <t>Gekookt</t>
  </si>
  <si>
    <t>RAW</t>
  </si>
  <si>
    <t>Rauw</t>
  </si>
  <si>
    <t>390</t>
  </si>
  <si>
    <t>171890</t>
  </si>
  <si>
    <t>174852</t>
  </si>
  <si>
    <t>286</t>
  </si>
  <si>
    <t>279</t>
  </si>
  <si>
    <t>2003591</t>
  </si>
  <si>
    <t>173227</t>
  </si>
  <si>
    <t>173647</t>
  </si>
  <si>
    <t>422</t>
  </si>
  <si>
    <t>2610</t>
  </si>
  <si>
    <t>423</t>
  </si>
  <si>
    <t>2142</t>
  </si>
  <si>
    <t>Brocoli</t>
  </si>
  <si>
    <t>Brokkoli</t>
  </si>
  <si>
    <t>Brokuł</t>
  </si>
  <si>
    <t>Boiled</t>
  </si>
  <si>
    <t>Bouilli</t>
  </si>
  <si>
    <t>Gekocht</t>
  </si>
  <si>
    <t>Raw</t>
  </si>
  <si>
    <t>Cru</t>
  </si>
  <si>
    <t>Roh</t>
  </si>
  <si>
    <t>SERVING_SPOON</t>
  </si>
  <si>
    <t>Opscheplepel</t>
  </si>
  <si>
    <t>opscheplepel</t>
  </si>
  <si>
    <t>serving spoon</t>
  </si>
  <si>
    <t>Servierlöffel</t>
  </si>
  <si>
    <t>cuillère de service</t>
  </si>
  <si>
    <t>łyżka do nakładania</t>
  </si>
  <si>
    <t>GENERIC_COFFEE_WITH_MILK</t>
  </si>
  <si>
    <t>GENERIC_COFFEE_WITH_SUGAR</t>
  </si>
  <si>
    <t>GENERIC_COFFEE_WITH_SUGAR_MILK</t>
  </si>
  <si>
    <t>GENERIC_TEA_WITH_HONEY</t>
  </si>
  <si>
    <t>GENERIC_TEA_WITH_MILK</t>
  </si>
  <si>
    <t>GENERIC_TEA_WITH_SUGAR</t>
  </si>
  <si>
    <t>GENERIC_TEA_WITH_SUGAR_MILK</t>
  </si>
  <si>
    <t>CAULIFLOWER</t>
  </si>
  <si>
    <t>Bloemkool</t>
  </si>
  <si>
    <t>Cauliflower</t>
  </si>
  <si>
    <t>Chou-fleur</t>
  </si>
  <si>
    <t>Blumenkohl</t>
  </si>
  <si>
    <t>Kalafior</t>
  </si>
  <si>
    <t>14</t>
  </si>
  <si>
    <t>15</t>
  </si>
  <si>
    <t>Gotowany</t>
  </si>
  <si>
    <t>Surowy</t>
  </si>
  <si>
    <t>goal_key</t>
  </si>
  <si>
    <t>score_numeric</t>
  </si>
  <si>
    <t>score_grade</t>
  </si>
  <si>
    <t>score_version</t>
  </si>
  <si>
    <t>score_lose_weight</t>
  </si>
  <si>
    <t>score_maintain</t>
  </si>
  <si>
    <t>score_gain_weight</t>
  </si>
  <si>
    <t>protein_score</t>
  </si>
  <si>
    <t>fiber_score</t>
  </si>
  <si>
    <t>sugar_score</t>
  </si>
  <si>
    <t>alcohol_score</t>
  </si>
  <si>
    <t>energy_score_lose</t>
  </si>
  <si>
    <t>energy_score_gain</t>
  </si>
  <si>
    <t>hydration_score</t>
  </si>
  <si>
    <t>label_lose</t>
  </si>
  <si>
    <t>label_maintain</t>
  </si>
  <si>
    <t>label_gain</t>
  </si>
  <si>
    <t>energy_score_maintain</t>
  </si>
  <si>
    <t>center_kcal</t>
  </si>
  <si>
    <t>sigma</t>
  </si>
  <si>
    <t>Pindakaas</t>
  </si>
  <si>
    <t>455</t>
  </si>
  <si>
    <t>PEANUT_BUTTER_100</t>
  </si>
  <si>
    <t>Pindakaas (100%)</t>
  </si>
  <si>
    <t>Peanut butter (100%)</t>
  </si>
  <si>
    <t>Erdnussbutter 100 %</t>
  </si>
  <si>
    <t>Masło orzechowe 100 %</t>
  </si>
  <si>
    <t>TABLESPOON</t>
  </si>
  <si>
    <t>Eetlepel</t>
  </si>
  <si>
    <t>Voor 1 snee</t>
  </si>
  <si>
    <t>FOR_1_SLICE</t>
  </si>
  <si>
    <t>voor 1 snee</t>
  </si>
  <si>
    <t>for 1 slice</t>
  </si>
  <si>
    <t>pour 1 tranche</t>
  </si>
  <si>
    <t>für 1 Scheibe</t>
  </si>
  <si>
    <t>na 1 kromkę</t>
  </si>
  <si>
    <t>eetlepel</t>
  </si>
  <si>
    <t>cuillère à soupe</t>
  </si>
  <si>
    <t>Esslöffel</t>
  </si>
  <si>
    <t>łyżka stołowa</t>
  </si>
  <si>
    <t>AVOCADO</t>
  </si>
  <si>
    <t>Avocado</t>
  </si>
  <si>
    <t>Avocat</t>
  </si>
  <si>
    <t>Awokado</t>
  </si>
  <si>
    <t>689</t>
  </si>
  <si>
    <t>HALF</t>
  </si>
  <si>
    <t>Halve eenheid</t>
  </si>
  <si>
    <t>halve</t>
  </si>
  <si>
    <t>half</t>
  </si>
  <si>
    <t>moitié</t>
  </si>
  <si>
    <t>Hälfte</t>
  </si>
  <si>
    <t>połowa</t>
  </si>
  <si>
    <t>group_display_key</t>
  </si>
  <si>
    <t>group_model_key</t>
  </si>
  <si>
    <t>group_model_key_lookup</t>
  </si>
  <si>
    <t>SANDWICH_CHEESE_CHIVES_WASA</t>
  </si>
  <si>
    <t>WASA_SANDWICH_CHEESE_CHIVES_2026</t>
  </si>
  <si>
    <t>Sandwich cheese &amp; chives (Wasa)</t>
  </si>
  <si>
    <t>Sandwich fromage &amp; ciboulette (Wasa)</t>
  </si>
  <si>
    <t>Sandwich ser &amp; szczypiorek (Wasa)</t>
  </si>
  <si>
    <t>PACKAGE</t>
  </si>
  <si>
    <t>Reep</t>
  </si>
  <si>
    <t>BAR</t>
  </si>
  <si>
    <t>reep</t>
  </si>
  <si>
    <t>bar</t>
  </si>
  <si>
    <t>barre</t>
  </si>
  <si>
    <t>Riegel</t>
  </si>
  <si>
    <t>baton</t>
  </si>
  <si>
    <t>verpakking</t>
  </si>
  <si>
    <t>package</t>
  </si>
  <si>
    <t>emballage</t>
  </si>
  <si>
    <t>Verpackung</t>
  </si>
  <si>
    <t>opakowanie</t>
  </si>
  <si>
    <t>LOSE</t>
  </si>
  <si>
    <t>MAINTAIN</t>
  </si>
  <si>
    <t>GAIN</t>
  </si>
  <si>
    <t>Verpakking</t>
  </si>
  <si>
    <t>18.5</t>
  </si>
  <si>
    <t>CRISPBREAD_WHOLEGRAIN_AH</t>
  </si>
  <si>
    <t>Knäckebröd, volkoren, AH</t>
  </si>
  <si>
    <t>Sandwich, kaas, bieslook, Wasa</t>
  </si>
  <si>
    <t>Knäckebröd, volkoren (Albert Heijn)</t>
  </si>
  <si>
    <t>Wholegrain crispbread (Albert Heijn)</t>
  </si>
  <si>
    <t>Knäckebrot, Vollkorn (Albert Heijn)</t>
  </si>
  <si>
    <t>Pieczywo chrupkie pełnoziarniste (Albert Heijn)</t>
  </si>
  <si>
    <t>Melk, halfvolle</t>
  </si>
  <si>
    <t>Lait, demi-écrémé</t>
  </si>
  <si>
    <t>Milch, fettarm</t>
  </si>
  <si>
    <t>Mleko, półtłuste</t>
  </si>
  <si>
    <t>Lait, entier</t>
  </si>
  <si>
    <t>Mleko, pełne</t>
  </si>
  <si>
    <t>Cola, zéro</t>
  </si>
  <si>
    <t>Bier, 5%</t>
  </si>
  <si>
    <t>Beer, 5%</t>
  </si>
  <si>
    <t>Bière, 5 % vol</t>
  </si>
  <si>
    <t>Piwo, 5%</t>
  </si>
  <si>
    <t>Bier, 5 % vol</t>
  </si>
  <si>
    <t>Vin, rouge</t>
  </si>
  <si>
    <t>Wino, czerwone</t>
  </si>
  <si>
    <t>Wijn, rosé</t>
  </si>
  <si>
    <t>Vin, rosé</t>
  </si>
  <si>
    <t>Wino, różowe</t>
  </si>
  <si>
    <t>Wino, białe, wytrawne</t>
  </si>
  <si>
    <t>Wino, białe, słodkie</t>
  </si>
  <si>
    <t>Vin, blanc, doux</t>
  </si>
  <si>
    <t>Vin, blanc, sec</t>
  </si>
  <si>
    <t>Dry white wine</t>
  </si>
  <si>
    <t>Sweet white wine</t>
  </si>
  <si>
    <t>Sandwich Käse &amp; Schnittlauch (Wasa)</t>
  </si>
  <si>
    <t>Beurre de cacahuète (100 %)</t>
  </si>
  <si>
    <t>Pain croustillant complet suédois (Albert Heijn)</t>
  </si>
  <si>
    <t>AH_CRISPBREAD_WHOLEGRAIN_2026</t>
  </si>
  <si>
    <t>CAPPUCCINO</t>
  </si>
  <si>
    <t>Cappuccino</t>
  </si>
  <si>
    <t>FRESH_PREPARED</t>
  </si>
  <si>
    <t>Vers bereid</t>
  </si>
  <si>
    <t>Fresh prepared</t>
  </si>
  <si>
    <t>Fraîchement préparé</t>
  </si>
  <si>
    <t>Frisch zubereitet</t>
  </si>
  <si>
    <t>Świeżo przygotowane</t>
  </si>
  <si>
    <t>INSTANT_PREPARED</t>
  </si>
  <si>
    <t>Oplos bereid</t>
  </si>
  <si>
    <t>Instant prepared</t>
  </si>
  <si>
    <t>Instantané préparé</t>
  </si>
  <si>
    <t>Instant zubereitet</t>
  </si>
  <si>
    <t>Rozpuszczalne przygotowane</t>
  </si>
  <si>
    <t>2476</t>
  </si>
  <si>
    <t>2477</t>
  </si>
  <si>
    <t>KAISER_ROLL</t>
  </si>
  <si>
    <t>Kaiserbroodje</t>
  </si>
  <si>
    <t>Kaiser roll</t>
  </si>
  <si>
    <t>Petit pain Kaiser</t>
  </si>
  <si>
    <t>Kaisersemmel</t>
  </si>
  <si>
    <t>Bułka kajzerka</t>
  </si>
  <si>
    <t>175031</t>
  </si>
  <si>
    <t>BANANA</t>
  </si>
  <si>
    <t>Banaan</t>
  </si>
  <si>
    <t>Banana</t>
  </si>
  <si>
    <t>Banane</t>
  </si>
  <si>
    <t>Banan</t>
  </si>
  <si>
    <t>151</t>
  </si>
  <si>
    <t>SMALL</t>
  </si>
  <si>
    <t>MEDIUM</t>
  </si>
  <si>
    <t>LARGE</t>
  </si>
  <si>
    <t>Klein</t>
  </si>
  <si>
    <t>Middel</t>
  </si>
  <si>
    <t>Groot</t>
  </si>
  <si>
    <t>klein</t>
  </si>
  <si>
    <t>middel</t>
  </si>
  <si>
    <t>groot</t>
  </si>
  <si>
    <t>small</t>
  </si>
  <si>
    <t>petit</t>
  </si>
  <si>
    <t>mały</t>
  </si>
  <si>
    <t>medium</t>
  </si>
  <si>
    <t>moyen</t>
  </si>
  <si>
    <t>mittel</t>
  </si>
  <si>
    <t>średni</t>
  </si>
  <si>
    <t>large</t>
  </si>
  <si>
    <t>grand</t>
  </si>
  <si>
    <t>groß</t>
  </si>
  <si>
    <t>duży</t>
  </si>
  <si>
    <t>PEAR</t>
  </si>
  <si>
    <t>Peer</t>
  </si>
  <si>
    <t>Pear</t>
  </si>
  <si>
    <t>Poire</t>
  </si>
  <si>
    <t>Birne</t>
  </si>
  <si>
    <t>Gruszka</t>
  </si>
  <si>
    <t>WITH_SKIN</t>
  </si>
  <si>
    <t>Met schil</t>
  </si>
  <si>
    <t>WITHOUT_SKIN</t>
  </si>
  <si>
    <t>Zonder schil</t>
  </si>
  <si>
    <t>With skin</t>
  </si>
  <si>
    <t>Avec peau</t>
  </si>
  <si>
    <t>Mit Schale</t>
  </si>
  <si>
    <t>Ze skórką</t>
  </si>
  <si>
    <t>Without skin</t>
  </si>
  <si>
    <t>Sans peau</t>
  </si>
  <si>
    <t>Ohne Schale</t>
  </si>
  <si>
    <t>Bez skórki</t>
  </si>
  <si>
    <t>2748</t>
  </si>
  <si>
    <t>168</t>
  </si>
  <si>
    <t>data_quality</t>
  </si>
  <si>
    <t>REAL</t>
  </si>
  <si>
    <t>ESTIMATED</t>
  </si>
  <si>
    <t>GENERATED</t>
  </si>
  <si>
    <t>betekenis</t>
  </si>
  <si>
    <t>berekend uit andere foods</t>
  </si>
  <si>
    <t>fallback waarde</t>
  </si>
  <si>
    <t>geschat</t>
  </si>
  <si>
    <t>automatisch ingevuld</t>
  </si>
  <si>
    <t>van etiket</t>
  </si>
  <si>
    <t>rechtstreeks uit NEVO / USDA</t>
  </si>
  <si>
    <t>carb_definition</t>
  </si>
  <si>
    <t>EU</t>
  </si>
  <si>
    <t>UNKNOWN</t>
  </si>
  <si>
    <t>carbs zonder vezels</t>
  </si>
  <si>
    <t>carbs inclusief vezels</t>
  </si>
  <si>
    <t>niet zeker</t>
  </si>
  <si>
    <t>sugar_fixed</t>
  </si>
  <si>
    <t>salt_fixed</t>
  </si>
  <si>
    <t>sodium_fixed</t>
  </si>
  <si>
    <t>is_basic</t>
  </si>
  <si>
    <t>hydration_factor</t>
  </si>
  <si>
    <t>APPLE</t>
  </si>
  <si>
    <t>Appel</t>
  </si>
  <si>
    <t>Apple</t>
  </si>
  <si>
    <t>Pomme</t>
  </si>
  <si>
    <t>Apfel</t>
  </si>
  <si>
    <t>Jabłko</t>
  </si>
  <si>
    <t>875</t>
  </si>
  <si>
    <t>147</t>
  </si>
  <si>
    <t>ORANGE</t>
  </si>
  <si>
    <t>Sinaasappel</t>
  </si>
  <si>
    <t>Orange</t>
  </si>
  <si>
    <t>Pomarańcza</t>
  </si>
  <si>
    <t>171</t>
  </si>
  <si>
    <t>MANDARIN</t>
  </si>
  <si>
    <t>Mandarijn</t>
  </si>
  <si>
    <t>Mandarin</t>
  </si>
  <si>
    <t>Mandarine</t>
  </si>
  <si>
    <t>Mandarynka</t>
  </si>
  <si>
    <t>165</t>
  </si>
  <si>
    <t>GRAPES</t>
  </si>
  <si>
    <t>Druiven</t>
  </si>
  <si>
    <t>GRAPES_BLACK</t>
  </si>
  <si>
    <t>GRAPES_WHITE</t>
  </si>
  <si>
    <t>Druiven, witte</t>
  </si>
  <si>
    <t>Druiven, blauwe</t>
  </si>
  <si>
    <t>Grapes, black</t>
  </si>
  <si>
    <t>Raisins, noirs</t>
  </si>
  <si>
    <t>Trauben, blau</t>
  </si>
  <si>
    <t>Winogrona, czarne</t>
  </si>
  <si>
    <t>Grapes, white</t>
  </si>
  <si>
    <t>Raisins, blancs</t>
  </si>
  <si>
    <t>Trauben, weiß</t>
  </si>
  <si>
    <t>Winogrona, białe</t>
  </si>
  <si>
    <t>Grapes</t>
  </si>
  <si>
    <t>Raisins</t>
  </si>
  <si>
    <t>Trauben</t>
  </si>
  <si>
    <t>Winogrona</t>
  </si>
  <si>
    <t>160</t>
  </si>
  <si>
    <t>2749</t>
  </si>
  <si>
    <t>2750</t>
  </si>
  <si>
    <t>GLASS_SMALL</t>
  </si>
  <si>
    <t>GLASS_LARGE</t>
  </si>
  <si>
    <t>BOTTLE_SMALL</t>
  </si>
  <si>
    <t>BOTTLE_LARGE</t>
  </si>
  <si>
    <t>CAN_SMALL</t>
  </si>
  <si>
    <t>CAN_LARGE</t>
  </si>
  <si>
    <t>CUP_SMALL</t>
  </si>
  <si>
    <t>CUP_LARGE</t>
  </si>
  <si>
    <t>BOWL</t>
  </si>
  <si>
    <t>BOWL_LARGE</t>
  </si>
  <si>
    <t>BOWL_SMALL</t>
  </si>
  <si>
    <t>Klein bakje</t>
  </si>
  <si>
    <t>Bakje</t>
  </si>
  <si>
    <t>Groot bakje</t>
  </si>
  <si>
    <t>klein bakje</t>
  </si>
  <si>
    <t>bakje</t>
  </si>
  <si>
    <t>groot bakje</t>
  </si>
  <si>
    <t>small bowl</t>
  </si>
  <si>
    <t>kleine Schüssel</t>
  </si>
  <si>
    <t>petit bol</t>
  </si>
  <si>
    <t>mała miska</t>
  </si>
  <si>
    <t>bowl</t>
  </si>
  <si>
    <t>Schüssel</t>
  </si>
  <si>
    <t>bol</t>
  </si>
  <si>
    <t>miska</t>
  </si>
  <si>
    <t>large bowl</t>
  </si>
  <si>
    <t>große Schüssel</t>
  </si>
  <si>
    <t>duża miska</t>
  </si>
  <si>
    <t>grand bol</t>
  </si>
  <si>
    <t>tablespoon</t>
  </si>
  <si>
    <t>duża filiżanka</t>
  </si>
  <si>
    <t>verre long drink</t>
  </si>
  <si>
    <t>STRAWBERRY</t>
  </si>
  <si>
    <t>Aardbeien</t>
  </si>
  <si>
    <t>Strawberries</t>
  </si>
  <si>
    <t>Fraises</t>
  </si>
  <si>
    <t>Erdbeeren</t>
  </si>
  <si>
    <t>Truskawki</t>
  </si>
  <si>
    <t>148</t>
  </si>
  <si>
    <t>BLUEBERRY</t>
  </si>
  <si>
    <t>Blauwe bessen</t>
  </si>
  <si>
    <t>Blueberries</t>
  </si>
  <si>
    <t>Myrtilles</t>
  </si>
  <si>
    <t>Blaubeeren</t>
  </si>
  <si>
    <t>Borówki</t>
  </si>
  <si>
    <t>152</t>
  </si>
  <si>
    <t>RASPBERRY</t>
  </si>
  <si>
    <t>Frambozen</t>
  </si>
  <si>
    <t>Raspberries</t>
  </si>
  <si>
    <t>Framboises</t>
  </si>
  <si>
    <t>Himbeeren</t>
  </si>
  <si>
    <t>Maliny</t>
  </si>
  <si>
    <t>161</t>
  </si>
  <si>
    <t>BLACKBERRY</t>
  </si>
  <si>
    <t>Bramen</t>
  </si>
  <si>
    <t>Blackberries</t>
  </si>
  <si>
    <t>Mûres</t>
  </si>
  <si>
    <t>Brombeeren</t>
  </si>
  <si>
    <t>Jeżyny</t>
  </si>
  <si>
    <t>157</t>
  </si>
  <si>
    <t>1.6</t>
  </si>
  <si>
    <t>1105</t>
  </si>
  <si>
    <t>DISC</t>
  </si>
  <si>
    <t>Schijf</t>
  </si>
  <si>
    <t>schijf</t>
  </si>
  <si>
    <t>disc</t>
  </si>
  <si>
    <t>tranche</t>
  </si>
  <si>
    <t>Scheibe</t>
  </si>
  <si>
    <t>plaster</t>
  </si>
  <si>
    <t>DISC_LARGE</t>
  </si>
  <si>
    <t>DISC_SMALL</t>
  </si>
  <si>
    <t>Kleine schijf</t>
  </si>
  <si>
    <t>Grote schijf</t>
  </si>
  <si>
    <t>kleine schijf</t>
  </si>
  <si>
    <t>small disc</t>
  </si>
  <si>
    <t>petite tranche</t>
  </si>
  <si>
    <t>kleine Scheibe</t>
  </si>
  <si>
    <t>mały plaster</t>
  </si>
  <si>
    <t>grote schijf</t>
  </si>
  <si>
    <t>large disc</t>
  </si>
  <si>
    <t>grande tranche</t>
  </si>
  <si>
    <t>große Scheibe</t>
  </si>
  <si>
    <t>duży plaster</t>
  </si>
  <si>
    <t>MELON_CANTALOUPE</t>
  </si>
  <si>
    <t>MELON</t>
  </si>
  <si>
    <t>Meloen</t>
  </si>
  <si>
    <t>Meloen, cantaloupe</t>
  </si>
  <si>
    <t>MELON_WATER</t>
  </si>
  <si>
    <t>Meloen, watermeloen</t>
  </si>
  <si>
    <t>Melon, watermelon</t>
  </si>
  <si>
    <t>Melon, pastèque</t>
  </si>
  <si>
    <t>Melone, Wassermelone</t>
  </si>
  <si>
    <t>Melon, arbuz</t>
  </si>
  <si>
    <t>Melon</t>
  </si>
  <si>
    <t>Melone</t>
  </si>
  <si>
    <t>Melon, cantaloupe</t>
  </si>
  <si>
    <t>Melon, cantaloup</t>
  </si>
  <si>
    <t>Melone, Cantaloupe</t>
  </si>
  <si>
    <t>Melon, kantalupa</t>
  </si>
  <si>
    <t>5369</t>
  </si>
  <si>
    <t>3341</t>
  </si>
  <si>
    <t>PINEAPPLE</t>
  </si>
  <si>
    <t>Ananas</t>
  </si>
  <si>
    <t>Pineapple</t>
  </si>
  <si>
    <t>150</t>
  </si>
  <si>
    <t>CUBE</t>
  </si>
  <si>
    <t>CUBE_LARGE</t>
  </si>
  <si>
    <t>CUBE_SMALL</t>
  </si>
  <si>
    <t>Klein blokje</t>
  </si>
  <si>
    <t>Blokje</t>
  </si>
  <si>
    <t>Groot blokje</t>
  </si>
  <si>
    <t>blokje</t>
  </si>
  <si>
    <t>cube</t>
  </si>
  <si>
    <t>Würfel</t>
  </si>
  <si>
    <t>kostka</t>
  </si>
  <si>
    <t>klein blokje</t>
  </si>
  <si>
    <t>small cube</t>
  </si>
  <si>
    <t>petit cube</t>
  </si>
  <si>
    <t>kleiner Würfel</t>
  </si>
  <si>
    <t>mała kostka</t>
  </si>
  <si>
    <t>groot blokje</t>
  </si>
  <si>
    <t>large cube</t>
  </si>
  <si>
    <t>grand cube</t>
  </si>
  <si>
    <t>großer Würfel</t>
  </si>
  <si>
    <t>duża kostka</t>
  </si>
  <si>
    <t>MANGO</t>
  </si>
  <si>
    <t>Mango</t>
  </si>
  <si>
    <t>Mangue</t>
  </si>
  <si>
    <t>692</t>
  </si>
  <si>
    <t>WHOLE</t>
  </si>
  <si>
    <t>Hele eenheid</t>
  </si>
  <si>
    <t>hele</t>
  </si>
  <si>
    <t>whole</t>
  </si>
  <si>
    <t>entier</t>
  </si>
  <si>
    <t>Ganz</t>
  </si>
  <si>
    <t>całość</t>
  </si>
  <si>
    <t>KIWI</t>
  </si>
  <si>
    <t>Kiwi</t>
  </si>
  <si>
    <t>KIWI_GREEN</t>
  </si>
  <si>
    <t>KIWI_YELLOW</t>
  </si>
  <si>
    <t>Kiwi, groen</t>
  </si>
  <si>
    <t>Kiwi, geel</t>
  </si>
  <si>
    <t>Kiwi, groene</t>
  </si>
  <si>
    <t>Kiwi, green</t>
  </si>
  <si>
    <t>Kiwi, vert</t>
  </si>
  <si>
    <t>Kiwi, grün</t>
  </si>
  <si>
    <t>Kiwi, zielone</t>
  </si>
  <si>
    <t>Kiwi, gele</t>
  </si>
  <si>
    <t>Kiwi, yellow</t>
  </si>
  <si>
    <t>Kiwi, jaune</t>
  </si>
  <si>
    <t>Kiwi, gelb</t>
  </si>
  <si>
    <t>Kiwi, żółte</t>
  </si>
  <si>
    <t>5120</t>
  </si>
  <si>
    <t>1056</t>
  </si>
  <si>
    <t>3219</t>
  </si>
  <si>
    <t>SLICE</t>
  </si>
  <si>
    <t>SLICE_LARGE</t>
  </si>
  <si>
    <t>SLICE_SMALL</t>
  </si>
  <si>
    <t>Plakje</t>
  </si>
  <si>
    <t>Groot plakje</t>
  </si>
  <si>
    <t>Klein plakje</t>
  </si>
  <si>
    <t>plakje</t>
  </si>
  <si>
    <t>slice</t>
  </si>
  <si>
    <t>plasterek</t>
  </si>
  <si>
    <t>Slice</t>
  </si>
  <si>
    <t>klein plakje</t>
  </si>
  <si>
    <t>small slice</t>
  </si>
  <si>
    <t>kleine Slice</t>
  </si>
  <si>
    <t>mały plasterek</t>
  </si>
  <si>
    <t>groot plakje</t>
  </si>
  <si>
    <t>large slice</t>
  </si>
  <si>
    <t>große Slice</t>
  </si>
  <si>
    <t>duży plasterek</t>
  </si>
  <si>
    <t>PEACH</t>
  </si>
  <si>
    <t>Perzik</t>
  </si>
  <si>
    <t>Peach</t>
  </si>
  <si>
    <t>Pêche</t>
  </si>
  <si>
    <t>Pfirsich</t>
  </si>
  <si>
    <t>Brzoskwinia</t>
  </si>
  <si>
    <t>5079</t>
  </si>
  <si>
    <t>169</t>
  </si>
  <si>
    <t>NECTARINE</t>
  </si>
  <si>
    <t>Nectarine</t>
  </si>
  <si>
    <t>Nektarine</t>
  </si>
  <si>
    <t>Nektarynka</t>
  </si>
  <si>
    <t>1812</t>
  </si>
  <si>
    <t>PLUM</t>
  </si>
  <si>
    <t>Pruim</t>
  </si>
  <si>
    <t>Plum</t>
  </si>
  <si>
    <t>Prune</t>
  </si>
  <si>
    <t>Pflaume</t>
  </si>
  <si>
    <t>Śliwka</t>
  </si>
  <si>
    <t>170</t>
  </si>
  <si>
    <t>CHERRY_SOUR</t>
  </si>
  <si>
    <t>CHERRY_SWEET</t>
  </si>
  <si>
    <t>Kersen, zure</t>
  </si>
  <si>
    <t>Kersen, zoete</t>
  </si>
  <si>
    <t>Cherries, sour</t>
  </si>
  <si>
    <t>Cerises, acides</t>
  </si>
  <si>
    <t>Kirschen, sauer</t>
  </si>
  <si>
    <t>Wiśnie</t>
  </si>
  <si>
    <t>Cherries, sweet</t>
  </si>
  <si>
    <t>Cerises, douces</t>
  </si>
  <si>
    <t>Kirschen, süß</t>
  </si>
  <si>
    <t>Czereśnie</t>
  </si>
  <si>
    <t>167</t>
  </si>
  <si>
    <t>163</t>
  </si>
  <si>
    <t>DISH</t>
  </si>
  <si>
    <t>DISH_LARGE</t>
  </si>
  <si>
    <t>DISH_SMALL</t>
  </si>
  <si>
    <t>Schaaltje</t>
  </si>
  <si>
    <t>Groot schaaltje</t>
  </si>
  <si>
    <t>Klein schaaltje</t>
  </si>
  <si>
    <t>Schale</t>
  </si>
  <si>
    <t>miseczka</t>
  </si>
  <si>
    <t>coupelle</t>
  </si>
  <si>
    <t>dish</t>
  </si>
  <si>
    <t>schaaltje</t>
  </si>
  <si>
    <t>klein schaaltje</t>
  </si>
  <si>
    <t>small dish</t>
  </si>
  <si>
    <t>petite coupelle</t>
  </si>
  <si>
    <t>kleine Schale</t>
  </si>
  <si>
    <t>mała miseczka</t>
  </si>
  <si>
    <t>groot schaaltje</t>
  </si>
  <si>
    <t>large dish</t>
  </si>
  <si>
    <t>grande coupelle</t>
  </si>
  <si>
    <t>große Schale</t>
  </si>
  <si>
    <t>duża miseczka</t>
  </si>
  <si>
    <t>APRICOT</t>
  </si>
  <si>
    <t>Abrikoos</t>
  </si>
  <si>
    <t>Apricot</t>
  </si>
  <si>
    <t>Abricot</t>
  </si>
  <si>
    <t>Aprikose</t>
  </si>
  <si>
    <t>Morela</t>
  </si>
  <si>
    <t>149</t>
  </si>
  <si>
    <t>Group</t>
  </si>
  <si>
    <t>Modifier</t>
  </si>
  <si>
    <t>lose_modifier_group</t>
  </si>
  <si>
    <t>ALCOHOL</t>
  </si>
  <si>
    <t>FRUIT_JUICE</t>
  </si>
  <si>
    <t>SODA_SUGARY</t>
  </si>
  <si>
    <t>SODA_ZERO</t>
  </si>
  <si>
    <t>FRUIT_WHOLE</t>
  </si>
  <si>
    <t>NEUTRAL</t>
  </si>
  <si>
    <t>lose_modifier</t>
  </si>
  <si>
    <t>ENERGY_DENSE</t>
  </si>
  <si>
    <t>maintain_modifier_group</t>
  </si>
  <si>
    <t>gain_modifier_group</t>
  </si>
  <si>
    <t>maintain_modifier</t>
  </si>
  <si>
    <t>gain_modifier</t>
  </si>
  <si>
    <t>LOW_CAL_DRINK</t>
  </si>
  <si>
    <t>LEMON</t>
  </si>
  <si>
    <t>Citroen</t>
  </si>
  <si>
    <t>Lemon</t>
  </si>
  <si>
    <t>Citron</t>
  </si>
  <si>
    <t>Zitrone</t>
  </si>
  <si>
    <t>Cytryna</t>
  </si>
  <si>
    <t>158</t>
  </si>
  <si>
    <t>LIME</t>
  </si>
  <si>
    <t>Limoen</t>
  </si>
  <si>
    <t>Lime</t>
  </si>
  <si>
    <t>Citron vert</t>
  </si>
  <si>
    <t>Limette</t>
  </si>
  <si>
    <t>Limonka</t>
  </si>
  <si>
    <t>691</t>
  </si>
  <si>
    <t>GRAPEFRUIT</t>
  </si>
  <si>
    <t>Grapefruit</t>
  </si>
  <si>
    <t>Pamplemousse</t>
  </si>
  <si>
    <t>Grejpfrut</t>
  </si>
  <si>
    <t>162</t>
  </si>
  <si>
    <t>PAPAYA</t>
  </si>
  <si>
    <t>Papaya</t>
  </si>
  <si>
    <t>Papaye</t>
  </si>
  <si>
    <t>Papaja</t>
  </si>
  <si>
    <t>693</t>
  </si>
  <si>
    <t>PASSIONFRUIT</t>
  </si>
  <si>
    <t>Passievrucht</t>
  </si>
  <si>
    <t>Passion fruit</t>
  </si>
  <si>
    <t>Fruit de la passion</t>
  </si>
  <si>
    <t>Passionsfrucht</t>
  </si>
  <si>
    <t>Marakuja</t>
  </si>
  <si>
    <t>1074</t>
  </si>
  <si>
    <t>POMEGRANATE</t>
  </si>
  <si>
    <t>Granaatappel</t>
  </si>
  <si>
    <t>Pomegranate</t>
  </si>
  <si>
    <t>Grenade</t>
  </si>
  <si>
    <t>Granatapfel</t>
  </si>
  <si>
    <t>Granat</t>
  </si>
  <si>
    <t>1007</t>
  </si>
  <si>
    <t>FIG</t>
  </si>
  <si>
    <t>Vijg</t>
  </si>
  <si>
    <t>Fig</t>
  </si>
  <si>
    <t>Figue</t>
  </si>
  <si>
    <t>Feige</t>
  </si>
  <si>
    <t>Figa</t>
  </si>
  <si>
    <t>FRESH</t>
  </si>
  <si>
    <t>Vers</t>
  </si>
  <si>
    <t>DRIED</t>
  </si>
  <si>
    <t>Gedroogd</t>
  </si>
  <si>
    <t>Dried</t>
  </si>
  <si>
    <t>Fresh</t>
  </si>
  <si>
    <t>Frais</t>
  </si>
  <si>
    <t>Frisch</t>
  </si>
  <si>
    <t>Świeży</t>
  </si>
  <si>
    <t>Séché</t>
  </si>
  <si>
    <t>Getrocknet</t>
  </si>
  <si>
    <t>Suszony</t>
  </si>
  <si>
    <t>193</t>
  </si>
  <si>
    <t>1010</t>
  </si>
  <si>
    <t>DATE</t>
  </si>
  <si>
    <t>Dadels</t>
  </si>
  <si>
    <t>Dates</t>
  </si>
  <si>
    <t>Dattes</t>
  </si>
  <si>
    <t>Datteln</t>
  </si>
  <si>
    <t>Daktyle</t>
  </si>
  <si>
    <t>181</t>
  </si>
  <si>
    <t>1887</t>
  </si>
  <si>
    <t>COCONUT</t>
  </si>
  <si>
    <t>Kokosnoot</t>
  </si>
  <si>
    <t>Coconut</t>
  </si>
  <si>
    <t>Noix de coco</t>
  </si>
  <si>
    <t>Kokosnuss</t>
  </si>
  <si>
    <t>Kokos</t>
  </si>
  <si>
    <t>5497</t>
  </si>
  <si>
    <t>202</t>
  </si>
  <si>
    <t>PREPARATION_MODIFIERS</t>
  </si>
  <si>
    <t>MODIFIERS_GAIN</t>
  </si>
  <si>
    <t>MODIFIERS_MAINTAIN</t>
  </si>
  <si>
    <t>MODIFIERS_LOSE</t>
  </si>
  <si>
    <t>lose_preparation_modifier</t>
  </si>
  <si>
    <t>maintain_preparation_modifier</t>
  </si>
  <si>
    <t>gain_preparation_modifier</t>
  </si>
  <si>
    <t>DRIED_FRUIT</t>
  </si>
  <si>
    <t>group_model_key_override</t>
  </si>
  <si>
    <t>BELL_PEPPER</t>
  </si>
  <si>
    <t>Paprika</t>
  </si>
  <si>
    <t>BELL_PEPPER_GREEN</t>
  </si>
  <si>
    <t>BELL_PEPPER_RED</t>
  </si>
  <si>
    <t>BELL_PEPPER_YELLOW</t>
  </si>
  <si>
    <t>BELL_PEPPER_ORANGE</t>
  </si>
  <si>
    <t>Paprika, groen</t>
  </si>
  <si>
    <t>Paprika, oranje</t>
  </si>
  <si>
    <t>Paprika, rood</t>
  </si>
  <si>
    <t>Paprika, geel</t>
  </si>
  <si>
    <t>Bell pepper</t>
  </si>
  <si>
    <t>Poivron</t>
  </si>
  <si>
    <t>Papryka</t>
  </si>
  <si>
    <t>Bell pepper, green</t>
  </si>
  <si>
    <t>Poivron, vert</t>
  </si>
  <si>
    <t>Paprika, grün</t>
  </si>
  <si>
    <t>Papryka, zielona</t>
  </si>
  <si>
    <t>Bell pepper, orange</t>
  </si>
  <si>
    <t>Poivron, orange</t>
  </si>
  <si>
    <t>Paprika, orange</t>
  </si>
  <si>
    <t>Papryka, pomarańczowa</t>
  </si>
  <si>
    <t>Bell pepper, red</t>
  </si>
  <si>
    <t>Poivron, rouge</t>
  </si>
  <si>
    <t>Paprika, rot</t>
  </si>
  <si>
    <t>Papryka, czerwona</t>
  </si>
  <si>
    <t>Bell pepper, yellow</t>
  </si>
  <si>
    <t>Poivron, jaune</t>
  </si>
  <si>
    <t>Paprika, gelb</t>
  </si>
  <si>
    <t>Papryka, żółta</t>
  </si>
  <si>
    <t>2743</t>
  </si>
  <si>
    <t>2742</t>
  </si>
  <si>
    <t>32</t>
  </si>
  <si>
    <t>31</t>
  </si>
  <si>
    <t>3048</t>
  </si>
  <si>
    <t>885</t>
  </si>
  <si>
    <t>884</t>
  </si>
  <si>
    <t>2741</t>
  </si>
  <si>
    <t>2740</t>
  </si>
  <si>
    <t>CUCUMBER</t>
  </si>
  <si>
    <t>Komkommer</t>
  </si>
  <si>
    <t>Cucumber</t>
  </si>
  <si>
    <t>Concombre</t>
  </si>
  <si>
    <t>Gurke</t>
  </si>
  <si>
    <t>Ogórek</t>
  </si>
  <si>
    <t>RAW_WITH_SKIN</t>
  </si>
  <si>
    <t>Rauw met schil</t>
  </si>
  <si>
    <t>RAW_WITHOUT_SKIN</t>
  </si>
  <si>
    <t>Rauw zonder schil</t>
  </si>
  <si>
    <t>Raw with skin</t>
  </si>
  <si>
    <t>Cru avec peau</t>
  </si>
  <si>
    <t>Roh mit Schale</t>
  </si>
  <si>
    <t>Surowy ze skórką</t>
  </si>
  <si>
    <t>Raw without skin</t>
  </si>
  <si>
    <t>Cru sans peau</t>
  </si>
  <si>
    <t>Roh ohne Schale</t>
  </si>
  <si>
    <t>Surowy bez skórki</t>
  </si>
  <si>
    <t>28</t>
  </si>
  <si>
    <t>2739</t>
  </si>
  <si>
    <t>27</t>
  </si>
  <si>
    <t>ARTICHOKE</t>
  </si>
  <si>
    <t>Artisjok</t>
  </si>
  <si>
    <t>Artichoke</t>
  </si>
  <si>
    <t>Artichaut</t>
  </si>
  <si>
    <t>Artischocke</t>
  </si>
  <si>
    <t>Karczoch</t>
  </si>
  <si>
    <t>1021</t>
  </si>
  <si>
    <t>ARUGULA</t>
  </si>
  <si>
    <t>Rucola</t>
  </si>
  <si>
    <t>Arugula</t>
  </si>
  <si>
    <t>Roquette</t>
  </si>
  <si>
    <t>Rukola</t>
  </si>
  <si>
    <t>2736</t>
  </si>
  <si>
    <t>ASPARAGUS</t>
  </si>
  <si>
    <t>Asperge</t>
  </si>
  <si>
    <t>ASPARAGUS_GREEN</t>
  </si>
  <si>
    <t>ASPARAGUS_WHITE</t>
  </si>
  <si>
    <t>Asperge, groen</t>
  </si>
  <si>
    <t>Asperge, wit</t>
  </si>
  <si>
    <t>Asparagus</t>
  </si>
  <si>
    <t>Spargel</t>
  </si>
  <si>
    <t>Szparag</t>
  </si>
  <si>
    <t>Asparagus, green</t>
  </si>
  <si>
    <t>Asperge, verte</t>
  </si>
  <si>
    <t>Spargel, grün</t>
  </si>
  <si>
    <t>Szparag, zielony</t>
  </si>
  <si>
    <t>Asparagus, white</t>
  </si>
  <si>
    <t>Asperge, blanche</t>
  </si>
  <si>
    <t>Spargel, weiß</t>
  </si>
  <si>
    <t>Szparag, biały</t>
  </si>
  <si>
    <t>168389</t>
  </si>
  <si>
    <t>168390</t>
  </si>
  <si>
    <t>5493</t>
  </si>
  <si>
    <t>3220</t>
  </si>
  <si>
    <t>957</t>
  </si>
  <si>
    <t>9</t>
  </si>
  <si>
    <t>BEETROOT</t>
  </si>
  <si>
    <t>Rode biet</t>
  </si>
  <si>
    <t>Beetroot</t>
  </si>
  <si>
    <t>Betterave rouge</t>
  </si>
  <si>
    <t>Rote Bete</t>
  </si>
  <si>
    <t>Burak czerwony</t>
  </si>
  <si>
    <t>958</t>
  </si>
  <si>
    <t>12</t>
  </si>
  <si>
    <t>BRUSSELS_SPROUTS</t>
  </si>
  <si>
    <t>Spruitjes</t>
  </si>
  <si>
    <t>Brussels sprouts</t>
  </si>
  <si>
    <t>Choux de Bruxelles</t>
  </si>
  <si>
    <t>Rosenkohl</t>
  </si>
  <si>
    <t>Brukselka</t>
  </si>
  <si>
    <t>55</t>
  </si>
  <si>
    <t>564</t>
  </si>
  <si>
    <t>CABBAGE_RED</t>
  </si>
  <si>
    <t>CABBAGE_WHITE</t>
  </si>
  <si>
    <t>Rode kool</t>
  </si>
  <si>
    <t>Witte kool</t>
  </si>
  <si>
    <t>Red cabbage</t>
  </si>
  <si>
    <t>Chou rouge</t>
  </si>
  <si>
    <t>Rotkohl</t>
  </si>
  <si>
    <t>Czerwona kapusta</t>
  </si>
  <si>
    <t>White cabbage</t>
  </si>
  <si>
    <t>Chou blanc</t>
  </si>
  <si>
    <t>Weißkohl</t>
  </si>
  <si>
    <t>Biała kapusta</t>
  </si>
  <si>
    <t>CABBAGE_SAVOY</t>
  </si>
  <si>
    <t>Savooiekool</t>
  </si>
  <si>
    <t>Savoy cabbage</t>
  </si>
  <si>
    <t>Chou de Savoie</t>
  </si>
  <si>
    <t>Wirsing</t>
  </si>
  <si>
    <t>Kapusta włoska</t>
  </si>
  <si>
    <t>Weißwein, trocken</t>
  </si>
  <si>
    <t>Weißwein, süß</t>
  </si>
  <si>
    <t>Whole milk</t>
  </si>
  <si>
    <t>42</t>
  </si>
  <si>
    <t>41</t>
  </si>
  <si>
    <t>25</t>
  </si>
  <si>
    <t>24</t>
  </si>
  <si>
    <t>70</t>
  </si>
  <si>
    <t>69</t>
  </si>
  <si>
    <t>CARROT</t>
  </si>
  <si>
    <t>Wortel</t>
  </si>
  <si>
    <t>Carrot</t>
  </si>
  <si>
    <t>Carotte</t>
  </si>
  <si>
    <t>Karotte</t>
  </si>
  <si>
    <t>Marchew</t>
  </si>
  <si>
    <t>72</t>
  </si>
  <si>
    <t>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</si>
</sst>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[Red]0"/>
    <numFmt numFmtId="165" formatCode="0.0"/>
    <numFmt numFmtId="166" formatCode="0.000"/>
  </numFmts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CAEDFB"/>
        <bgColor rgb="FFCAEDFB"/>
      </patternFill>
    </fill>
  </fills>
  <borders count="7">
    <border>
      <left/>
      <right/>
      <top/>
      <bottom/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/>
      <bottom style="thin">
        <color theme="7" tint="0.39997558519241921"/>
      </bottom>
      <diagonal/>
    </border>
    <border>
      <left/>
      <right/>
      <top style="thin">
        <color theme="7" tint="0.39997558519241921"/>
      </top>
      <bottom/>
      <diagonal/>
    </border>
    <border>
      <left/>
      <right/>
      <top style="thin">
        <color rgb="FF61CBF3"/>
      </top>
      <bottom style="thin">
        <color rgb="FF61CBF3"/>
      </bottom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/>
      <right style="thin">
        <color theme="7" tint="0.39997558519241921"/>
      </right>
      <top style="thin">
        <color theme="7" tint="0.39997558519241921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left" vertical="center" indent="1"/>
    </xf>
    <xf numFmtId="164" fontId="0" fillId="0" borderId="0" xfId="0" applyNumberFormat="1" applyAlignment="1">
      <alignment horizontal="left" vertical="center" indent="1"/>
    </xf>
    <xf numFmtId="49" fontId="1" fillId="0" borderId="0" xfId="0" applyNumberFormat="1" applyFont="1" applyAlignment="1">
      <alignment horizontal="left" vertical="center" indent="1"/>
    </xf>
    <xf numFmtId="49" fontId="0" fillId="0" borderId="0" xfId="0" applyNumberFormat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49" fontId="3" fillId="0" borderId="0" xfId="0" applyNumberFormat="1" applyFont="1" applyAlignment="1">
      <alignment horizontal="left" vertical="center" indent="1"/>
    </xf>
    <xf numFmtId="49" fontId="4" fillId="2" borderId="2" xfId="0" applyNumberFormat="1" applyFont="1" applyFill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49" fontId="5" fillId="0" borderId="0" xfId="0" applyNumberFormat="1" applyFont="1" applyAlignment="1">
      <alignment horizontal="left" vertical="center" indent="1"/>
    </xf>
    <xf numFmtId="164" fontId="5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2" fontId="1" fillId="0" borderId="0" xfId="0" applyNumberFormat="1" applyFont="1" applyAlignment="1">
      <alignment horizontal="left" vertical="center" indent="1"/>
    </xf>
    <xf numFmtId="2" fontId="3" fillId="0" borderId="0" xfId="0" applyNumberFormat="1" applyFont="1" applyAlignment="1">
      <alignment horizontal="left" vertical="center" indent="1"/>
    </xf>
    <xf numFmtId="2" fontId="5" fillId="0" borderId="0" xfId="0" applyNumberFormat="1" applyFont="1" applyAlignment="1">
      <alignment horizontal="left" vertical="center" indent="1"/>
    </xf>
    <xf numFmtId="2" fontId="0" fillId="0" borderId="0" xfId="0" applyNumberFormat="1" applyAlignment="1">
      <alignment horizontal="left" vertical="center" indent="1"/>
    </xf>
    <xf numFmtId="0" fontId="0" fillId="0" borderId="0" xfId="0" applyAlignment="1">
      <alignment horizontal="left" vertical="center" wrapText="1" indent="1"/>
    </xf>
    <xf numFmtId="165" fontId="1" fillId="0" borderId="0" xfId="0" applyNumberFormat="1" applyFont="1" applyAlignment="1">
      <alignment horizontal="left" vertical="center" indent="1"/>
    </xf>
    <xf numFmtId="165" fontId="5" fillId="0" borderId="0" xfId="0" applyNumberFormat="1" applyFont="1" applyAlignment="1">
      <alignment horizontal="left" vertical="center" indent="1"/>
    </xf>
    <xf numFmtId="165" fontId="0" fillId="0" borderId="0" xfId="0" applyNumberFormat="1" applyAlignment="1">
      <alignment horizontal="left" vertical="center" indent="1"/>
    </xf>
    <xf numFmtId="165" fontId="3" fillId="0" borderId="0" xfId="0" applyNumberFormat="1" applyFont="1" applyAlignment="1">
      <alignment horizontal="left" vertical="center" indent="1"/>
    </xf>
    <xf numFmtId="1" fontId="3" fillId="0" borderId="0" xfId="0" applyNumberFormat="1" applyFont="1" applyAlignment="1">
      <alignment horizontal="left" vertical="center" indent="1"/>
    </xf>
    <xf numFmtId="1" fontId="0" fillId="0" borderId="0" xfId="0" applyNumberFormat="1" applyAlignment="1">
      <alignment horizontal="left" vertical="center" indent="1"/>
    </xf>
    <xf numFmtId="166" fontId="3" fillId="0" borderId="0" xfId="0" applyNumberFormat="1" applyFont="1" applyAlignment="1">
      <alignment horizontal="left" vertical="center" indent="1"/>
    </xf>
    <xf numFmtId="166" fontId="5" fillId="0" borderId="0" xfId="0" applyNumberFormat="1" applyFont="1" applyAlignment="1">
      <alignment horizontal="left" vertical="center" indent="1"/>
    </xf>
    <xf numFmtId="166" fontId="0" fillId="0" borderId="0" xfId="0" applyNumberFormat="1" applyAlignment="1">
      <alignment horizontal="left" vertical="center" indent="1"/>
    </xf>
    <xf numFmtId="166" fontId="1" fillId="0" borderId="0" xfId="0" applyNumberFormat="1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4" fillId="0" borderId="2" xfId="0" applyFont="1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0" fillId="0" borderId="3" xfId="0" applyBorder="1" applyAlignment="1">
      <alignment horizontal="left" vertical="center" indent="1"/>
    </xf>
    <xf numFmtId="49" fontId="0" fillId="0" borderId="0" xfId="0" applyNumberFormat="1" applyAlignment="1" applyProtection="1">
      <alignment horizontal="left" vertical="center" indent="1"/>
      <protection locked="0"/>
    </xf>
    <xf numFmtId="165" fontId="5" fillId="0" borderId="0" xfId="0" applyNumberFormat="1" applyFont="1" applyAlignment="1" applyProtection="1">
      <alignment horizontal="left" vertical="center" indent="1"/>
      <protection locked="0"/>
    </xf>
    <xf numFmtId="49" fontId="5" fillId="0" borderId="0" xfId="0" applyNumberFormat="1" applyFont="1" applyAlignment="1" applyProtection="1">
      <alignment horizontal="left" vertical="center" indent="1"/>
      <protection locked="0"/>
    </xf>
    <xf numFmtId="0" fontId="0" fillId="0" borderId="0" xfId="0" applyAlignment="1" applyProtection="1">
      <alignment horizontal="left" vertical="center" indent="1"/>
      <protection locked="0"/>
    </xf>
    <xf numFmtId="165" fontId="0" fillId="0" borderId="0" xfId="0" applyNumberFormat="1" applyAlignment="1" applyProtection="1">
      <alignment horizontal="left" vertical="center" indent="1"/>
      <protection locked="0"/>
    </xf>
    <xf numFmtId="166" fontId="5" fillId="0" borderId="0" xfId="0" applyNumberFormat="1" applyFont="1" applyAlignment="1" applyProtection="1">
      <alignment horizontal="left" vertical="center" indent="1"/>
      <protection locked="0"/>
    </xf>
    <xf numFmtId="166" fontId="0" fillId="0" borderId="0" xfId="0" applyNumberFormat="1" applyAlignment="1" applyProtection="1">
      <alignment horizontal="left" vertical="center" indent="1"/>
      <protection locked="0"/>
    </xf>
    <xf numFmtId="165" fontId="5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4" fillId="2" borderId="5" xfId="0" applyFont="1" applyFill="1" applyBorder="1" applyAlignment="1">
      <alignment horizontal="left" vertical="center" indent="1"/>
    </xf>
    <xf numFmtId="0" fontId="4" fillId="2" borderId="3" xfId="0" applyFont="1" applyFill="1" applyBorder="1" applyAlignment="1">
      <alignment horizontal="left" vertical="center" indent="1"/>
    </xf>
    <xf numFmtId="0" fontId="4" fillId="2" borderId="6" xfId="0" applyFont="1" applyFill="1" applyBorder="1" applyAlignment="1">
      <alignment horizontal="left" vertical="center" indent="1"/>
    </xf>
    <xf numFmtId="0" fontId="5" fillId="0" borderId="0" xfId="0" applyFont="1" applyAlignment="1">
      <alignment horizontal="center" vertical="center"/>
    </xf>
    <xf numFmtId="2" fontId="0" fillId="0" borderId="0" xfId="0" applyNumberFormat="1" applyAlignment="1">
      <alignment horizontal="right" vertical="center" indent="1"/>
    </xf>
    <xf numFmtId="165" fontId="3" fillId="0" borderId="0" xfId="0" applyNumberFormat="1" applyFont="1" applyAlignment="1" applyProtection="1">
      <alignment horizontal="left" vertical="center" indent="1"/>
    </xf>
    <xf numFmtId="165" fontId="5" fillId="0" borderId="0" xfId="0" applyNumberFormat="1" applyFont="1" applyAlignment="1" applyProtection="1">
      <alignment horizontal="left" vertical="center" indent="1"/>
    </xf>
    <xf numFmtId="165" fontId="0" fillId="0" borderId="0" xfId="0" applyNumberFormat="1" applyAlignment="1" applyProtection="1">
      <alignment horizontal="left" vertical="center" indent="1"/>
    </xf>
    <xf numFmtId="166" fontId="0" fillId="0" borderId="0" xfId="0" applyNumberFormat="1" applyAlignment="1" applyProtection="1">
      <alignment horizontal="left" vertical="center" indent="1"/>
    </xf>
    <xf numFmtId="166" fontId="3" fillId="0" borderId="0" xfId="0" applyNumberFormat="1" applyFont="1" applyAlignment="1" applyProtection="1">
      <alignment horizontal="left" vertical="center" indent="1"/>
    </xf>
    <xf numFmtId="166" fontId="5" fillId="0" borderId="0" xfId="0" applyNumberFormat="1" applyFont="1" applyAlignment="1" applyProtection="1">
      <alignment horizontal="left" vertical="center" indent="1"/>
    </xf>
    <xf numFmtId="0" fontId="3" fillId="0" borderId="0" xfId="0" applyFont="1" applyAlignment="1" applyProtection="1">
      <alignment horizontal="left" vertical="center" indent="1"/>
    </xf>
    <xf numFmtId="0" fontId="5" fillId="0" borderId="0" xfId="0" applyFont="1" applyAlignment="1" applyProtection="1">
      <alignment horizontal="left" vertical="center" indent="1"/>
    </xf>
    <xf numFmtId="0" fontId="0" fillId="0" borderId="0" xfId="0" applyAlignment="1" applyProtection="1">
      <alignment horizontal="left" vertical="center" indent="1"/>
    </xf>
    <xf numFmtId="0" fontId="1" fillId="0" borderId="0" xfId="0" applyFont="1" applyAlignment="1" applyProtection="1">
      <alignment horizontal="left" vertical="center" indent="1"/>
    </xf>
    <xf numFmtId="0" fontId="5" fillId="0" borderId="0" xfId="0" applyFont="1" applyAlignment="1" applyProtection="1">
      <alignment horizontal="center" vertical="center"/>
    </xf>
    <xf numFmtId="0" fontId="1" fillId="0" borderId="0" xfId="0" applyFont="1" applyAlignment="1" applyProtection="1">
      <alignment horizontal="left" vertical="center" indent="1"/>
      <protection locked="0"/>
    </xf>
    <xf numFmtId="0" fontId="6" fillId="3" borderId="4" xfId="0" applyFont="1" applyFill="1" applyBorder="1" applyAlignment="1" applyProtection="1">
      <alignment horizontal="left" vertical="center" indent="1"/>
      <protection locked="0"/>
    </xf>
    <xf numFmtId="0" fontId="5" fillId="0" borderId="4" xfId="0" applyFont="1" applyBorder="1" applyAlignment="1" applyProtection="1">
      <alignment horizontal="left" vertical="center" indent="1"/>
      <protection locked="0"/>
    </xf>
    <xf numFmtId="0" fontId="7" fillId="3" borderId="4" xfId="0" applyFont="1" applyFill="1" applyBorder="1" applyAlignment="1" applyProtection="1">
      <alignment horizontal="left" vertical="center" indent="1"/>
      <protection locked="0"/>
    </xf>
    <xf numFmtId="0" fontId="0" fillId="0" borderId="4" xfId="0" applyBorder="1" applyAlignment="1" applyProtection="1">
      <alignment horizontal="left" vertical="center" indent="1"/>
      <protection locked="0"/>
    </xf>
  </cellXfs>
  <cellStyles count="1">
    <cellStyle name="Standaard" xfId="0" builtinId="0"/>
  </cellStyles>
  <dxfs count="190">
    <dxf>
      <font>
        <b val="0"/>
      </font>
      <alignment horizontal="left" vertical="center" textRotation="0" wrapText="0" indent="1" justifyLastLine="0" shrinkToFit="0" readingOrder="0"/>
      <protection locked="0" hidden="0"/>
    </dxf>
    <dxf>
      <font>
        <b val="0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b val="0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numFmt numFmtId="0" formatCode="General"/>
      <alignment horizontal="left" vertical="center" textRotation="0" wrapText="0" indent="1" justifyLastLine="0" shrinkToFit="0" readingOrder="0"/>
      <protection locked="1" hidden="0"/>
    </dxf>
    <dxf>
      <numFmt numFmtId="0" formatCode="General"/>
      <alignment horizontal="left" vertical="center" textRotation="0" wrapText="0" indent="1" justifyLastLine="0" shrinkToFit="0" readingOrder="0"/>
      <protection locked="1" hidden="0"/>
    </dxf>
    <dxf>
      <numFmt numFmtId="165" formatCode="0.0"/>
      <alignment horizontal="left" vertical="center" textRotation="0" wrapText="0" indent="1" justifyLastLine="0" shrinkToFit="0" readingOrder="0"/>
    </dxf>
    <dxf>
      <numFmt numFmtId="165" formatCode="0.0"/>
      <alignment horizontal="left" vertical="center" textRotation="0" wrapText="0" indent="1" justifyLastLine="0" shrinkToFit="0" readingOrder="0"/>
    </dxf>
    <dxf>
      <numFmt numFmtId="165" formatCode="0.0"/>
      <alignment horizontal="left" vertical="center" textRotation="0" wrapText="0" indent="1" justifyLastLine="0" shrinkToFit="0" readingOrder="0"/>
    </dxf>
    <dxf>
      <numFmt numFmtId="165" formatCode="0.0"/>
      <alignment horizontal="left" vertical="center" textRotation="0" wrapText="0" indent="1" justifyLastLine="0" shrinkToFit="0" readingOrder="0"/>
    </dxf>
    <dxf>
      <numFmt numFmtId="165" formatCode="0.0"/>
      <alignment horizontal="left" vertical="center" textRotation="0" wrapText="0" indent="1" justifyLastLine="0" shrinkToFit="0" readingOrder="0"/>
    </dxf>
    <dxf>
      <numFmt numFmtId="165" formatCode="0.0"/>
      <alignment horizontal="left" vertical="center" textRotation="0" wrapText="0" indent="1" justifyLastLine="0" shrinkToFit="0" readingOrder="0"/>
    </dxf>
    <dxf>
      <numFmt numFmtId="165" formatCode="0.0"/>
      <alignment horizontal="left" vertical="center" textRotation="0" wrapText="0" indent="1" justifyLastLine="0" shrinkToFit="0" readingOrder="0"/>
    </dxf>
    <dxf>
      <numFmt numFmtId="165" formatCode="0.0"/>
      <alignment horizontal="left" vertical="center" textRotation="0" wrapText="0" indent="1" justifyLastLine="0" shrinkToFit="0" readingOrder="0"/>
    </dxf>
    <dxf>
      <numFmt numFmtId="165" formatCode="0.0"/>
      <alignment horizontal="left" vertical="center" textRotation="0" wrapText="0" indent="1" justifyLastLine="0" shrinkToFit="0" readingOrder="0"/>
    </dxf>
    <dxf>
      <numFmt numFmtId="165" formatCode="0.0"/>
      <alignment horizontal="left" vertical="center" textRotation="0" wrapText="0" indent="1" justifyLastLine="0" shrinkToFit="0" readingOrder="0"/>
    </dxf>
    <dxf>
      <numFmt numFmtId="165" formatCode="0.0"/>
      <alignment horizontal="left" vertical="center" textRotation="0" wrapText="0" indent="1" justifyLastLine="0" shrinkToFit="0" readingOrder="0"/>
    </dxf>
    <dxf>
      <numFmt numFmtId="165" formatCode="0.0"/>
      <alignment horizontal="center" vertical="center" textRotation="0" wrapText="0" indent="0" justifyLastLine="0" shrinkToFit="0" readingOrder="0"/>
    </dxf>
    <dxf>
      <numFmt numFmtId="165" formatCode="0.0"/>
      <alignment horizontal="center" vertical="center" textRotation="0" wrapText="0" indent="0" justifyLastLine="0" shrinkToFit="0" readingOrder="0"/>
    </dxf>
    <dxf>
      <numFmt numFmtId="165" formatCode="0.0"/>
      <alignment horizontal="center" vertical="center" textRotation="0" wrapText="0" indent="0" justifyLastLine="0" shrinkToFit="0" readingOrder="0"/>
    </dxf>
    <dxf>
      <numFmt numFmtId="165" formatCode="0.0"/>
      <alignment horizontal="left" vertical="center" textRotation="0" wrapText="0" indent="1" justifyLastLine="0" shrinkToFit="0" readingOrder="0"/>
    </dxf>
    <dxf>
      <numFmt numFmtId="165" formatCode="0.0"/>
      <alignment horizontal="left" vertical="center" textRotation="0" wrapText="0" indent="1" justifyLastLine="0" shrinkToFit="0" readingOrder="0"/>
    </dxf>
    <dxf>
      <numFmt numFmtId="165" formatCode="0.0"/>
      <alignment horizontal="left" vertical="center" textRotation="0" wrapText="0" indent="1" justifyLastLine="0" shrinkToFit="0" readingOrder="0"/>
    </dxf>
    <dxf>
      <numFmt numFmtId="165" formatCode="0.0"/>
      <alignment horizontal="left" vertical="center" textRotation="0" wrapText="0" indent="1" justifyLastLine="0" shrinkToFit="0" readingOrder="0"/>
    </dxf>
    <dxf>
      <numFmt numFmtId="165" formatCode="0.0"/>
      <alignment horizontal="left" vertical="center" textRotation="0" wrapText="0" indent="1" justifyLastLine="0" shrinkToFit="0" readingOrder="0"/>
    </dxf>
    <dxf>
      <numFmt numFmtId="165" formatCode="0.0"/>
      <alignment horizontal="left" vertical="center" textRotation="0" wrapText="0" indent="1" justifyLastLine="0" shrinkToFit="0" readingOrder="0"/>
    </dxf>
    <dxf>
      <numFmt numFmtId="165" formatCode="0.0"/>
      <alignment horizontal="left" vertical="center" textRotation="0" wrapText="0" indent="1" justifyLastLine="0" shrinkToFit="0" readingOrder="0"/>
    </dxf>
    <dxf>
      <numFmt numFmtId="165" formatCode="0.0"/>
      <alignment horizontal="left" vertical="center" textRotation="0" wrapText="0" indent="1" justifyLastLine="0" shrinkToFit="0" readingOrder="0"/>
    </dxf>
    <dxf>
      <numFmt numFmtId="165" formatCode="0.0"/>
      <alignment horizontal="left" vertical="center" textRotation="0" wrapText="0" indent="1" justifyLastLine="0" shrinkToFit="0" readingOrder="0"/>
    </dxf>
    <dxf>
      <numFmt numFmtId="165" formatCode="0.0"/>
      <alignment horizontal="left" vertical="center" textRotation="0" wrapText="0" indent="1" justifyLastLine="0" shrinkToFit="0" readingOrder="0"/>
    </dxf>
    <dxf>
      <numFmt numFmtId="165" formatCode="0.0"/>
      <alignment horizontal="left" vertical="center" textRotation="0" wrapText="0" indent="1" justifyLastLine="0" shrinkToFit="0" readingOrder="0"/>
    </dxf>
    <dxf>
      <numFmt numFmtId="165" formatCode="0.0"/>
      <alignment horizontal="left" vertical="center" textRotation="0" wrapText="0" indent="1" justifyLastLine="0" shrinkToFit="0" readingOrder="0"/>
    </dxf>
    <dxf>
      <numFmt numFmtId="2" formatCode="0.00"/>
      <alignment horizontal="left" vertical="center" textRotation="0" wrapText="0" indent="1" justifyLastLine="0" shrinkToFit="0" readingOrder="0"/>
    </dxf>
    <dxf>
      <numFmt numFmtId="165" formatCode="0.0"/>
      <alignment horizontal="left" vertical="center" textRotation="0" wrapText="0" indent="1" justifyLastLine="0" shrinkToFit="0" readingOrder="0"/>
    </dxf>
    <dxf>
      <numFmt numFmtId="165" formatCode="0.0"/>
      <alignment horizontal="left" vertical="center" textRotation="0" wrapText="0" indent="1" justifyLastLine="0" shrinkToFit="0" readingOrder="0"/>
    </dxf>
    <dxf>
      <numFmt numFmtId="165" formatCode="0.0"/>
      <alignment horizontal="left" vertical="center" textRotation="0" wrapText="0" indent="1" justifyLastLine="0" shrinkToFit="0" readingOrder="0"/>
    </dxf>
    <dxf>
      <numFmt numFmtId="165" formatCode="0.0"/>
      <alignment horizontal="left" vertical="center" textRotation="0" wrapText="0" indent="1" justifyLastLine="0" shrinkToFit="0" readingOrder="0"/>
    </dxf>
    <dxf>
      <numFmt numFmtId="165" formatCode="0.0"/>
      <alignment horizontal="left" vertical="center" textRotation="0" wrapText="0" indent="1" justifyLastLine="0" shrinkToFit="0" readingOrder="0"/>
    </dxf>
    <dxf>
      <numFmt numFmtId="2" formatCode="0.00"/>
      <alignment horizontal="left" vertical="center" textRotation="0" wrapText="0" indent="1" justifyLastLine="0" shrinkToFit="0" readingOrder="0"/>
    </dxf>
    <dxf>
      <numFmt numFmtId="166" formatCode="0.000"/>
      <alignment horizontal="left" vertical="center" textRotation="0" wrapText="0" indent="1" justifyLastLine="0" shrinkToFit="0" readingOrder="0"/>
      <protection locked="1" hidden="0"/>
    </dxf>
    <dxf>
      <numFmt numFmtId="165" formatCode="0.0"/>
      <alignment horizontal="left" vertical="center" textRotation="0" wrapText="0" indent="1" justifyLastLine="0" shrinkToFit="0" readingOrder="0"/>
      <protection locked="1" hidden="0"/>
    </dxf>
    <dxf>
      <numFmt numFmtId="165" formatCode="0.0"/>
      <alignment horizontal="left" vertical="center" textRotation="0" wrapText="0" indent="1" justifyLastLine="0" shrinkToFit="0" readingOrder="0"/>
    </dxf>
    <dxf>
      <font>
        <color theme="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9300"/>
        </patternFill>
      </fill>
    </dxf>
    <dxf>
      <font>
        <color theme="0"/>
      </font>
      <fill>
        <patternFill>
          <bgColor rgb="FFFF0000"/>
        </patternFill>
      </fill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 style="thin">
          <color theme="7" tint="0.39997558519241921"/>
        </top>
        <bottom style="thin">
          <color theme="7" tint="0.39997558519241921"/>
        </bottom>
      </border>
    </dxf>
    <dxf>
      <border outline="0">
        <top style="thin">
          <color theme="7" tint="0.39997558519241921"/>
        </top>
      </border>
    </dxf>
    <dxf>
      <border outline="0">
        <left style="thin">
          <color theme="7" tint="0.39997558519241921"/>
        </left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border outline="0">
        <bottom style="thin">
          <color theme="7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 style="thin">
          <color theme="7" tint="0.39997558519241921"/>
        </top>
        <bottom style="thin">
          <color theme="7" tint="0.39997558519241921"/>
        </bottom>
      </border>
    </dxf>
    <dxf>
      <border outline="0">
        <top style="thin">
          <color theme="7" tint="0.39997558519241921"/>
        </top>
      </border>
    </dxf>
    <dxf>
      <border outline="0">
        <left style="thin">
          <color theme="7" tint="0.39997558519241921"/>
        </left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1" justifyLastLine="0" shrinkToFit="0" readingOrder="0"/>
    </dxf>
    <dxf>
      <border outline="0">
        <bottom style="thin">
          <color theme="7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30" formatCode="@"/>
      <fill>
        <patternFill patternType="solid">
          <fgColor theme="7"/>
          <bgColor theme="7"/>
        </patternFill>
      </fill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numFmt numFmtId="30" formatCode="@"/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center" textRotation="0" wrapText="0" indent="1" justifyLastLine="0" shrinkToFit="0" readingOrder="0"/>
    </dxf>
    <dxf>
      <numFmt numFmtId="2" formatCode="0.00"/>
      <alignment horizontal="right" vertical="center" textRotation="0" wrapText="0" indent="1" justifyLastLine="0" shrinkToFit="0" readingOrder="0"/>
    </dxf>
    <dxf>
      <numFmt numFmtId="2" formatCode="0.00"/>
      <alignment horizontal="right" vertical="center" textRotation="0" wrapText="0" indent="1" justifyLastLine="0" shrinkToFit="0" readingOrder="0"/>
    </dxf>
    <dxf>
      <numFmt numFmtId="2" formatCode="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alignment horizontal="righ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numFmt numFmtId="2" formatCode="0.00"/>
      <alignment horizontal="righ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numFmt numFmtId="2" formatCode="0.00"/>
      <alignment horizontal="righ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numFmt numFmtId="2" formatCode="0.00"/>
      <alignment horizontal="righ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30" formatCode="@"/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30" formatCode="@"/>
      <alignment horizontal="left" vertical="center" textRotation="0" wrapText="0" indent="1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</dxf>
    <dxf>
      <font>
        <b val="0"/>
      </font>
      <numFmt numFmtId="30" formatCode="@"/>
      <alignment horizontal="left" vertical="center" textRotation="0" wrapText="0" indent="1" justifyLastLine="0" shrinkToFit="0" readingOrder="0"/>
      <protection locked="0" hidden="0"/>
    </dxf>
    <dxf>
      <font>
        <b val="0"/>
      </font>
      <numFmt numFmtId="30" formatCode="@"/>
      <alignment horizontal="left" vertical="center" textRotation="0" wrapText="0" indent="1" justifyLastLine="0" shrinkToFit="0" readingOrder="0"/>
      <protection locked="0" hidden="0"/>
    </dxf>
    <dxf>
      <font>
        <b val="0"/>
      </font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left" vertical="center" textRotation="0" wrapText="0" indent="1" justifyLastLine="0" shrinkToFit="0" readingOrder="0"/>
    </dxf>
    <dxf>
      <numFmt numFmtId="165" formatCode="0.0"/>
      <alignment horizontal="left" vertical="center" textRotation="0" wrapText="0" indent="1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166" formatCode="0.000"/>
      <alignment horizontal="left" vertical="center" textRotation="0" wrapText="0" indent="1" justifyLastLine="0" shrinkToFit="0" readingOrder="0"/>
    </dxf>
    <dxf>
      <numFmt numFmtId="166" formatCode="0.000"/>
      <alignment horizontal="left" vertical="center" textRotation="0" wrapText="0" indent="1" justifyLastLine="0" shrinkToFit="0" readingOrder="0"/>
    </dxf>
    <dxf>
      <numFmt numFmtId="166" formatCode="0.000"/>
      <alignment horizontal="left" vertical="center" textRotation="0" wrapText="0" indent="1" justifyLastLine="0" shrinkToFit="0" readingOrder="0"/>
      <protection locked="0" hidden="0"/>
    </dxf>
    <dxf>
      <numFmt numFmtId="165" formatCode="0.0"/>
      <alignment horizontal="left" vertical="center" textRotation="0" wrapText="0" indent="1" justifyLastLine="0" shrinkToFit="0" readingOrder="0"/>
      <protection locked="0" hidden="0"/>
    </dxf>
    <dxf>
      <numFmt numFmtId="165" formatCode="0.0"/>
      <alignment horizontal="left" vertical="center" textRotation="0" wrapText="0" indent="1" justifyLastLine="0" shrinkToFit="0" readingOrder="0"/>
      <protection locked="0" hidden="0"/>
    </dxf>
    <dxf>
      <numFmt numFmtId="165" formatCode="0.0"/>
      <alignment horizontal="left" vertical="center" textRotation="0" wrapText="0" indent="1" justifyLastLine="0" shrinkToFit="0" readingOrder="0"/>
      <protection locked="0" hidden="0"/>
    </dxf>
    <dxf>
      <numFmt numFmtId="165" formatCode="0.0"/>
      <alignment horizontal="left" vertical="center" textRotation="0" wrapText="0" indent="1" justifyLastLine="0" shrinkToFit="0" readingOrder="0"/>
      <protection locked="0" hidden="0"/>
    </dxf>
    <dxf>
      <numFmt numFmtId="165" formatCode="0.0"/>
      <alignment horizontal="left" vertical="center" textRotation="0" wrapText="0" indent="1" justifyLastLine="0" shrinkToFit="0" readingOrder="0"/>
      <protection locked="0" hidden="0"/>
    </dxf>
    <dxf>
      <numFmt numFmtId="165" formatCode="0.0"/>
      <alignment horizontal="left" vertical="center" textRotation="0" wrapText="0" indent="1" justifyLastLine="0" shrinkToFit="0" readingOrder="0"/>
      <protection locked="0" hidden="0"/>
    </dxf>
    <dxf>
      <numFmt numFmtId="165" formatCode="0.0"/>
      <alignment horizontal="left" vertical="center" textRotation="0" wrapText="0" indent="1" justifyLastLine="0" shrinkToFit="0" readingOrder="0"/>
      <protection locked="0" hidden="0"/>
    </dxf>
    <dxf>
      <numFmt numFmtId="30" formatCode="@"/>
      <alignment horizontal="left" vertical="center" textRotation="0" wrapText="0" indent="1" justifyLastLine="0" shrinkToFit="0" readingOrder="0"/>
      <protection locked="0" hidden="0"/>
    </dxf>
    <dxf>
      <numFmt numFmtId="30" formatCode="@"/>
      <alignment horizontal="left" vertical="center" textRotation="0" wrapText="0" indent="1" justifyLastLine="0" shrinkToFit="0" readingOrder="0"/>
      <protection locked="0" hidden="0"/>
    </dxf>
    <dxf>
      <numFmt numFmtId="30" formatCode="@"/>
      <alignment horizontal="left" vertical="center" textRotation="0" wrapText="0" indent="1" justifyLastLine="0" shrinkToFit="0" readingOrder="0"/>
      <protection locked="0" hidden="0"/>
    </dxf>
    <dxf>
      <numFmt numFmtId="30" formatCode="@"/>
      <alignment horizontal="left" vertical="center" textRotation="0" wrapText="0" indent="1" justifyLastLine="0" shrinkToFit="0" readingOrder="0"/>
      <protection locked="0" hidden="0"/>
    </dxf>
    <dxf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30" formatCode="@"/>
      <alignment horizontal="left" vertical="center" textRotation="0" wrapText="0" indent="1" justifyLastLine="0" shrinkToFit="0" readingOrder="0"/>
    </dxf>
    <dxf>
      <numFmt numFmtId="30" formatCode="@"/>
      <alignment horizontal="left" vertical="center" textRotation="0" wrapText="0" indent="1" justifyLastLine="0" shrinkToFit="0" readingOrder="0"/>
    </dxf>
    <dxf>
      <numFmt numFmtId="30" formatCode="@"/>
      <alignment horizontal="left" vertical="center" textRotation="0" wrapText="0" indent="1" justifyLastLine="0" shrinkToFit="0" readingOrder="0"/>
    </dxf>
    <dxf>
      <numFmt numFmtId="30" formatCode="@"/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30" formatCode="@"/>
      <alignment horizontal="left" vertical="center" textRotation="0" wrapText="0" indent="1" justifyLastLine="0" shrinkToFit="0" readingOrder="0"/>
    </dxf>
    <dxf>
      <numFmt numFmtId="164" formatCode="0;[Red]0"/>
      <alignment horizontal="left" vertical="center" textRotation="0" wrapText="0" indent="1" justifyLastLine="0" shrinkToFit="0" readingOrder="0"/>
    </dxf>
    <dxf>
      <numFmt numFmtId="164" formatCode="0;[Red]0"/>
      <alignment horizontal="left" vertical="center" textRotation="0" wrapText="0" indent="1" justifyLastLine="0" shrinkToFit="0" readingOrder="0"/>
    </dxf>
    <dxf>
      <numFmt numFmtId="30" formatCode="@"/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30" formatCode="@"/>
      <alignment horizontal="left" vertical="center" textRotation="0" wrapText="0" indent="1" justifyLastLine="0" shrinkToFit="0" readingOrder="0"/>
    </dxf>
    <dxf>
      <numFmt numFmtId="30" formatCode="@"/>
      <alignment horizontal="left" vertical="center" textRotation="0" wrapText="0" indent="1" justifyLastLine="0" shrinkToFit="0" readingOrder="0"/>
    </dxf>
    <dxf>
      <numFmt numFmtId="30" formatCode="@"/>
      <alignment horizontal="left" vertical="center" textRotation="0" wrapText="0" indent="1" justifyLastLine="0" shrinkToFit="0" readingOrder="0"/>
    </dxf>
    <dxf>
      <numFmt numFmtId="30" formatCode="@"/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30" formatCode="@"/>
      <alignment horizontal="left" vertical="center" textRotation="0" wrapText="0" indent="1" justifyLastLine="0" shrinkToFit="0" readingOrder="0"/>
    </dxf>
    <dxf>
      <numFmt numFmtId="2" formatCode="0.00"/>
      <alignment horizontal="left" vertical="center" textRotation="0" wrapText="0" indent="1" justifyLastLine="0" shrinkToFit="0" readingOrder="0"/>
    </dxf>
    <dxf>
      <numFmt numFmtId="2" formatCode="0.00"/>
      <alignment horizontal="left" vertical="center" textRotation="0" wrapText="0" indent="1" justifyLastLine="0" shrinkToFit="0" readingOrder="0"/>
    </dxf>
    <dxf>
      <numFmt numFmtId="2" formatCode="0.00"/>
      <alignment horizontal="left" vertical="center" textRotation="0" wrapText="0" indent="1" justifyLastLine="0" shrinkToFit="0" readingOrder="0"/>
    </dxf>
    <dxf>
      <numFmt numFmtId="2" formatCode="0.00"/>
      <alignment horizontal="left" vertical="center" textRotation="0" wrapText="0" indent="1" justifyLastLine="0" shrinkToFit="0" readingOrder="0"/>
    </dxf>
    <dxf>
      <numFmt numFmtId="164" formatCode="0;[Red]0"/>
      <alignment horizontal="left" vertical="center" textRotation="0" wrapText="0" indent="1" justifyLastLine="0" shrinkToFit="0" readingOrder="0"/>
    </dxf>
    <dxf>
      <numFmt numFmtId="164" formatCode="0;[Red]0"/>
      <alignment horizontal="left" vertical="center" textRotation="0" wrapText="0" indent="1" justifyLastLine="0" shrinkToFit="0" readingOrder="0"/>
    </dxf>
    <dxf>
      <numFmt numFmtId="30" formatCode="@"/>
      <alignment horizontal="left" vertical="center" textRotation="0" wrapText="0" indent="1" justifyLastLine="0" shrinkToFit="0" readingOrder="0"/>
    </dxf>
    <dxf>
      <numFmt numFmtId="1" formatCode="0"/>
      <alignment horizontal="left" vertical="center" textRotation="0" wrapText="0" indent="1" justifyLastLine="0" shrinkToFit="0" readingOrder="0"/>
    </dxf>
    <dxf>
      <numFmt numFmtId="164" formatCode="0;[Red]0"/>
      <alignment horizontal="left" vertical="center" textRotation="0" wrapText="0" indent="1" justifyLastLine="0" shrinkToFit="0" readingOrder="0"/>
    </dxf>
    <dxf>
      <numFmt numFmtId="2" formatCode="0.00"/>
      <alignment horizontal="left" vertical="center" textRotation="0" wrapText="0" indent="1" justifyLastLine="0" shrinkToFit="0" readingOrder="0"/>
    </dxf>
    <dxf>
      <numFmt numFmtId="30" formatCode="@"/>
      <alignment horizontal="left" vertical="center" textRotation="0" wrapText="0" indent="1" justifyLastLine="0" shrinkToFit="0" readingOrder="0"/>
    </dxf>
    <dxf>
      <numFmt numFmtId="30" formatCode="@"/>
      <alignment horizontal="left" vertical="center" textRotation="0" wrapText="0" indent="1" justifyLastLine="0" shrinkToFit="0" readingOrder="0"/>
    </dxf>
    <dxf>
      <numFmt numFmtId="30" formatCode="@"/>
      <alignment horizontal="left" vertical="center" textRotation="0" wrapText="0" indent="1" justifyLastLine="0" shrinkToFit="0" readingOrder="0"/>
    </dxf>
    <dxf>
      <numFmt numFmtId="30" formatCode="@"/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30" formatCode="@"/>
      <alignment horizontal="left" vertical="center" textRotation="0" wrapText="0" indent="1" justifyLastLine="0" shrinkToFit="0" readingOrder="0"/>
    </dxf>
    <dxf>
      <font>
        <b val="0"/>
      </font>
      <alignment horizontal="left" vertical="center" textRotation="0" wrapText="0" indent="1" justifyLastLine="0" shrinkToFit="0" readingOrder="0"/>
    </dxf>
    <dxf>
      <font>
        <b val="0"/>
      </font>
      <alignment horizontal="left" vertical="center" textRotation="0" wrapText="0" indent="1" justifyLastLine="0" shrinkToFit="0" readingOrder="0"/>
    </dxf>
    <dxf>
      <font>
        <b val="0"/>
      </font>
      <alignment horizontal="left" vertical="center" textRotation="0" wrapText="0" indent="1" justifyLastLine="0" shrinkToFit="0" readingOrder="0"/>
    </dxf>
    <dxf>
      <font>
        <b val="0"/>
      </font>
      <alignment horizontal="left" vertical="center" textRotation="0" wrapText="0" indent="1" justifyLastLine="0" shrinkToFit="0" readingOrder="0"/>
    </dxf>
    <dxf>
      <font>
        <b val="0"/>
      </font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30" formatCode="@"/>
      <alignment horizontal="left" vertical="center" textRotation="0" wrapText="0" indent="1" justifyLastLine="0" shrinkToFit="0" readingOrder="0"/>
    </dxf>
    <dxf>
      <numFmt numFmtId="30" formatCode="@"/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30" formatCode="@"/>
      <alignment horizontal="left" vertical="center" textRotation="0" wrapText="0" indent="1" justifyLastLine="0" shrinkToFit="0" readingOrder="0"/>
    </dxf>
  </dxfs>
  <tableStyles count="0" defaultTableStyle="TableStyleMedium2" defaultPivotStyle="PivotStyleLight16"/>
  <colors>
    <mruColors>
      <color rgb="FFFF9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3D7BA6-80E1-7343-AE7E-47E65F6B40BE}" name="tbl_product_groups" displayName="tbl_product_groups" ref="A1:C13" totalsRowShown="0" headerRowDxfId="189" dataDxfId="188">
  <autoFilter ref="A1:C13" xr:uid="{E23D7BA6-80E1-7343-AE7E-47E65F6B40BE}"/>
  <tableColumns count="3">
    <tableColumn id="1" xr3:uid="{B4AF7607-74C7-AB4C-803F-4E27D5B4D3A7}" name="group_key" dataDxfId="187"/>
    <tableColumn id="2" xr3:uid="{70B3C47A-1EF9-B441-AB84-B8349E22014E}" name="sort_order" dataDxfId="186"/>
    <tableColumn id="4" xr3:uid="{E16D26A1-F4E1-6145-BB10-C85644944F3B}" name="description_internal" dataDxfId="185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202AD1-18DE-4748-AE0A-487491D29596}" name="tbl_group_translations" displayName="tbl_group_translations" ref="A1:C61" totalsRowShown="0" headerRowDxfId="184" dataDxfId="183">
  <autoFilter ref="A1:C61" xr:uid="{F0202AD1-18DE-4748-AE0A-487491D29596}"/>
  <tableColumns count="3">
    <tableColumn id="1" xr3:uid="{AF8BDC16-0EAB-7A49-A58B-D735F9FE0B41}" name="group_key" dataDxfId="182"/>
    <tableColumn id="2" xr3:uid="{97C9149C-CD58-BA48-A095-4E04800C3CC6}" name="lang" dataDxfId="181"/>
    <tableColumn id="3" xr3:uid="{AFD38F14-EAC8-B04F-B255-037879AEFED8}" name="name" dataDxfId="180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3A4F001-335F-144E-82F3-1660FBADA2D2}" name="tbl_group_goal_model" displayName="tbl_group_goal_model" ref="A1:D40" totalsRowShown="0" headerRowDxfId="179" dataDxfId="178">
  <autoFilter ref="A1:D40" xr:uid="{221DB6BB-06EB-A646-874B-F3984B327946}"/>
  <tableColumns count="4">
    <tableColumn id="4" xr3:uid="{D6668A15-5ED6-D242-AD0C-9775954DC8B5}" name="goal_key" dataDxfId="177"/>
    <tableColumn id="1" xr3:uid="{A5988922-C0CF-F749-BC5F-D21A9423F751}" name="group_model_key" dataDxfId="176"/>
    <tableColumn id="2" xr3:uid="{A566E3E8-800E-154F-BC8F-F68B0078742F}" name="center_kcal" dataDxfId="175"/>
    <tableColumn id="3" xr3:uid="{C48A1435-C417-0641-BBD1-399C7452BDFE}" name="sigma" dataDxfId="174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34D69D-8195-C549-A96A-957444E867D0}" name="tbl_products" displayName="tbl_products" ref="A1:N75" totalsRowShown="0" headerRowDxfId="173" dataDxfId="172">
  <autoFilter ref="A1:N75" xr:uid="{8A34D69D-8195-C549-A96A-957444E867D0}"/>
  <tableColumns count="14">
    <tableColumn id="1" xr3:uid="{93EF7FCB-35BE-1442-942F-D62104AFB7A6}" name="product_key" dataDxfId="171"/>
    <tableColumn id="2" xr3:uid="{225DE1CC-C872-7640-AD30-B04FCE742DEC}" name="group_display_key" dataDxfId="170"/>
    <tableColumn id="5" xr3:uid="{556F5A97-091E-6A43-B305-2DCEDE01EB98}" name="group_model_key" dataDxfId="169"/>
    <tableColumn id="3" xr3:uid="{A99A64CB-08F6-FC4D-AABA-FE368EDD7797}" name="is_drink" dataDxfId="168"/>
    <tableColumn id="4" xr3:uid="{01468639-D9FB-0A4B-95E4-EC365C9F0C98}" name="density_g_per_ml" dataDxfId="167"/>
    <tableColumn id="10" xr3:uid="{46E13297-9B74-2942-8E78-6161C038873B}" name="density_source_key" dataDxfId="166"/>
    <tableColumn id="11" xr3:uid="{D5BEC86A-412A-4543-A8BF-F50BF79EE767}" name="density_reference_temp_c" dataDxfId="165"/>
    <tableColumn id="7" xr3:uid="{A5F10F25-CDD3-3845-858D-137902D7E936}" name="is_basic" dataDxfId="164"/>
    <tableColumn id="8" xr3:uid="{6BBCE9F0-EE30-EA4F-8673-C62D260F540A}" name="sort_order" dataDxfId="163"/>
    <tableColumn id="9" xr3:uid="{01342F3B-9767-3041-A326-C71FD85D8E48}" name="description_internal" dataDxfId="162"/>
    <tableColumn id="6" xr3:uid="{43DDDFA5-619E-2444-BD7E-25B2C4CF74A4}" name="hydration_factor" dataDxfId="161"/>
    <tableColumn id="12" xr3:uid="{253AE585-B0DE-9B4B-8F06-D26ACF8A2786}" name="lose_modifier_group" dataDxfId="160"/>
    <tableColumn id="13" xr3:uid="{190F6160-A338-8745-AADA-5AD202D81087}" name="maintain_modifier_group" dataDxfId="159"/>
    <tableColumn id="14" xr3:uid="{4DD52349-405B-2144-9C06-83517E2078F2}" name="gain_modifier_group" dataDxfId="158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D06423-CF85-994F-947D-FE4BD66F3246}" name="tbl_product_translations" displayName="tbl_product_translations" ref="A1:C371" totalsRowShown="0" headerRowDxfId="157" dataDxfId="156">
  <autoFilter ref="A1:C371" xr:uid="{F2D06423-CF85-994F-947D-FE4BD66F3246}"/>
  <tableColumns count="3">
    <tableColumn id="1" xr3:uid="{E7A6FDB0-DDD7-7748-B806-70DA2CF8B6ED}" name="product_key" dataDxfId="155"/>
    <tableColumn id="2" xr3:uid="{C14E9B4C-DF1F-FA44-988B-F4CEF913A095}" name="lang" dataDxfId="154"/>
    <tableColumn id="3" xr3:uid="{78F4776F-1B41-8349-B3F2-1AD15EBBC287}" name="name" dataDxfId="153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7029ADF-5C94-494B-B89E-EE9B2557A42F}" name="tbl_preparations" displayName="tbl_preparations" ref="A1:C16" totalsRowShown="0" headerRowDxfId="152" dataDxfId="151">
  <autoFilter ref="A1:C16" xr:uid="{37029ADF-5C94-494B-B89E-EE9B2557A42F}"/>
  <tableColumns count="3">
    <tableColumn id="1" xr3:uid="{5A0C9F67-47B2-1D43-A402-4F978A0B133C}" name="preparation_key" dataDxfId="150"/>
    <tableColumn id="2" xr3:uid="{CD49CF81-CBDB-1646-8226-7B50F2DD2E09}" name="sort_order" dataDxfId="149"/>
    <tableColumn id="3" xr3:uid="{6719E346-FC2F-1C46-BDD7-9EA6D092C387}" name="description_internal" dataDxfId="148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931B486-7CD2-8D4C-8F2E-94E22E75DFAB}" name="tbl_preparation_translations" displayName="tbl_preparation_translations" ref="A1:C76" totalsRowShown="0" headerRowDxfId="147" dataDxfId="146">
  <autoFilter ref="A1:C76" xr:uid="{C931B486-7CD2-8D4C-8F2E-94E22E75DFAB}"/>
  <tableColumns count="3">
    <tableColumn id="1" xr3:uid="{B1D8CC47-E402-1E41-8FD1-17534AAF9950}" name="preparation_key" dataDxfId="145"/>
    <tableColumn id="2" xr3:uid="{ADD6229D-C9DC-4547-AF07-3ED3DB6C0FC7}" name="lang" dataDxfId="144"/>
    <tableColumn id="3" xr3:uid="{356C8866-858E-C64B-B86A-D12D7B907EA1}" name="name" dataDxfId="143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2A660C-BB3B-654B-8D45-218671021BE3}" name="tbl_product_preparations" displayName="tbl_product_preparations" ref="A1:BA106" totalsRowShown="0" headerRowDxfId="142" dataDxfId="141">
  <autoFilter ref="A1:BA106" xr:uid="{4D2A660C-BB3B-654B-8D45-218671021BE3}"/>
  <tableColumns count="53">
    <tableColumn id="1" xr3:uid="{AC7AD81C-878B-2D47-8A3F-264D70773FDB}" name="product_key" dataDxfId="140"/>
    <tableColumn id="2" xr3:uid="{F4946373-27A3-D74E-BEF0-55A05481CCD5}" name="preparation_key" dataDxfId="139"/>
    <tableColumn id="22" xr3:uid="{10A12EBF-76B0-A44F-985C-A8079353AFFF}" name="source_key" dataDxfId="138"/>
    <tableColumn id="23" xr3:uid="{4BFE11FE-DE15-364E-B828-AEB522879DF1}" name="source_id" dataDxfId="137"/>
    <tableColumn id="40" xr3:uid="{D65E7DAE-347D-6544-B7D0-7050E9345B6B}" name="data_quality" dataDxfId="4">
      <calculatedColumnFormula>IF(tbl_product_preparations[[#This Row],[source_key]]="MANUFACTURER","MANUFACTURER",
IF(tbl_product_preparations[[#This Row],[source_key]]="CALCULATED","CALCULATED",
"REAL"))</calculatedColumnFormula>
    </tableColumn>
    <tableColumn id="41" xr3:uid="{1B88B486-8C22-A849-9777-CD4173D7A888}" name="carb_definition" dataDxfId="3">
      <calculatedColumnFormula>IF(LEFT(tbl_product_preparations[[#This Row],[source_key]],4)="USDA","US","EU")</calculatedColumnFormula>
    </tableColumn>
    <tableColumn id="3" xr3:uid="{4401564D-99BE-FF42-B9EE-8BAD0CF0EE82}" name="kcal_per_100g" dataDxfId="136"/>
    <tableColumn id="4" xr3:uid="{710D759F-C6A4-944E-893E-849DDEB3B82C}" name="kcal_per_100ml" dataDxfId="40">
      <calculatedColumnFormula>IF(
   ISNUMBER(tbl_product_preparations[[#This Row],[density_lookup]]),
   ROUND(tbl_product_preparations[[#This Row],[kcal_per_100g]]*tbl_product_preparations[[#This Row],[density_lookup]],1),
   ""
)</calculatedColumnFormula>
    </tableColumn>
    <tableColumn id="5" xr3:uid="{B8905D4A-806D-2444-93FA-0AB8D0279BA6}" name="protein_per_100g" dataDxfId="135"/>
    <tableColumn id="6" xr3:uid="{0FDCE4CC-249F-8547-BDC0-2BFCB82E3DE8}" name="carbs_per_100g" dataDxfId="134"/>
    <tableColumn id="7" xr3:uid="{AB91EF87-EE26-E24C-BEF4-076FD60A326C}" name="fat_per_100g" dataDxfId="133"/>
    <tableColumn id="20" xr3:uid="{9C57EDEA-4512-6941-B482-6E840C5F4A29}" name="alcohol_per_100g" dataDxfId="132"/>
    <tableColumn id="8" xr3:uid="{290D6CCA-75EC-2B4E-9028-C03AC69CCEBD}" name="fiber_per_100g" dataDxfId="131"/>
    <tableColumn id="9" xr3:uid="{40ED8413-7D39-0F41-880E-87F9171B3231}" name="sugar_per_100g" dataDxfId="130"/>
    <tableColumn id="43" xr3:uid="{E7B30F59-B74A-FF4D-AFBE-78F9AD9C7A2B}" name="sugar_fixed" dataDxfId="39">
      <calculatedColumnFormula>IF(tbl_product_preparations[[#This Row],[sugar_per_100g]]=0,tbl_product_preparations[[#This Row],[carbs_per_100g]],tbl_product_preparations[[#This Row],[sugar_per_100g]])</calculatedColumnFormula>
    </tableColumn>
    <tableColumn id="21" xr3:uid="{39E19244-E731-224E-A4B2-0EFD5F6142B4}" name="sodium_per_100g" dataDxfId="129"/>
    <tableColumn id="46" xr3:uid="{AE41AED3-A70D-1748-841F-5F53D229EC60}" name="sodium_fixed" dataDxfId="38">
      <calculatedColumnFormula>IF(tbl_product_preparations[[#This Row],[sodium_per_100g]]=0,
tbl_product_preparations[[#This Row],[salt_per_100g]]/2.5,
tbl_product_preparations[[#This Row],[sodium_per_100g]])</calculatedColumnFormula>
    </tableColumn>
    <tableColumn id="10" xr3:uid="{11C3CA49-C4CA-FB45-902D-1D703A2409F1}" name="salt_per_100g" dataDxfId="128">
      <calculatedColumnFormula>ROUND(tbl_product_preparations[[#This Row],[sodium_per_100g]]*2.5,3)</calculatedColumnFormula>
    </tableColumn>
    <tableColumn id="45" xr3:uid="{D739981E-7BBF-7548-BE6B-21650CC6AB84}" name="salt_fixed" dataDxfId="127">
      <calculatedColumnFormula>IF(tbl_product_preparations[[#This Row],[salt_per_100g]]=0,
tbl_product_preparations[[#This Row],[sodium_per_100g]]*2.5,
tbl_product_preparations[[#This Row],[salt_per_100g]])</calculatedColumnFormula>
    </tableColumn>
    <tableColumn id="11" xr3:uid="{67ADC1CD-2650-9B43-ACD7-E55FBC0578C0}" name="water_percent" dataDxfId="126"/>
    <tableColumn id="14" xr3:uid="{884264FA-58C5-7447-AB14-6678987BE70C}" name="energy_check" dataDxfId="37">
      <calculatedColumnFormula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calculatedColumnFormula>
    </tableColumn>
    <tableColumn id="12" xr3:uid="{FE965C89-5477-BE45-8FE9-E40453C42A7A}" name="kcal_calc" dataDxfId="36">
      <calculatedColumnFormula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calculatedColumnFormula>
    </tableColumn>
    <tableColumn id="13" xr3:uid="{BD1D0F32-CBFD-4F4B-84FF-24DBA668E998}" name="kcal_diff_percent" dataDxfId="35">
      <calculatedColumnFormula>IF(tbl_product_preparations[[#This Row],[kcal_per_100g]]=0,0,ABS((tbl_product_preparations[[#This Row],[kcal_per_100g]]-tbl_product_preparations[[#This Row],[kcal_calc]])/tbl_product_preparations[[#This Row],[kcal_per_100g]])*100)</calculatedColumnFormula>
    </tableColumn>
    <tableColumn id="15" xr3:uid="{0F2F3107-4DEB-FF47-AA00-03C37E468601}" name="kcal_macro_rounded" dataDxfId="34">
      <calculatedColumnFormula>ROUND(tbl_product_preparations[[#This Row],[kcal_calc]],1)</calculatedColumnFormula>
    </tableColumn>
    <tableColumn id="16" xr3:uid="{40474D2D-8D27-1F4D-8AEC-F6C23A5212CD}" name="macro_sum" dataDxfId="33">
      <calculatedColumnFormula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calculatedColumnFormula>
    </tableColumn>
    <tableColumn id="17" xr3:uid="{458F2DE2-AF07-134E-BB2A-73A2592915A7}" name="macro_check" dataDxfId="32">
      <calculatedColumnFormula>IF(
  tbl_product_preparations[[#This Row],[macro_sum]] &lt;=
  100 + _xlfn.XLOOKUP("WATER_TOTAL_TOLERANCE",tbl_config[config_key],tbl_config[config_value]),
  "OK",
  "ERROR"
)</calculatedColumnFormula>
    </tableColumn>
    <tableColumn id="18" xr3:uid="{90DACD79-9AB0-B748-BEEF-A07BBFBF6EEF}" name="density_lookup" dataDxfId="31">
      <calculatedColumnFormula>_xlfn.LET(
   _xlpm.d, _xlfn.XLOOKUP(tbl_product_preparations[[#This Row],[product_key]],tbl_products[product_key],tbl_products[density_g_per_ml]),
   IF(AND(ISNUMBER(_xlpm.d), _xlpm.d&gt;0), _xlpm.d, "")
)</calculatedColumnFormula>
    </tableColumn>
    <tableColumn id="19" xr3:uid="{3C820C26-4427-AC44-A1E7-AE8DA3B215AF}" name="density_check" dataDxfId="30">
      <calculatedColumnFormula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calculatedColumnFormula>
    </tableColumn>
    <tableColumn id="27" xr3:uid="{3BA11983-1994-9845-8090-541E0586F20A}" name="energy_score_lose" dataDxfId="29">
      <calculatedColumnFormula array="1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calculatedColumnFormula>
    </tableColumn>
    <tableColumn id="37" xr3:uid="{E79482D8-96F6-AA43-B9F3-17AD29ECDC0C}" name="energy_score_maintain" dataDxfId="28">
      <calculatedColumnFormula array="1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calculatedColumnFormula>
    </tableColumn>
    <tableColumn id="28" xr3:uid="{424C6CAC-D484-1C4E-A751-F89E843097F5}" name="energy_score_gain" dataDxfId="27">
      <calculatedColumnFormula array="1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calculatedColumnFormula>
    </tableColumn>
    <tableColumn id="29" xr3:uid="{A7F069B4-5497-E743-97C9-54127D9B1432}" name="protein_score" dataDxfId="26">
      <calculatedColumnFormula>IF(tbl_product_preparations[[#This Row],[kcal_per_100g]]&lt;5,
 0,
 MAX(0,MIN(100,
  ((tbl_product_preparations[[#This Row],[protein_per_100g]]/tbl_product_preparations[[#This Row],[kcal_per_100g]]*100 - 1) / 7 * 100)
 ))
)</calculatedColumnFormula>
    </tableColumn>
    <tableColumn id="30" xr3:uid="{F6FCA501-D6DA-944A-A1BC-315D9A85E664}" name="fiber_score" dataDxfId="25">
      <calculatedColumnFormula>IF(tbl_product_preparations[[#This Row],[kcal_per_100g]]&lt;5,
 0,
 MAX(0,MIN(100,(tbl_product_preparations[[#This Row],[fiber_per_100g]]/8*100)))
)</calculatedColumnFormula>
    </tableColumn>
    <tableColumn id="31" xr3:uid="{390DA86B-A24B-F74C-A629-87716D105E8B}" name="sugar_score" dataDxfId="24">
      <calculatedColumnFormula>MAX(0,MIN(100,100-(tbl_product_preparations[[#This Row],[sugar_per_100g]]/15*100)))</calculatedColumnFormula>
    </tableColumn>
    <tableColumn id="32" xr3:uid="{3A1CD832-359D-2A49-90BC-EB2312D8B5AA}" name="alcohol_score" dataDxfId="23">
      <calculatedColumnFormula>MAX(0,100-(tbl_product_preparations[[#This Row],[alcohol_per_100g]]*50))</calculatedColumnFormula>
    </tableColumn>
    <tableColumn id="33" xr3:uid="{4EB7BDD3-8A86-DD4C-B24E-BAB819574E89}" name="hydration_score" dataDxfId="22">
      <calculatedColumnFormula>ROUND(tbl_product_preparations[[#This Row],[water_percent]],0)</calculatedColumnFormula>
    </tableColumn>
    <tableColumn id="24" xr3:uid="{491F7062-1563-D54D-995A-9A47286B0028}" name="score_lose_weight" dataDxfId="21">
      <calculatedColumnFormula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calculatedColumnFormula>
    </tableColumn>
    <tableColumn id="25" xr3:uid="{97EBE4A7-900E-D740-8ED3-3467CF1ED363}" name="score_maintain" dataDxfId="20">
      <calculatedColumnFormula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calculatedColumnFormula>
    </tableColumn>
    <tableColumn id="26" xr3:uid="{FB0EAD3C-39F9-7D4D-815C-254E5A0CEEDC}" name="score_gain_weight" dataDxfId="19">
      <calculatedColumnFormula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calculatedColumnFormula>
    </tableColumn>
    <tableColumn id="34" xr3:uid="{E91BBFAE-7B1A-544A-BE4F-0A4D707E932D}" name="label_lose" dataDxfId="18">
      <calculatedColumnFormula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calculatedColumnFormula>
    </tableColumn>
    <tableColumn id="35" xr3:uid="{DDF6805A-9B12-C441-A1EE-CA4802E31665}" name="label_maintain" dataDxfId="17">
      <calculatedColumnFormula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calculatedColumnFormula>
    </tableColumn>
    <tableColumn id="36" xr3:uid="{19093322-5AED-ED48-8F30-2323A5B2FD56}" name="label_gain" dataDxfId="16">
      <calculatedColumnFormula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calculatedColumnFormula>
    </tableColumn>
    <tableColumn id="38" xr3:uid="{7E7D3A90-592C-D94C-917D-4B931DC0DFFF}" name="group_model_key_lookup" dataDxfId="15">
      <calculatedColumnFormula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calculatedColumnFormula>
    </tableColumn>
    <tableColumn id="53" xr3:uid="{553E4639-63E7-2E4D-8AB5-B37C68A68D44}" name="group_model_key_override" dataDxfId="14"/>
    <tableColumn id="42" xr3:uid="{BACE99F1-8300-AA4B-831E-D15498A399E3}" name="lose_modifier_group" dataDxfId="13">
      <calculatedColumnFormula>INDEX(tbl_products[lose_modifier_group],
MATCH(tbl_product_preparations[[#This Row],[product_key]],
tbl_products[product_key],0))</calculatedColumnFormula>
    </tableColumn>
    <tableColumn id="39" xr3:uid="{C5974425-DFD5-AB4F-949C-E37150A98105}" name="lose_modifier" dataDxfId="12">
      <calculatedColumnFormula>INDEX(BONUS_MALUS_LOSE[Modifier],
MATCH(tbl_product_preparations[[#This Row],[lose_modifier_group]],
BONUS_MALUS_LOSE[Group],0))</calculatedColumnFormula>
    </tableColumn>
    <tableColumn id="47" xr3:uid="{7117D44E-0004-6649-B61F-A09B9078AABE}" name="maintain_modifier_group" dataDxfId="11">
      <calculatedColumnFormula>INDEX(tbl_products[maintain_modifier_group],
MATCH(tbl_product_preparations[[#This Row],[product_key]],
tbl_products[product_key],0))</calculatedColumnFormula>
    </tableColumn>
    <tableColumn id="44" xr3:uid="{31BDC339-2FA6-DE43-98B4-9E5D9587B904}" name="maintain_modifier" dataDxfId="10">
      <calculatedColumnFormula>INDEX(BONUS_MALUS_MAINTAIN[Modifier],
MATCH(tbl_product_preparations[[#This Row],[maintain_modifier_group]],
BONUS_MALUS_MAINTAIN[Group],0))</calculatedColumnFormula>
    </tableColumn>
    <tableColumn id="48" xr3:uid="{170A0E2F-25FE-6B43-947B-713F3A4BDD3E}" name="gain_modifier_group" dataDxfId="9">
      <calculatedColumnFormula>INDEX(tbl_products[gain_modifier_group],
MATCH(tbl_product_preparations[[#This Row],[product_key]],
tbl_products[product_key],0))</calculatedColumnFormula>
    </tableColumn>
    <tableColumn id="49" xr3:uid="{FF318298-961B-F740-BFDE-43C46848DA8E}" name="gain_modifier" dataDxfId="8">
      <calculatedColumnFormula>INDEX(BONUS_MALUS_GAIN[Modifier],
MATCH(tbl_product_preparations[[#This Row],[gain_modifier_group]],
BONUS_MALUS_GAIN[Group],0))</calculatedColumnFormula>
    </tableColumn>
    <tableColumn id="50" xr3:uid="{3B9B2158-4666-0D45-93CC-0B10A810ABAE}" name="lose_preparation_modifier" dataDxfId="7">
      <calculatedColumnFormula>INDEX(PREPARATION_MODIFIERS[lose_preparation_modifier],
MATCH(tbl_product_preparations[[#This Row],[preparation_key]],
PREPARATION_MODIFIERS[preparation_key],0))</calculatedColumnFormula>
    </tableColumn>
    <tableColumn id="51" xr3:uid="{8AA9932C-833B-4348-A26B-77389D37060D}" name="maintain_preparation_modifier" dataDxfId="6">
      <calculatedColumnFormula>INDEX(PREPARATION_MODIFIERS[maintain_preparation_modifier],
MATCH(tbl_product_preparations[[#This Row],[preparation_key]],
PREPARATION_MODIFIERS[preparation_key],0))</calculatedColumnFormula>
    </tableColumn>
    <tableColumn id="52" xr3:uid="{C6824E32-2509-A244-9745-2F349F7172EB}" name="gain_preparation_modifier" dataDxfId="5">
      <calculatedColumnFormula>INDEX(PREPARATION_MODIFIERS[gain_preparation_modifier],
MATCH(tbl_product_preparations[[#This Row],[preparation_key]],
PREPARATION_MODIFIERS[preparation_key],0))</calculatedColumnFormula>
    </tableColumn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B1BC105-EB9B-ED45-8083-E24B15B1053C}" name="tbl_product_scores" displayName="tbl_product_scores" ref="A1:F316" totalsRowShown="0" headerRowDxfId="125" dataDxfId="124">
  <autoFilter ref="A1:F316" xr:uid="{3B1BC105-EB9B-ED45-8083-E24B15B1053C}"/>
  <tableColumns count="6">
    <tableColumn id="1" xr3:uid="{F2529B81-04E1-944F-941F-023E1E9FE696}" name="product_key" dataDxfId="123"/>
    <tableColumn id="2" xr3:uid="{97FF02DE-9DBE-8649-96B8-2E7204D73628}" name="preparation_key" dataDxfId="122"/>
    <tableColumn id="3" xr3:uid="{0A22269E-A8E0-884E-A9CB-847ADE3DFA44}" name="goal_key" dataDxfId="0"/>
    <tableColumn id="4" xr3:uid="{A750A107-F5C0-5647-A882-710AB6D7C894}" name="score_numeric" dataDxfId="2">
      <calculatedColumnFormula array="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calculatedColumnFormula>
    </tableColumn>
    <tableColumn id="5" xr3:uid="{F98C7040-D89F-FB4B-A6CB-567BFFC9752C}" name="score_grade" dataDxfId="1">
      <calculatedColumnFormula array="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calculatedColumnFormula>
    </tableColumn>
    <tableColumn id="6" xr3:uid="{9CA8CE9D-EB15-9347-8763-9D4182B3C8B4}" name="score_version" dataDxfId="121"/>
  </tableColumns>
  <tableStyleInfo name="TableStyleMedium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4DC05D3-07A3-904D-BCD4-589D10A8141F}" name="tbl_units" displayName="tbl_units" ref="A1:E43" totalsRowShown="0" headerRowDxfId="120" dataDxfId="119">
  <autoFilter ref="A1:E43" xr:uid="{64DC05D3-07A3-904D-BCD4-589D10A8141F}"/>
  <tableColumns count="5">
    <tableColumn id="1" xr3:uid="{A6E96346-18DD-2140-BA32-F31954738CDF}" name="unit_key" dataDxfId="118"/>
    <tableColumn id="2" xr3:uid="{DD284E3C-0BD3-BD4C-85AC-8CFB068CFADB}" name="unit_type" dataDxfId="117"/>
    <tableColumn id="3" xr3:uid="{CB9C2955-8E58-A949-A789-4B94E0FC2159}" name="is_base" dataDxfId="116"/>
    <tableColumn id="4" xr3:uid="{6083CCF8-8264-F84D-9D0E-A63AB38CD34A}" name="sort_order" dataDxfId="115"/>
    <tableColumn id="5" xr3:uid="{EF2F4DC5-071E-DF4A-986C-31F3C143B592}" name="description_internal" dataDxfId="114"/>
  </tableColumns>
  <tableStyleInfo name="TableStyleMedium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080819A-9A1F-2545-9E6D-072BCE8EBC17}" name="tbl_unit_translations" displayName="tbl_unit_translations" ref="A1:C211" totalsRowShown="0" headerRowDxfId="113" dataDxfId="112">
  <autoFilter ref="A1:C211" xr:uid="{9080819A-9A1F-2545-9E6D-072BCE8EBC17}"/>
  <tableColumns count="3">
    <tableColumn id="1" xr3:uid="{B1CE75B1-330B-E949-A6B5-FE58A25457FF}" name="unit_key" dataDxfId="111"/>
    <tableColumn id="2" xr3:uid="{DD9C5DEE-4037-8248-9C31-F76646E87422}" name="lang" dataDxfId="110"/>
    <tableColumn id="3" xr3:uid="{393149D3-4102-C648-BF35-D7176EEAF170}" name="label" dataDxfId="109"/>
  </tableColumns>
  <tableStyleInfo name="TableStyleMedium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7B7FC7B-45A0-F544-878E-1DD57EABC123}" name="tbl_portions" displayName="tbl_portions" ref="A1:G313" totalsRowShown="0" headerRowDxfId="108" dataDxfId="107">
  <autoFilter ref="A1:G313" xr:uid="{C7B7FC7B-45A0-F544-878E-1DD57EABC123}"/>
  <tableColumns count="7">
    <tableColumn id="1" xr3:uid="{5FD5FBE0-DDD6-0A48-9C9D-9C9ECAA0C7E5}" name="product_key" dataDxfId="106"/>
    <tableColumn id="2" xr3:uid="{0D5BFE61-0EA8-CD48-B786-4F7738710E8F}" name="preparation_key" dataDxfId="105"/>
    <tableColumn id="3" xr3:uid="{12812324-B20A-1D4D-8E99-724462FF873C}" name="unit_key" dataDxfId="104"/>
    <tableColumn id="4" xr3:uid="{328E84B6-4ECB-3B49-A412-4235A89F77AE}" name="grams" dataDxfId="103"/>
    <tableColumn id="5" xr3:uid="{4DF08A4A-023F-5140-8F63-773E035F7A01}" name="ml" dataDxfId="102"/>
    <tableColumn id="6" xr3:uid="{1D9F43A9-D6F4-A046-952A-B362B01FA729}" name="is_default" dataDxfId="101"/>
    <tableColumn id="7" xr3:uid="{3DBD7649-3705-D54E-A1B2-8B75EFD4675C}" name="sort_order" dataDxfId="100"/>
  </tableColumns>
  <tableStyleInfo name="TableStyleMedium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84C3032-0396-6145-81E5-1F7D2A86E758}" name="BONUS_MALUS_LOSE" displayName="BONUS_MALUS_LOSE" ref="B4:C11" totalsRowShown="0" headerRowDxfId="99" dataDxfId="98">
  <autoFilter ref="B4:C11" xr:uid="{184C3032-0396-6145-81E5-1F7D2A86E758}"/>
  <tableColumns count="2">
    <tableColumn id="1" xr3:uid="{70907F1F-35BA-E94C-B720-9ED188AC1293}" name="Group" dataDxfId="97"/>
    <tableColumn id="2" xr3:uid="{A056C8FA-F4A0-8D42-9EDA-194CE1A3194C}" name="Modifier" dataDxfId="96"/>
  </tableColumns>
  <tableStyleInfo name="TableStyleMedium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2D60B5D-3498-5A4C-9719-ED02A35863DD}" name="BONUS_MALUS_MAINTAIN" displayName="BONUS_MALUS_MAINTAIN" ref="E4:F11" totalsRowShown="0" headerRowDxfId="95" dataDxfId="94">
  <autoFilter ref="E4:F11" xr:uid="{82D60B5D-3498-5A4C-9719-ED02A35863DD}"/>
  <tableColumns count="2">
    <tableColumn id="1" xr3:uid="{94CE3D5B-B2F2-9F46-85E3-E7407DCC659F}" name="Group" dataDxfId="93"/>
    <tableColumn id="2" xr3:uid="{72126DA9-1584-564B-BEFB-4774096AC9B6}" name="Modifier" dataDxfId="92"/>
  </tableColumns>
  <tableStyleInfo name="TableStyleMedium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53C1E8D-91E6-7440-B4EE-2073D3034BB9}" name="BONUS_MALUS_GAIN" displayName="BONUS_MALUS_GAIN" ref="H4:I14" totalsRowShown="0" headerRowDxfId="91" dataDxfId="90">
  <autoFilter ref="H4:I14" xr:uid="{D53C1E8D-91E6-7440-B4EE-2073D3034BB9}"/>
  <tableColumns count="2">
    <tableColumn id="1" xr3:uid="{15C56F85-BCF2-744D-B362-A0326645694E}" name="Group" dataDxfId="89"/>
    <tableColumn id="2" xr3:uid="{98FC6250-CD2A-444B-A270-A0EE052B5427}" name="Modifier" dataDxfId="88"/>
  </tableColumns>
  <tableStyleInfo name="TableStyleMedium5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53679D5-5012-004B-9FFD-A78896DB7E96}" name="PREPARATION_MODIFIERS" displayName="PREPARATION_MODIFIERS" ref="K4:N19" totalsRowShown="0" headerRowDxfId="87" dataDxfId="86">
  <autoFilter ref="K4:N19" xr:uid="{853679D5-5012-004B-9FFD-A78896DB7E96}"/>
  <tableColumns count="4">
    <tableColumn id="1" xr3:uid="{18906C5E-544C-1547-9031-571835DAFBF9}" name="preparation_key" dataDxfId="85"/>
    <tableColumn id="2" xr3:uid="{2423BD17-0A6F-8B41-8B7F-009769A72B75}" name="lose_preparation_modifier" dataDxfId="84"/>
    <tableColumn id="3" xr3:uid="{DFF594AB-2974-DA4A-8ABD-4E1E72F40239}" name="maintain_preparation_modifier" dataDxfId="83"/>
    <tableColumn id="4" xr3:uid="{8264C4A3-B6BC-7040-BA75-D8AD84A9EE95}" name="gain_preparation_modifier" dataDxfId="82"/>
  </tableColumns>
  <tableStyleInfo name="TableStyleMedium5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3139C26-EC00-D34D-8CD6-CF9C78053600}" name="tbl_data_sources" displayName="tbl_data_sources" ref="A1:F10" totalsRowShown="0" headerRowDxfId="81" dataDxfId="80">
  <autoFilter ref="A1:F10" xr:uid="{E3139C26-EC00-D34D-8CD6-CF9C78053600}"/>
  <tableColumns count="6">
    <tableColumn id="1" xr3:uid="{210FA3A4-717D-5846-8A42-98A8D1176182}" name="source_key" dataDxfId="79"/>
    <tableColumn id="2" xr3:uid="{0E7A2425-3C6D-0E41-A395-9AF14A9F5D80}" name="name" dataDxfId="78"/>
    <tableColumn id="3" xr3:uid="{BBDD496F-0EC4-994C-A9BB-C86E19C15C9E}" name="country" dataDxfId="77"/>
    <tableColumn id="4" xr3:uid="{BF351DED-06DD-2E4D-A560-9A232CF1C1BD}" name="type" dataDxfId="76"/>
    <tableColumn id="5" xr3:uid="{099C8262-7709-C744-8CBA-1B1D474CEDD0}" name="official_url" dataDxfId="75"/>
    <tableColumn id="6" xr3:uid="{E3468C05-7BD2-8544-922E-255D3E38AE9B}" name="is_official" dataDxfId="74"/>
  </tableColumns>
  <tableStyleInfo name="TableStyleMedium5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9157793-43E6-2C42-9460-73A653F9AA29}" name="tbl_config" displayName="tbl_config" ref="A1:C7" totalsRowShown="0" headerRowDxfId="73" dataDxfId="72">
  <autoFilter ref="A1:C7" xr:uid="{69157793-43E6-2C42-9460-73A653F9AA29}"/>
  <tableColumns count="3">
    <tableColumn id="1" xr3:uid="{E3108ACA-C469-F542-AFEE-423B1F702F78}" name="config_key" dataDxfId="71"/>
    <tableColumn id="2" xr3:uid="{F3AE8762-DA0C-0441-9195-01D024CCC1AC}" name="config_value" dataDxfId="70"/>
    <tableColumn id="3" xr3:uid="{6CE69545-954A-D84A-9F18-E8818A3BCB29}" name="description_internal" dataDxfId="69"/>
  </tableColumns>
  <tableStyleInfo name="TableStyleMedium5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86D9562-164A-FC45-AD30-54A753CF69B7}" name="tbl_dropdown_group_key" displayName="tbl_dropdown_group_key" ref="B2:B14" totalsRowShown="0" headerRowDxfId="68" dataDxfId="66" headerRowBorderDxfId="67" tableBorderDxfId="65" totalsRowBorderDxfId="64">
  <autoFilter ref="B2:B14" xr:uid="{D86D9562-164A-FC45-AD30-54A753CF69B7}"/>
  <tableColumns count="1">
    <tableColumn id="1" xr3:uid="{7ABDEC87-6669-C04F-AA45-E7D5AD9C7EBE}" name="group_key" dataDxfId="63"/>
  </tableColumns>
  <tableStyleInfo name="TableStyleMedium5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524AE8E-1088-D743-9927-2D995F071865}" name="tbl_dropdown_false_true" displayName="tbl_dropdown_false_true" ref="D2:D4" totalsRowShown="0" headerRowDxfId="62" dataDxfId="61">
  <autoFilter ref="D2:D4" xr:uid="{E524AE8E-1088-D743-9927-2D995F071865}"/>
  <tableColumns count="1">
    <tableColumn id="1" xr3:uid="{1ED373BD-468D-934B-90A4-78F6523B535D}" name="true / false" dataDxfId="60"/>
  </tableColumns>
  <tableStyleInfo name="TableStyleMedium5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4E92F14-730F-3243-A54A-294D4C782A67}" name="tbl_dropdown_source_key" displayName="tbl_dropdown_source_key" ref="F2:F12" totalsRowShown="0" headerRowDxfId="59" dataDxfId="57" headerRowBorderDxfId="58" tableBorderDxfId="56" totalsRowBorderDxfId="55">
  <autoFilter ref="F2:F12" xr:uid="{A4E92F14-730F-3243-A54A-294D4C782A67}"/>
  <tableColumns count="1">
    <tableColumn id="1" xr3:uid="{802D05D3-9433-F740-8C73-86B3FD559E8A}" name="source_key" dataDxfId="54"/>
  </tableColumns>
  <tableStyleInfo name="TableStyleMedium5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0F0B6D0-EFEF-5143-BF27-1E77C57E5114}" name="Tabel18" displayName="Tabel18" ref="H2:I8" totalsRowShown="0" headerRowDxfId="53" dataDxfId="52">
  <autoFilter ref="H2:I8" xr:uid="{D0F0B6D0-EFEF-5143-BF27-1E77C57E5114}"/>
  <tableColumns count="2">
    <tableColumn id="1" xr3:uid="{BA090B5E-6FB0-E648-A3B2-B7A5CB8FB49F}" name="data_quality" dataDxfId="51"/>
    <tableColumn id="2" xr3:uid="{809781CB-1007-DD46-84F9-FED0D88C2D68}" name="betekenis" dataDxfId="50"/>
  </tableColumns>
  <tableStyleInfo name="TableStyleMedium5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977ED87-3134-854E-8A0F-33A8C08ABF86}" name="Tabel19" displayName="Tabel19" ref="K2:L5" totalsRowShown="0" headerRowDxfId="49" dataDxfId="48">
  <autoFilter ref="K2:L5" xr:uid="{B977ED87-3134-854E-8A0F-33A8C08ABF86}"/>
  <tableColumns count="2">
    <tableColumn id="1" xr3:uid="{7A13D323-7EB2-5C43-B040-B479837B2D18}" name="carb_definition" dataDxfId="47"/>
    <tableColumn id="2" xr3:uid="{6C345169-8EA8-B54D-AC9E-57B646D02977}" name="betekenis" dataDxfId="46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4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table" Target="../tables/table19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0C7C0-0561-2045-BA49-545E76F6A66B}">
  <dimension ref="A1:C13"/>
  <sheetViews>
    <sheetView zoomScale="120" zoomScaleNormal="120" workbookViewId="0">
      <selection activeCell="A3" sqref="A3"/>
    </sheetView>
  </sheetViews>
  <sheetFormatPr baseColWidth="10" defaultRowHeight="16" x14ac:dyDescent="0.2"/>
  <cols>
    <col min="1" max="1" width="14.83203125" style="4" customWidth="1"/>
    <col min="2" max="2" width="13.33203125" style="4" customWidth="1"/>
    <col min="3" max="3" width="21.33203125" style="4" customWidth="1"/>
    <col min="4" max="16384" width="10.83203125" style="4"/>
  </cols>
  <sheetData>
    <row r="1" spans="1:3" s="3" customFormat="1" x14ac:dyDescent="0.2">
      <c r="A1" s="6" t="s">
        <v>5</v>
      </c>
      <c r="B1" s="6" t="s">
        <v>6</v>
      </c>
      <c r="C1" s="6" t="s">
        <v>106</v>
      </c>
    </row>
    <row r="2" spans="1:3" x14ac:dyDescent="0.2">
      <c r="A2" s="1" t="s">
        <v>10</v>
      </c>
      <c r="B2" s="1">
        <v>1</v>
      </c>
      <c r="C2" s="4" t="s">
        <v>59</v>
      </c>
    </row>
    <row r="3" spans="1:3" x14ac:dyDescent="0.2">
      <c r="A3" s="1" t="s">
        <v>50</v>
      </c>
      <c r="B3" s="1">
        <v>2</v>
      </c>
      <c r="C3" s="4" t="s">
        <v>64</v>
      </c>
    </row>
    <row r="4" spans="1:3" x14ac:dyDescent="0.2">
      <c r="A4" s="1" t="s">
        <v>51</v>
      </c>
      <c r="B4" s="1">
        <v>3</v>
      </c>
      <c r="C4" s="4" t="s">
        <v>68</v>
      </c>
    </row>
    <row r="5" spans="1:3" x14ac:dyDescent="0.2">
      <c r="A5" s="1" t="s">
        <v>52</v>
      </c>
      <c r="B5" s="1">
        <v>4</v>
      </c>
      <c r="C5" s="4" t="s">
        <v>73</v>
      </c>
    </row>
    <row r="6" spans="1:3" x14ac:dyDescent="0.2">
      <c r="A6" s="1" t="s">
        <v>53</v>
      </c>
      <c r="B6" s="1">
        <v>5</v>
      </c>
      <c r="C6" s="4" t="s">
        <v>78</v>
      </c>
    </row>
    <row r="7" spans="1:3" x14ac:dyDescent="0.2">
      <c r="A7" s="1" t="s">
        <v>54</v>
      </c>
      <c r="B7" s="1">
        <v>6</v>
      </c>
      <c r="C7" s="4" t="s">
        <v>83</v>
      </c>
    </row>
    <row r="8" spans="1:3" x14ac:dyDescent="0.2">
      <c r="A8" s="1" t="s">
        <v>55</v>
      </c>
      <c r="B8" s="1">
        <v>7</v>
      </c>
      <c r="C8" s="4" t="s">
        <v>88</v>
      </c>
    </row>
    <row r="9" spans="1:3" x14ac:dyDescent="0.2">
      <c r="A9" s="1" t="s">
        <v>56</v>
      </c>
      <c r="B9" s="1">
        <v>8</v>
      </c>
      <c r="C9" s="4" t="s">
        <v>93</v>
      </c>
    </row>
    <row r="10" spans="1:3" x14ac:dyDescent="0.2">
      <c r="A10" s="1" t="s">
        <v>57</v>
      </c>
      <c r="B10" s="1">
        <v>9</v>
      </c>
      <c r="C10" s="4" t="s">
        <v>97</v>
      </c>
    </row>
    <row r="11" spans="1:3" x14ac:dyDescent="0.2">
      <c r="A11" s="1" t="s">
        <v>21</v>
      </c>
      <c r="B11" s="1">
        <v>10</v>
      </c>
      <c r="C11" s="4" t="s">
        <v>23</v>
      </c>
    </row>
    <row r="12" spans="1:3" x14ac:dyDescent="0.2">
      <c r="A12" s="1" t="s">
        <v>107</v>
      </c>
      <c r="B12" s="1">
        <v>11</v>
      </c>
      <c r="C12" s="4" t="s">
        <v>108</v>
      </c>
    </row>
    <row r="13" spans="1:3" x14ac:dyDescent="0.2">
      <c r="A13" s="1" t="s">
        <v>58</v>
      </c>
      <c r="B13" s="1">
        <v>99</v>
      </c>
      <c r="C13" s="4" t="s">
        <v>101</v>
      </c>
    </row>
  </sheetData>
  <sheetProtection sheet="1" objects="1" scenarios="1" selectLockedCells="1" selectUnlockedCells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7D352-AAE3-1643-BE8D-9593E66E373C}">
  <dimension ref="A1:C61"/>
  <sheetViews>
    <sheetView zoomScale="120" zoomScaleNormal="120" workbookViewId="0">
      <selection activeCell="B10" sqref="B10"/>
    </sheetView>
  </sheetViews>
  <sheetFormatPr baseColWidth="10" defaultRowHeight="16" x14ac:dyDescent="0.2"/>
  <cols>
    <col min="1" max="1" width="14.6640625" style="4" customWidth="1"/>
    <col min="2" max="2" width="8.6640625" style="4" customWidth="1"/>
    <col min="3" max="3" width="18" style="4" customWidth="1"/>
    <col min="4" max="16384" width="10.83203125" style="4"/>
  </cols>
  <sheetData>
    <row r="1" spans="1:3" s="3" customFormat="1" x14ac:dyDescent="0.2">
      <c r="A1" s="6" t="s">
        <v>5</v>
      </c>
      <c r="B1" s="6" t="s">
        <v>11</v>
      </c>
      <c r="C1" s="6" t="s">
        <v>12</v>
      </c>
    </row>
    <row r="2" spans="1:3" x14ac:dyDescent="0.2">
      <c r="A2" s="1" t="s">
        <v>10</v>
      </c>
      <c r="B2" s="1" t="s">
        <v>13</v>
      </c>
      <c r="C2" s="1" t="s">
        <v>59</v>
      </c>
    </row>
    <row r="3" spans="1:3" x14ac:dyDescent="0.2">
      <c r="A3" s="1" t="s">
        <v>10</v>
      </c>
      <c r="B3" s="1" t="s">
        <v>14</v>
      </c>
      <c r="C3" s="1" t="s">
        <v>60</v>
      </c>
    </row>
    <row r="4" spans="1:3" x14ac:dyDescent="0.2">
      <c r="A4" s="1" t="s">
        <v>10</v>
      </c>
      <c r="B4" s="1" t="s">
        <v>17</v>
      </c>
      <c r="C4" s="1" t="s">
        <v>61</v>
      </c>
    </row>
    <row r="5" spans="1:3" x14ac:dyDescent="0.2">
      <c r="A5" s="1" t="s">
        <v>10</v>
      </c>
      <c r="B5" s="1" t="s">
        <v>15</v>
      </c>
      <c r="C5" s="1" t="s">
        <v>62</v>
      </c>
    </row>
    <row r="6" spans="1:3" x14ac:dyDescent="0.2">
      <c r="A6" s="1" t="s">
        <v>10</v>
      </c>
      <c r="B6" s="1" t="s">
        <v>19</v>
      </c>
      <c r="C6" s="1" t="s">
        <v>63</v>
      </c>
    </row>
    <row r="7" spans="1:3" x14ac:dyDescent="0.2">
      <c r="A7" s="1" t="s">
        <v>50</v>
      </c>
      <c r="B7" s="1" t="s">
        <v>13</v>
      </c>
      <c r="C7" s="1" t="s">
        <v>64</v>
      </c>
    </row>
    <row r="8" spans="1:3" x14ac:dyDescent="0.2">
      <c r="A8" s="1" t="s">
        <v>50</v>
      </c>
      <c r="B8" s="1" t="s">
        <v>14</v>
      </c>
      <c r="C8" s="1" t="s">
        <v>65</v>
      </c>
    </row>
    <row r="9" spans="1:3" x14ac:dyDescent="0.2">
      <c r="A9" s="1" t="s">
        <v>50</v>
      </c>
      <c r="B9" s="1" t="s">
        <v>17</v>
      </c>
      <c r="C9" s="1" t="s">
        <v>65</v>
      </c>
    </row>
    <row r="10" spans="1:3" x14ac:dyDescent="0.2">
      <c r="A10" s="1" t="s">
        <v>50</v>
      </c>
      <c r="B10" s="1" t="s">
        <v>15</v>
      </c>
      <c r="C10" s="1" t="s">
        <v>66</v>
      </c>
    </row>
    <row r="11" spans="1:3" x14ac:dyDescent="0.2">
      <c r="A11" s="1" t="s">
        <v>50</v>
      </c>
      <c r="B11" s="1" t="s">
        <v>19</v>
      </c>
      <c r="C11" s="1" t="s">
        <v>67</v>
      </c>
    </row>
    <row r="12" spans="1:3" x14ac:dyDescent="0.2">
      <c r="A12" s="1" t="s">
        <v>51</v>
      </c>
      <c r="B12" s="1" t="s">
        <v>13</v>
      </c>
      <c r="C12" s="1" t="s">
        <v>68</v>
      </c>
    </row>
    <row r="13" spans="1:3" x14ac:dyDescent="0.2">
      <c r="A13" s="1" t="s">
        <v>51</v>
      </c>
      <c r="B13" s="1" t="s">
        <v>14</v>
      </c>
      <c r="C13" s="1" t="s">
        <v>69</v>
      </c>
    </row>
    <row r="14" spans="1:3" x14ac:dyDescent="0.2">
      <c r="A14" s="1" t="s">
        <v>51</v>
      </c>
      <c r="B14" s="1" t="s">
        <v>17</v>
      </c>
      <c r="C14" s="1" t="s">
        <v>70</v>
      </c>
    </row>
    <row r="15" spans="1:3" x14ac:dyDescent="0.2">
      <c r="A15" s="1" t="s">
        <v>51</v>
      </c>
      <c r="B15" s="1" t="s">
        <v>15</v>
      </c>
      <c r="C15" s="1" t="s">
        <v>71</v>
      </c>
    </row>
    <row r="16" spans="1:3" x14ac:dyDescent="0.2">
      <c r="A16" s="1" t="s">
        <v>51</v>
      </c>
      <c r="B16" s="1" t="s">
        <v>19</v>
      </c>
      <c r="C16" s="1" t="s">
        <v>72</v>
      </c>
    </row>
    <row r="17" spans="1:3" x14ac:dyDescent="0.2">
      <c r="A17" s="1" t="s">
        <v>52</v>
      </c>
      <c r="B17" s="1" t="s">
        <v>13</v>
      </c>
      <c r="C17" s="1" t="s">
        <v>73</v>
      </c>
    </row>
    <row r="18" spans="1:3" x14ac:dyDescent="0.2">
      <c r="A18" s="1" t="s">
        <v>52</v>
      </c>
      <c r="B18" s="1" t="s">
        <v>14</v>
      </c>
      <c r="C18" s="1" t="s">
        <v>74</v>
      </c>
    </row>
    <row r="19" spans="1:3" x14ac:dyDescent="0.2">
      <c r="A19" s="1" t="s">
        <v>52</v>
      </c>
      <c r="B19" s="1" t="s">
        <v>17</v>
      </c>
      <c r="C19" s="1" t="s">
        <v>75</v>
      </c>
    </row>
    <row r="20" spans="1:3" x14ac:dyDescent="0.2">
      <c r="A20" s="1" t="s">
        <v>52</v>
      </c>
      <c r="B20" s="1" t="s">
        <v>15</v>
      </c>
      <c r="C20" s="1" t="s">
        <v>76</v>
      </c>
    </row>
    <row r="21" spans="1:3" x14ac:dyDescent="0.2">
      <c r="A21" s="1" t="s">
        <v>52</v>
      </c>
      <c r="B21" s="1" t="s">
        <v>19</v>
      </c>
      <c r="C21" s="1" t="s">
        <v>77</v>
      </c>
    </row>
    <row r="22" spans="1:3" x14ac:dyDescent="0.2">
      <c r="A22" s="1" t="s">
        <v>53</v>
      </c>
      <c r="B22" s="1" t="s">
        <v>13</v>
      </c>
      <c r="C22" s="1" t="s">
        <v>78</v>
      </c>
    </row>
    <row r="23" spans="1:3" x14ac:dyDescent="0.2">
      <c r="A23" s="1" t="s">
        <v>53</v>
      </c>
      <c r="B23" s="1" t="s">
        <v>14</v>
      </c>
      <c r="C23" s="1" t="s">
        <v>79</v>
      </c>
    </row>
    <row r="24" spans="1:3" x14ac:dyDescent="0.2">
      <c r="A24" s="1" t="s">
        <v>53</v>
      </c>
      <c r="B24" s="1" t="s">
        <v>17</v>
      </c>
      <c r="C24" s="1" t="s">
        <v>80</v>
      </c>
    </row>
    <row r="25" spans="1:3" x14ac:dyDescent="0.2">
      <c r="A25" s="1" t="s">
        <v>53</v>
      </c>
      <c r="B25" s="1" t="s">
        <v>15</v>
      </c>
      <c r="C25" s="1" t="s">
        <v>81</v>
      </c>
    </row>
    <row r="26" spans="1:3" x14ac:dyDescent="0.2">
      <c r="A26" s="1" t="s">
        <v>53</v>
      </c>
      <c r="B26" s="1" t="s">
        <v>19</v>
      </c>
      <c r="C26" s="1" t="s">
        <v>82</v>
      </c>
    </row>
    <row r="27" spans="1:3" x14ac:dyDescent="0.2">
      <c r="A27" s="1" t="s">
        <v>54</v>
      </c>
      <c r="B27" s="1" t="s">
        <v>13</v>
      </c>
      <c r="C27" s="1" t="s">
        <v>83</v>
      </c>
    </row>
    <row r="28" spans="1:3" x14ac:dyDescent="0.2">
      <c r="A28" s="1" t="s">
        <v>54</v>
      </c>
      <c r="B28" s="1" t="s">
        <v>14</v>
      </c>
      <c r="C28" s="1" t="s">
        <v>84</v>
      </c>
    </row>
    <row r="29" spans="1:3" x14ac:dyDescent="0.2">
      <c r="A29" s="1" t="s">
        <v>54</v>
      </c>
      <c r="B29" s="1" t="s">
        <v>17</v>
      </c>
      <c r="C29" s="1" t="s">
        <v>85</v>
      </c>
    </row>
    <row r="30" spans="1:3" x14ac:dyDescent="0.2">
      <c r="A30" s="1" t="s">
        <v>54</v>
      </c>
      <c r="B30" s="1" t="s">
        <v>15</v>
      </c>
      <c r="C30" s="1" t="s">
        <v>86</v>
      </c>
    </row>
    <row r="31" spans="1:3" x14ac:dyDescent="0.2">
      <c r="A31" s="1" t="s">
        <v>54</v>
      </c>
      <c r="B31" s="1" t="s">
        <v>19</v>
      </c>
      <c r="C31" s="1" t="s">
        <v>87</v>
      </c>
    </row>
    <row r="32" spans="1:3" x14ac:dyDescent="0.2">
      <c r="A32" s="1" t="s">
        <v>55</v>
      </c>
      <c r="B32" s="1" t="s">
        <v>13</v>
      </c>
      <c r="C32" s="1" t="s">
        <v>88</v>
      </c>
    </row>
    <row r="33" spans="1:3" x14ac:dyDescent="0.2">
      <c r="A33" s="1" t="s">
        <v>55</v>
      </c>
      <c r="B33" s="1" t="s">
        <v>14</v>
      </c>
      <c r="C33" s="1" t="s">
        <v>89</v>
      </c>
    </row>
    <row r="34" spans="1:3" x14ac:dyDescent="0.2">
      <c r="A34" s="1" t="s">
        <v>55</v>
      </c>
      <c r="B34" s="1" t="s">
        <v>17</v>
      </c>
      <c r="C34" s="1" t="s">
        <v>90</v>
      </c>
    </row>
    <row r="35" spans="1:3" x14ac:dyDescent="0.2">
      <c r="A35" s="1" t="s">
        <v>55</v>
      </c>
      <c r="B35" s="1" t="s">
        <v>15</v>
      </c>
      <c r="C35" s="1" t="s">
        <v>91</v>
      </c>
    </row>
    <row r="36" spans="1:3" x14ac:dyDescent="0.2">
      <c r="A36" s="1" t="s">
        <v>55</v>
      </c>
      <c r="B36" s="1" t="s">
        <v>19</v>
      </c>
      <c r="C36" s="1" t="s">
        <v>92</v>
      </c>
    </row>
    <row r="37" spans="1:3" x14ac:dyDescent="0.2">
      <c r="A37" s="1" t="s">
        <v>56</v>
      </c>
      <c r="B37" s="1" t="s">
        <v>13</v>
      </c>
      <c r="C37" s="1" t="s">
        <v>93</v>
      </c>
    </row>
    <row r="38" spans="1:3" x14ac:dyDescent="0.2">
      <c r="A38" s="1" t="s">
        <v>56</v>
      </c>
      <c r="B38" s="1" t="s">
        <v>14</v>
      </c>
      <c r="C38" s="1" t="s">
        <v>94</v>
      </c>
    </row>
    <row r="39" spans="1:3" x14ac:dyDescent="0.2">
      <c r="A39" s="1" t="s">
        <v>56</v>
      </c>
      <c r="B39" s="1" t="s">
        <v>17</v>
      </c>
      <c r="C39" s="1" t="s">
        <v>95</v>
      </c>
    </row>
    <row r="40" spans="1:3" x14ac:dyDescent="0.2">
      <c r="A40" s="1" t="s">
        <v>56</v>
      </c>
      <c r="B40" s="1" t="s">
        <v>15</v>
      </c>
      <c r="C40" s="1" t="s">
        <v>96</v>
      </c>
    </row>
    <row r="41" spans="1:3" x14ac:dyDescent="0.2">
      <c r="A41" s="1" t="s">
        <v>56</v>
      </c>
      <c r="B41" s="1" t="s">
        <v>19</v>
      </c>
      <c r="C41" s="1" t="s">
        <v>113</v>
      </c>
    </row>
    <row r="42" spans="1:3" x14ac:dyDescent="0.2">
      <c r="A42" s="1" t="s">
        <v>57</v>
      </c>
      <c r="B42" s="1" t="s">
        <v>13</v>
      </c>
      <c r="C42" s="1" t="s">
        <v>97</v>
      </c>
    </row>
    <row r="43" spans="1:3" x14ac:dyDescent="0.2">
      <c r="A43" s="1" t="s">
        <v>57</v>
      </c>
      <c r="B43" s="1" t="s">
        <v>14</v>
      </c>
      <c r="C43" s="1" t="s">
        <v>98</v>
      </c>
    </row>
    <row r="44" spans="1:3" x14ac:dyDescent="0.2">
      <c r="A44" s="1" t="s">
        <v>57</v>
      </c>
      <c r="B44" s="1" t="s">
        <v>17</v>
      </c>
      <c r="C44" s="1" t="s">
        <v>99</v>
      </c>
    </row>
    <row r="45" spans="1:3" x14ac:dyDescent="0.2">
      <c r="A45" s="1" t="s">
        <v>57</v>
      </c>
      <c r="B45" s="1" t="s">
        <v>15</v>
      </c>
      <c r="C45" s="1" t="s">
        <v>100</v>
      </c>
    </row>
    <row r="46" spans="1:3" x14ac:dyDescent="0.2">
      <c r="A46" s="1" t="s">
        <v>57</v>
      </c>
      <c r="B46" s="1" t="s">
        <v>19</v>
      </c>
      <c r="C46" s="1" t="s">
        <v>114</v>
      </c>
    </row>
    <row r="47" spans="1:3" x14ac:dyDescent="0.2">
      <c r="A47" s="1" t="s">
        <v>21</v>
      </c>
      <c r="B47" s="1" t="s">
        <v>13</v>
      </c>
      <c r="C47" s="1" t="s">
        <v>23</v>
      </c>
    </row>
    <row r="48" spans="1:3" x14ac:dyDescent="0.2">
      <c r="A48" s="1" t="s">
        <v>21</v>
      </c>
      <c r="B48" s="1" t="s">
        <v>14</v>
      </c>
      <c r="C48" s="1" t="s">
        <v>24</v>
      </c>
    </row>
    <row r="49" spans="1:3" x14ac:dyDescent="0.2">
      <c r="A49" s="1" t="s">
        <v>21</v>
      </c>
      <c r="B49" s="1" t="s">
        <v>17</v>
      </c>
      <c r="C49" s="1" t="s">
        <v>26</v>
      </c>
    </row>
    <row r="50" spans="1:3" x14ac:dyDescent="0.2">
      <c r="A50" s="1" t="s">
        <v>21</v>
      </c>
      <c r="B50" s="1" t="s">
        <v>15</v>
      </c>
      <c r="C50" s="1" t="s">
        <v>25</v>
      </c>
    </row>
    <row r="51" spans="1:3" x14ac:dyDescent="0.2">
      <c r="A51" s="1" t="s">
        <v>21</v>
      </c>
      <c r="B51" s="1" t="s">
        <v>19</v>
      </c>
      <c r="C51" s="1" t="s">
        <v>27</v>
      </c>
    </row>
    <row r="52" spans="1:3" x14ac:dyDescent="0.2">
      <c r="A52" s="1" t="s">
        <v>107</v>
      </c>
      <c r="B52" s="1" t="s">
        <v>13</v>
      </c>
      <c r="C52" s="1" t="s">
        <v>108</v>
      </c>
    </row>
    <row r="53" spans="1:3" x14ac:dyDescent="0.2">
      <c r="A53" s="1" t="s">
        <v>107</v>
      </c>
      <c r="B53" s="1" t="s">
        <v>14</v>
      </c>
      <c r="C53" s="1" t="s">
        <v>109</v>
      </c>
    </row>
    <row r="54" spans="1:3" x14ac:dyDescent="0.2">
      <c r="A54" s="1" t="s">
        <v>107</v>
      </c>
      <c r="B54" s="1" t="s">
        <v>17</v>
      </c>
      <c r="C54" s="1" t="s">
        <v>110</v>
      </c>
    </row>
    <row r="55" spans="1:3" x14ac:dyDescent="0.2">
      <c r="A55" s="1" t="s">
        <v>107</v>
      </c>
      <c r="B55" s="1" t="s">
        <v>15</v>
      </c>
      <c r="C55" s="1" t="s">
        <v>111</v>
      </c>
    </row>
    <row r="56" spans="1:3" x14ac:dyDescent="0.2">
      <c r="A56" s="1" t="s">
        <v>107</v>
      </c>
      <c r="B56" s="1" t="s">
        <v>19</v>
      </c>
      <c r="C56" s="1" t="s">
        <v>112</v>
      </c>
    </row>
    <row r="57" spans="1:3" x14ac:dyDescent="0.2">
      <c r="A57" s="1" t="s">
        <v>58</v>
      </c>
      <c r="B57" s="1" t="s">
        <v>13</v>
      </c>
      <c r="C57" s="1" t="s">
        <v>101</v>
      </c>
    </row>
    <row r="58" spans="1:3" x14ac:dyDescent="0.2">
      <c r="A58" s="1" t="s">
        <v>58</v>
      </c>
      <c r="B58" s="1" t="s">
        <v>14</v>
      </c>
      <c r="C58" s="1" t="s">
        <v>102</v>
      </c>
    </row>
    <row r="59" spans="1:3" x14ac:dyDescent="0.2">
      <c r="A59" s="1" t="s">
        <v>58</v>
      </c>
      <c r="B59" s="1" t="s">
        <v>17</v>
      </c>
      <c r="C59" s="1" t="s">
        <v>103</v>
      </c>
    </row>
    <row r="60" spans="1:3" x14ac:dyDescent="0.2">
      <c r="A60" s="1" t="s">
        <v>58</v>
      </c>
      <c r="B60" s="1" t="s">
        <v>15</v>
      </c>
      <c r="C60" s="1" t="s">
        <v>104</v>
      </c>
    </row>
    <row r="61" spans="1:3" x14ac:dyDescent="0.2">
      <c r="A61" s="1" t="s">
        <v>58</v>
      </c>
      <c r="B61" s="1" t="s">
        <v>19</v>
      </c>
      <c r="C61" s="1" t="s">
        <v>105</v>
      </c>
    </row>
  </sheetData>
  <sheetProtection sheet="1" objects="1" scenarios="1" selectLockedCells="1" selectUnlockedCells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2164A-721E-3544-9471-CFBEE3D886D1}">
  <dimension ref="A1:D40"/>
  <sheetViews>
    <sheetView zoomScale="120" zoomScaleNormal="120" workbookViewId="0">
      <selection activeCell="F29" sqref="F29"/>
    </sheetView>
  </sheetViews>
  <sheetFormatPr baseColWidth="10" defaultRowHeight="16" x14ac:dyDescent="0.2"/>
  <cols>
    <col min="1" max="4" width="19.1640625" style="1" customWidth="1"/>
    <col min="5" max="16384" width="10.83203125" style="1"/>
  </cols>
  <sheetData>
    <row r="1" spans="1:4" s="5" customFormat="1" x14ac:dyDescent="0.2">
      <c r="A1" s="8" t="s">
        <v>412</v>
      </c>
      <c r="B1" s="8" t="s">
        <v>465</v>
      </c>
      <c r="C1" s="8" t="s">
        <v>430</v>
      </c>
      <c r="D1" s="8" t="s">
        <v>431</v>
      </c>
    </row>
    <row r="2" spans="1:4" x14ac:dyDescent="0.2">
      <c r="A2" s="11" t="s">
        <v>485</v>
      </c>
      <c r="B2" s="11" t="s">
        <v>10</v>
      </c>
      <c r="C2" s="11">
        <v>30</v>
      </c>
      <c r="D2" s="11">
        <v>20</v>
      </c>
    </row>
    <row r="3" spans="1:4" x14ac:dyDescent="0.2">
      <c r="A3" s="11" t="s">
        <v>485</v>
      </c>
      <c r="B3" s="11" t="s">
        <v>50</v>
      </c>
      <c r="C3" s="11">
        <v>70</v>
      </c>
      <c r="D3" s="11">
        <v>35</v>
      </c>
    </row>
    <row r="4" spans="1:4" x14ac:dyDescent="0.2">
      <c r="A4" s="11" t="s">
        <v>485</v>
      </c>
      <c r="B4" s="1" t="s">
        <v>987</v>
      </c>
      <c r="C4" s="11">
        <v>180</v>
      </c>
      <c r="D4" s="11">
        <v>80</v>
      </c>
    </row>
    <row r="5" spans="1:4" x14ac:dyDescent="0.2">
      <c r="A5" s="11" t="s">
        <v>485</v>
      </c>
      <c r="B5" s="11" t="s">
        <v>51</v>
      </c>
      <c r="C5" s="11">
        <v>160</v>
      </c>
      <c r="D5" s="11">
        <v>70</v>
      </c>
    </row>
    <row r="6" spans="1:4" x14ac:dyDescent="0.2">
      <c r="A6" s="11" t="s">
        <v>485</v>
      </c>
      <c r="B6" s="11" t="s">
        <v>52</v>
      </c>
      <c r="C6" s="11">
        <v>140</v>
      </c>
      <c r="D6" s="11">
        <v>60</v>
      </c>
    </row>
    <row r="7" spans="1:4" x14ac:dyDescent="0.2">
      <c r="A7" s="11" t="s">
        <v>485</v>
      </c>
      <c r="B7" s="11" t="s">
        <v>53</v>
      </c>
      <c r="C7" s="11">
        <v>180</v>
      </c>
      <c r="D7" s="11">
        <v>80</v>
      </c>
    </row>
    <row r="8" spans="1:4" x14ac:dyDescent="0.2">
      <c r="A8" s="11" t="s">
        <v>485</v>
      </c>
      <c r="B8" s="1" t="s">
        <v>54</v>
      </c>
      <c r="C8" s="11">
        <v>90</v>
      </c>
      <c r="D8" s="11">
        <v>40</v>
      </c>
    </row>
    <row r="9" spans="1:4" x14ac:dyDescent="0.2">
      <c r="A9" s="11" t="s">
        <v>485</v>
      </c>
      <c r="B9" s="11" t="s">
        <v>55</v>
      </c>
      <c r="C9" s="11">
        <v>120</v>
      </c>
      <c r="D9" s="11">
        <v>60</v>
      </c>
    </row>
    <row r="10" spans="1:4" x14ac:dyDescent="0.2">
      <c r="A10" s="11" t="s">
        <v>485</v>
      </c>
      <c r="B10" s="11" t="s">
        <v>56</v>
      </c>
      <c r="C10" s="11">
        <v>220</v>
      </c>
      <c r="D10" s="11">
        <v>70</v>
      </c>
    </row>
    <row r="11" spans="1:4" x14ac:dyDescent="0.2">
      <c r="A11" s="11" t="s">
        <v>485</v>
      </c>
      <c r="B11" s="11" t="s">
        <v>57</v>
      </c>
      <c r="C11" s="11">
        <v>400</v>
      </c>
      <c r="D11" s="11">
        <v>120</v>
      </c>
    </row>
    <row r="12" spans="1:4" x14ac:dyDescent="0.2">
      <c r="A12" s="11" t="s">
        <v>485</v>
      </c>
      <c r="B12" s="11" t="s">
        <v>21</v>
      </c>
      <c r="C12" s="11">
        <v>40</v>
      </c>
      <c r="D12" s="11">
        <v>40</v>
      </c>
    </row>
    <row r="13" spans="1:4" x14ac:dyDescent="0.2">
      <c r="A13" s="11" t="s">
        <v>485</v>
      </c>
      <c r="B13" s="11" t="s">
        <v>107</v>
      </c>
      <c r="C13" s="11">
        <v>220</v>
      </c>
      <c r="D13" s="11">
        <v>90</v>
      </c>
    </row>
    <row r="14" spans="1:4" x14ac:dyDescent="0.2">
      <c r="A14" s="11" t="s">
        <v>485</v>
      </c>
      <c r="B14" s="11" t="s">
        <v>58</v>
      </c>
      <c r="C14" s="11">
        <v>150</v>
      </c>
      <c r="D14" s="11">
        <v>80</v>
      </c>
    </row>
    <row r="15" spans="1:4" x14ac:dyDescent="0.2">
      <c r="A15" s="11" t="s">
        <v>486</v>
      </c>
      <c r="B15" s="11" t="s">
        <v>10</v>
      </c>
      <c r="C15" s="11">
        <v>40</v>
      </c>
      <c r="D15" s="11">
        <v>25</v>
      </c>
    </row>
    <row r="16" spans="1:4" x14ac:dyDescent="0.2">
      <c r="A16" s="11" t="s">
        <v>486</v>
      </c>
      <c r="B16" s="11" t="s">
        <v>50</v>
      </c>
      <c r="C16" s="11">
        <v>80</v>
      </c>
      <c r="D16" s="11">
        <v>45</v>
      </c>
    </row>
    <row r="17" spans="1:4" x14ac:dyDescent="0.2">
      <c r="A17" s="11" t="s">
        <v>486</v>
      </c>
      <c r="B17" s="1" t="s">
        <v>987</v>
      </c>
      <c r="C17" s="11">
        <v>250</v>
      </c>
      <c r="D17" s="11">
        <v>100</v>
      </c>
    </row>
    <row r="18" spans="1:4" x14ac:dyDescent="0.2">
      <c r="A18" s="11" t="s">
        <v>486</v>
      </c>
      <c r="B18" s="11" t="s">
        <v>51</v>
      </c>
      <c r="C18" s="11">
        <v>200</v>
      </c>
      <c r="D18" s="11">
        <v>80</v>
      </c>
    </row>
    <row r="19" spans="1:4" x14ac:dyDescent="0.2">
      <c r="A19" s="11" t="s">
        <v>486</v>
      </c>
      <c r="B19" s="11" t="s">
        <v>52</v>
      </c>
      <c r="C19" s="11">
        <v>180</v>
      </c>
      <c r="D19" s="11">
        <v>70</v>
      </c>
    </row>
    <row r="20" spans="1:4" x14ac:dyDescent="0.2">
      <c r="A20" s="11" t="s">
        <v>486</v>
      </c>
      <c r="B20" s="11" t="s">
        <v>53</v>
      </c>
      <c r="C20" s="11">
        <v>300</v>
      </c>
      <c r="D20" s="11">
        <v>90</v>
      </c>
    </row>
    <row r="21" spans="1:4" x14ac:dyDescent="0.2">
      <c r="A21" s="11" t="s">
        <v>486</v>
      </c>
      <c r="B21" s="1" t="s">
        <v>54</v>
      </c>
      <c r="C21" s="11">
        <v>120</v>
      </c>
      <c r="D21" s="11">
        <v>60</v>
      </c>
    </row>
    <row r="22" spans="1:4" x14ac:dyDescent="0.2">
      <c r="A22" s="11" t="s">
        <v>486</v>
      </c>
      <c r="B22" s="11" t="s">
        <v>55</v>
      </c>
      <c r="C22" s="11">
        <v>200</v>
      </c>
      <c r="D22" s="11">
        <v>80</v>
      </c>
    </row>
    <row r="23" spans="1:4" x14ac:dyDescent="0.2">
      <c r="A23" s="11" t="s">
        <v>486</v>
      </c>
      <c r="B23" s="11" t="s">
        <v>56</v>
      </c>
      <c r="C23" s="11">
        <v>250</v>
      </c>
      <c r="D23" s="11">
        <v>70</v>
      </c>
    </row>
    <row r="24" spans="1:4" x14ac:dyDescent="0.2">
      <c r="A24" s="11" t="s">
        <v>486</v>
      </c>
      <c r="B24" s="11" t="s">
        <v>57</v>
      </c>
      <c r="C24" s="11">
        <v>500</v>
      </c>
      <c r="D24" s="11">
        <v>150</v>
      </c>
    </row>
    <row r="25" spans="1:4" x14ac:dyDescent="0.2">
      <c r="A25" s="11" t="s">
        <v>486</v>
      </c>
      <c r="B25" s="11" t="s">
        <v>21</v>
      </c>
      <c r="C25" s="11">
        <v>60</v>
      </c>
      <c r="D25" s="11">
        <v>50</v>
      </c>
    </row>
    <row r="26" spans="1:4" x14ac:dyDescent="0.2">
      <c r="A26" s="11" t="s">
        <v>486</v>
      </c>
      <c r="B26" s="11" t="s">
        <v>107</v>
      </c>
      <c r="C26" s="11">
        <v>300</v>
      </c>
      <c r="D26" s="11">
        <v>120</v>
      </c>
    </row>
    <row r="27" spans="1:4" x14ac:dyDescent="0.2">
      <c r="A27" s="11" t="s">
        <v>486</v>
      </c>
      <c r="B27" s="11" t="s">
        <v>58</v>
      </c>
      <c r="C27" s="11">
        <v>200</v>
      </c>
      <c r="D27" s="11">
        <v>100</v>
      </c>
    </row>
    <row r="28" spans="1:4" x14ac:dyDescent="0.2">
      <c r="A28" s="1" t="s">
        <v>487</v>
      </c>
      <c r="B28" s="11" t="s">
        <v>10</v>
      </c>
      <c r="C28" s="11">
        <v>60</v>
      </c>
      <c r="D28" s="11">
        <v>40</v>
      </c>
    </row>
    <row r="29" spans="1:4" x14ac:dyDescent="0.2">
      <c r="A29" s="1" t="s">
        <v>487</v>
      </c>
      <c r="B29" s="11" t="s">
        <v>50</v>
      </c>
      <c r="C29" s="11">
        <v>120</v>
      </c>
      <c r="D29" s="11">
        <v>60</v>
      </c>
    </row>
    <row r="30" spans="1:4" x14ac:dyDescent="0.2">
      <c r="A30" s="1" t="s">
        <v>487</v>
      </c>
      <c r="B30" s="1" t="s">
        <v>987</v>
      </c>
      <c r="C30" s="11">
        <v>350</v>
      </c>
      <c r="D30" s="11">
        <v>150</v>
      </c>
    </row>
    <row r="31" spans="1:4" x14ac:dyDescent="0.2">
      <c r="A31" s="1" t="s">
        <v>487</v>
      </c>
      <c r="B31" s="11" t="s">
        <v>51</v>
      </c>
      <c r="C31" s="11">
        <v>250</v>
      </c>
      <c r="D31" s="11">
        <v>90</v>
      </c>
    </row>
    <row r="32" spans="1:4" x14ac:dyDescent="0.2">
      <c r="A32" s="1" t="s">
        <v>487</v>
      </c>
      <c r="B32" s="11" t="s">
        <v>52</v>
      </c>
      <c r="C32" s="11">
        <v>220</v>
      </c>
      <c r="D32" s="11">
        <v>80</v>
      </c>
    </row>
    <row r="33" spans="1:4" x14ac:dyDescent="0.2">
      <c r="A33" s="1" t="s">
        <v>487</v>
      </c>
      <c r="B33" s="11" t="s">
        <v>53</v>
      </c>
      <c r="C33" s="11">
        <v>380</v>
      </c>
      <c r="D33" s="11">
        <v>120</v>
      </c>
    </row>
    <row r="34" spans="1:4" x14ac:dyDescent="0.2">
      <c r="A34" s="1" t="s">
        <v>487</v>
      </c>
      <c r="B34" s="1" t="s">
        <v>54</v>
      </c>
      <c r="C34" s="11">
        <v>140</v>
      </c>
      <c r="D34" s="11">
        <v>70</v>
      </c>
    </row>
    <row r="35" spans="1:4" x14ac:dyDescent="0.2">
      <c r="A35" s="1" t="s">
        <v>487</v>
      </c>
      <c r="B35" s="11" t="s">
        <v>55</v>
      </c>
      <c r="C35" s="11">
        <v>250</v>
      </c>
      <c r="D35" s="11">
        <v>100</v>
      </c>
    </row>
    <row r="36" spans="1:4" x14ac:dyDescent="0.2">
      <c r="A36" s="1" t="s">
        <v>487</v>
      </c>
      <c r="B36" s="11" t="s">
        <v>56</v>
      </c>
      <c r="C36" s="11">
        <v>550</v>
      </c>
      <c r="D36" s="11">
        <v>150</v>
      </c>
    </row>
    <row r="37" spans="1:4" x14ac:dyDescent="0.2">
      <c r="A37" s="1" t="s">
        <v>487</v>
      </c>
      <c r="B37" s="11" t="s">
        <v>57</v>
      </c>
      <c r="C37" s="11">
        <v>600</v>
      </c>
      <c r="D37" s="11">
        <v>200</v>
      </c>
    </row>
    <row r="38" spans="1:4" x14ac:dyDescent="0.2">
      <c r="A38" s="1" t="s">
        <v>487</v>
      </c>
      <c r="B38" s="11" t="s">
        <v>21</v>
      </c>
      <c r="C38" s="11">
        <v>100</v>
      </c>
      <c r="D38" s="11">
        <v>60</v>
      </c>
    </row>
    <row r="39" spans="1:4" x14ac:dyDescent="0.2">
      <c r="A39" s="1" t="s">
        <v>487</v>
      </c>
      <c r="B39" s="11" t="s">
        <v>107</v>
      </c>
      <c r="C39" s="11">
        <v>400</v>
      </c>
      <c r="D39" s="11">
        <v>150</v>
      </c>
    </row>
    <row r="40" spans="1:4" x14ac:dyDescent="0.2">
      <c r="A40" s="1" t="s">
        <v>487</v>
      </c>
      <c r="B40" s="11" t="s">
        <v>58</v>
      </c>
      <c r="C40" s="11">
        <v>300</v>
      </c>
      <c r="D40" s="11">
        <v>120</v>
      </c>
    </row>
  </sheetData>
  <sheetProtection sheet="1" objects="1" scenarios="1" selectLockedCells="1" selectUnlockedCells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179A6-CF91-FC4A-B106-0CD7561C1493}">
  <dimension ref="A1:N75"/>
  <sheetViews>
    <sheetView tabSelected="1" zoomScale="120" zoomScaleNormal="120" workbookViewId="0">
      <selection activeCell="A26" sqref="A26"/>
    </sheetView>
  </sheetViews>
  <sheetFormatPr baseColWidth="10" defaultRowHeight="16" x14ac:dyDescent="0.2"/>
  <cols>
    <col min="1" max="1" width="32.33203125" style="4" bestFit="1" customWidth="1"/>
    <col min="2" max="2" width="19.83203125" style="4" bestFit="1" customWidth="1"/>
    <col min="3" max="3" width="19.83203125" style="4" customWidth="1"/>
    <col min="4" max="4" width="11.1640625" style="4" bestFit="1" customWidth="1"/>
    <col min="5" max="5" width="19.1640625" style="2" bestFit="1" customWidth="1"/>
    <col min="6" max="6" width="21" style="15" bestFit="1" customWidth="1"/>
    <col min="7" max="7" width="26.83203125" style="22" bestFit="1" customWidth="1"/>
    <col min="8" max="8" width="14.5" style="2" bestFit="1" customWidth="1"/>
    <col min="9" max="9" width="13.1640625" style="1" bestFit="1" customWidth="1"/>
    <col min="10" max="10" width="27.83203125" style="1" bestFit="1" customWidth="1"/>
    <col min="11" max="11" width="18.1640625" style="1" bestFit="1" customWidth="1"/>
    <col min="12" max="14" width="25.83203125" style="1" customWidth="1"/>
    <col min="15" max="16384" width="10.83203125" style="1"/>
  </cols>
  <sheetData>
    <row r="1" spans="1:14" s="3" customFormat="1" x14ac:dyDescent="0.2">
      <c r="A1" s="6" t="s">
        <v>0</v>
      </c>
      <c r="B1" s="6" t="s">
        <v>464</v>
      </c>
      <c r="C1" s="6" t="s">
        <v>465</v>
      </c>
      <c r="D1" s="3" t="s">
        <v>46</v>
      </c>
      <c r="E1" s="12" t="s">
        <v>47</v>
      </c>
      <c r="F1" s="13" t="s">
        <v>273</v>
      </c>
      <c r="G1" s="21" t="s">
        <v>274</v>
      </c>
      <c r="H1" s="6" t="s">
        <v>613</v>
      </c>
      <c r="I1" s="3" t="s">
        <v>6</v>
      </c>
      <c r="J1" s="6" t="s">
        <v>106</v>
      </c>
      <c r="K1" s="6" t="s">
        <v>614</v>
      </c>
      <c r="L1" s="6" t="s">
        <v>892</v>
      </c>
      <c r="M1" s="6" t="s">
        <v>901</v>
      </c>
      <c r="N1" s="6" t="s">
        <v>902</v>
      </c>
    </row>
    <row r="2" spans="1:14" x14ac:dyDescent="0.2">
      <c r="A2" s="9" t="s">
        <v>615</v>
      </c>
      <c r="B2" s="9" t="s">
        <v>50</v>
      </c>
      <c r="C2" s="9" t="s">
        <v>50</v>
      </c>
      <c r="D2" s="9" t="s">
        <v>9</v>
      </c>
      <c r="E2" s="14"/>
      <c r="F2" s="10"/>
      <c r="G2" s="27"/>
      <c r="H2" s="9" t="s">
        <v>9</v>
      </c>
      <c r="I2" s="10">
        <v>1</v>
      </c>
      <c r="J2" s="2" t="s">
        <v>616</v>
      </c>
      <c r="K2" s="15">
        <v>1</v>
      </c>
      <c r="L2" s="15" t="s">
        <v>897</v>
      </c>
      <c r="M2" s="15" t="s">
        <v>897</v>
      </c>
      <c r="N2" s="15" t="s">
        <v>897</v>
      </c>
    </row>
    <row r="3" spans="1:14" x14ac:dyDescent="0.2">
      <c r="A3" s="4" t="s">
        <v>883</v>
      </c>
      <c r="B3" s="9" t="s">
        <v>50</v>
      </c>
      <c r="C3" s="9" t="s">
        <v>50</v>
      </c>
      <c r="D3" s="9" t="s">
        <v>9</v>
      </c>
      <c r="E3" s="14"/>
      <c r="F3" s="10"/>
      <c r="G3" s="27"/>
      <c r="H3" s="9" t="s">
        <v>9</v>
      </c>
      <c r="I3" s="10">
        <v>2</v>
      </c>
      <c r="J3" s="2" t="s">
        <v>884</v>
      </c>
      <c r="K3" s="15">
        <v>1</v>
      </c>
      <c r="L3" s="15" t="s">
        <v>897</v>
      </c>
      <c r="M3" s="15" t="s">
        <v>897</v>
      </c>
      <c r="N3" s="15" t="s">
        <v>897</v>
      </c>
    </row>
    <row r="4" spans="1:14" x14ac:dyDescent="0.2">
      <c r="A4" s="4" t="s">
        <v>1048</v>
      </c>
      <c r="B4" s="9" t="s">
        <v>10</v>
      </c>
      <c r="C4" s="9" t="s">
        <v>10</v>
      </c>
      <c r="D4" s="9" t="s">
        <v>9</v>
      </c>
      <c r="E4" s="14"/>
      <c r="F4" s="10"/>
      <c r="G4" s="27"/>
      <c r="H4" s="9" t="s">
        <v>9</v>
      </c>
      <c r="I4" s="10">
        <v>3</v>
      </c>
      <c r="J4" s="2" t="s">
        <v>1049</v>
      </c>
      <c r="K4" s="15">
        <v>1</v>
      </c>
      <c r="L4" s="15" t="s">
        <v>10</v>
      </c>
      <c r="M4" s="15" t="s">
        <v>10</v>
      </c>
      <c r="N4" s="15" t="s">
        <v>10</v>
      </c>
    </row>
    <row r="5" spans="1:14" x14ac:dyDescent="0.2">
      <c r="A5" s="4" t="s">
        <v>1055</v>
      </c>
      <c r="B5" s="9" t="s">
        <v>10</v>
      </c>
      <c r="C5" s="9" t="s">
        <v>10</v>
      </c>
      <c r="D5" s="9" t="s">
        <v>9</v>
      </c>
      <c r="E5" s="14"/>
      <c r="F5" s="10"/>
      <c r="G5" s="27"/>
      <c r="H5" s="9" t="s">
        <v>9</v>
      </c>
      <c r="I5" s="10">
        <v>4</v>
      </c>
      <c r="J5" s="2" t="s">
        <v>1056</v>
      </c>
      <c r="K5" s="15">
        <v>1</v>
      </c>
      <c r="L5" s="15" t="s">
        <v>10</v>
      </c>
      <c r="M5" s="15" t="s">
        <v>10</v>
      </c>
      <c r="N5" s="15" t="s">
        <v>10</v>
      </c>
    </row>
    <row r="6" spans="1:14" x14ac:dyDescent="0.2">
      <c r="A6" s="4" t="s">
        <v>1061</v>
      </c>
      <c r="B6" s="9" t="s">
        <v>10</v>
      </c>
      <c r="C6" s="9" t="s">
        <v>10</v>
      </c>
      <c r="D6" s="9" t="s">
        <v>9</v>
      </c>
      <c r="E6" s="14"/>
      <c r="F6" s="10"/>
      <c r="G6" s="27"/>
      <c r="H6" s="9" t="s">
        <v>9</v>
      </c>
      <c r="I6" s="10">
        <v>5</v>
      </c>
      <c r="J6" s="2" t="s">
        <v>1062</v>
      </c>
      <c r="K6" s="15">
        <v>1</v>
      </c>
      <c r="L6" s="15" t="s">
        <v>10</v>
      </c>
      <c r="M6" s="15" t="s">
        <v>10</v>
      </c>
      <c r="N6" s="15" t="s">
        <v>10</v>
      </c>
    </row>
    <row r="7" spans="1:14" x14ac:dyDescent="0.2">
      <c r="A7" s="4" t="s">
        <v>1063</v>
      </c>
      <c r="B7" s="9" t="s">
        <v>10</v>
      </c>
      <c r="C7" s="9" t="s">
        <v>10</v>
      </c>
      <c r="D7" s="9" t="s">
        <v>9</v>
      </c>
      <c r="E7" s="14"/>
      <c r="F7" s="10"/>
      <c r="G7" s="27"/>
      <c r="H7" s="9" t="s">
        <v>9</v>
      </c>
      <c r="I7" s="10">
        <v>6</v>
      </c>
      <c r="J7" s="2" t="s">
        <v>1065</v>
      </c>
      <c r="K7" s="15">
        <v>1</v>
      </c>
      <c r="L7" s="15" t="s">
        <v>10</v>
      </c>
      <c r="M7" s="15" t="s">
        <v>10</v>
      </c>
      <c r="N7" s="15" t="s">
        <v>10</v>
      </c>
    </row>
    <row r="8" spans="1:14" x14ac:dyDescent="0.2">
      <c r="A8" s="4" t="s">
        <v>1064</v>
      </c>
      <c r="B8" s="9" t="s">
        <v>10</v>
      </c>
      <c r="C8" s="9" t="s">
        <v>10</v>
      </c>
      <c r="D8" s="9" t="s">
        <v>9</v>
      </c>
      <c r="E8" s="14"/>
      <c r="F8" s="10"/>
      <c r="G8" s="27"/>
      <c r="H8" s="9" t="s">
        <v>9</v>
      </c>
      <c r="I8" s="10">
        <v>7</v>
      </c>
      <c r="J8" s="2" t="s">
        <v>1066</v>
      </c>
      <c r="K8" s="15">
        <v>1</v>
      </c>
      <c r="L8" s="15" t="s">
        <v>10</v>
      </c>
      <c r="M8" s="15" t="s">
        <v>10</v>
      </c>
      <c r="N8" s="15" t="s">
        <v>10</v>
      </c>
    </row>
    <row r="9" spans="1:14" x14ac:dyDescent="0.2">
      <c r="A9" s="4" t="s">
        <v>452</v>
      </c>
      <c r="B9" s="9" t="s">
        <v>50</v>
      </c>
      <c r="C9" s="9" t="s">
        <v>50</v>
      </c>
      <c r="D9" s="9" t="s">
        <v>9</v>
      </c>
      <c r="E9" s="14"/>
      <c r="F9" s="10"/>
      <c r="G9" s="27"/>
      <c r="H9" s="9" t="s">
        <v>39</v>
      </c>
      <c r="I9" s="10">
        <v>8</v>
      </c>
      <c r="J9" s="2" t="s">
        <v>453</v>
      </c>
      <c r="K9" s="15">
        <v>1</v>
      </c>
      <c r="L9" s="15" t="s">
        <v>897</v>
      </c>
      <c r="M9" s="15" t="s">
        <v>897</v>
      </c>
      <c r="N9" s="15" t="s">
        <v>897</v>
      </c>
    </row>
    <row r="10" spans="1:14" x14ac:dyDescent="0.2">
      <c r="A10" s="4" t="s">
        <v>547</v>
      </c>
      <c r="B10" s="9" t="s">
        <v>50</v>
      </c>
      <c r="C10" s="9" t="s">
        <v>50</v>
      </c>
      <c r="D10" s="4" t="s">
        <v>9</v>
      </c>
      <c r="E10" s="14"/>
      <c r="F10" s="10"/>
      <c r="G10" s="27"/>
      <c r="H10" s="9" t="s">
        <v>39</v>
      </c>
      <c r="I10" s="10">
        <v>9</v>
      </c>
      <c r="J10" s="2" t="s">
        <v>548</v>
      </c>
      <c r="K10" s="15">
        <v>1</v>
      </c>
      <c r="L10" s="15" t="s">
        <v>897</v>
      </c>
      <c r="M10" s="15" t="s">
        <v>897</v>
      </c>
      <c r="N10" s="15" t="s">
        <v>900</v>
      </c>
    </row>
    <row r="11" spans="1:14" x14ac:dyDescent="0.2">
      <c r="A11" s="4" t="s">
        <v>282</v>
      </c>
      <c r="B11" s="9" t="s">
        <v>21</v>
      </c>
      <c r="C11" s="9" t="s">
        <v>21</v>
      </c>
      <c r="D11" s="4" t="s">
        <v>39</v>
      </c>
      <c r="E11" s="14">
        <v>1.01</v>
      </c>
      <c r="F11" s="10" t="s">
        <v>275</v>
      </c>
      <c r="G11" s="27">
        <v>20</v>
      </c>
      <c r="H11" s="9" t="s">
        <v>39</v>
      </c>
      <c r="I11" s="10">
        <v>10</v>
      </c>
      <c r="J11" s="2" t="s">
        <v>283</v>
      </c>
      <c r="K11" s="15">
        <v>1</v>
      </c>
      <c r="L11" s="15" t="s">
        <v>893</v>
      </c>
      <c r="M11" s="15" t="s">
        <v>893</v>
      </c>
      <c r="N11" s="15" t="s">
        <v>893</v>
      </c>
    </row>
    <row r="12" spans="1:14" x14ac:dyDescent="0.2">
      <c r="A12" s="4" t="s">
        <v>1084</v>
      </c>
      <c r="B12" s="9" t="s">
        <v>10</v>
      </c>
      <c r="C12" s="9" t="s">
        <v>10</v>
      </c>
      <c r="D12" s="4" t="s">
        <v>9</v>
      </c>
      <c r="E12" s="14"/>
      <c r="F12" s="10"/>
      <c r="G12" s="27"/>
      <c r="H12" s="9" t="s">
        <v>9</v>
      </c>
      <c r="I12" s="10">
        <v>11</v>
      </c>
      <c r="J12" s="2" t="s">
        <v>1085</v>
      </c>
      <c r="K12" s="15">
        <v>1</v>
      </c>
      <c r="L12" s="15" t="s">
        <v>10</v>
      </c>
      <c r="M12" s="15" t="s">
        <v>10</v>
      </c>
      <c r="N12" s="15" t="s">
        <v>10</v>
      </c>
    </row>
    <row r="13" spans="1:14" x14ac:dyDescent="0.2">
      <c r="A13" s="4" t="s">
        <v>989</v>
      </c>
      <c r="B13" s="9" t="s">
        <v>10</v>
      </c>
      <c r="C13" s="9" t="s">
        <v>10</v>
      </c>
      <c r="D13" s="4" t="s">
        <v>9</v>
      </c>
      <c r="E13" s="14"/>
      <c r="F13" s="10"/>
      <c r="G13" s="27"/>
      <c r="H13" s="9" t="s">
        <v>9</v>
      </c>
      <c r="I13" s="10">
        <v>12</v>
      </c>
      <c r="J13" s="2" t="s">
        <v>990</v>
      </c>
      <c r="K13" s="15">
        <v>1</v>
      </c>
      <c r="L13" s="15" t="s">
        <v>10</v>
      </c>
      <c r="M13" s="15" t="s">
        <v>10</v>
      </c>
      <c r="N13" s="15" t="s">
        <v>10</v>
      </c>
    </row>
    <row r="14" spans="1:14" x14ac:dyDescent="0.2">
      <c r="A14" s="4" t="s">
        <v>991</v>
      </c>
      <c r="B14" s="9" t="s">
        <v>10</v>
      </c>
      <c r="C14" s="9" t="s">
        <v>10</v>
      </c>
      <c r="D14" s="4" t="s">
        <v>9</v>
      </c>
      <c r="E14" s="14"/>
      <c r="F14" s="10"/>
      <c r="G14" s="27"/>
      <c r="H14" s="9" t="s">
        <v>9</v>
      </c>
      <c r="I14" s="10">
        <v>13</v>
      </c>
      <c r="J14" s="2" t="s">
        <v>995</v>
      </c>
      <c r="K14" s="15">
        <v>1</v>
      </c>
      <c r="L14" s="15" t="s">
        <v>10</v>
      </c>
      <c r="M14" s="15" t="s">
        <v>10</v>
      </c>
      <c r="N14" s="15" t="s">
        <v>10</v>
      </c>
    </row>
    <row r="15" spans="1:14" x14ac:dyDescent="0.2">
      <c r="A15" s="4" t="s">
        <v>994</v>
      </c>
      <c r="B15" s="9" t="s">
        <v>10</v>
      </c>
      <c r="C15" s="9" t="s">
        <v>10</v>
      </c>
      <c r="D15" s="4" t="s">
        <v>9</v>
      </c>
      <c r="E15" s="14"/>
      <c r="F15" s="10"/>
      <c r="G15" s="27"/>
      <c r="H15" s="9" t="s">
        <v>9</v>
      </c>
      <c r="I15" s="10">
        <v>14</v>
      </c>
      <c r="J15" s="2" t="s">
        <v>996</v>
      </c>
      <c r="K15" s="15">
        <v>1</v>
      </c>
      <c r="L15" s="15" t="s">
        <v>10</v>
      </c>
      <c r="M15" s="15" t="s">
        <v>10</v>
      </c>
      <c r="N15" s="15" t="s">
        <v>10</v>
      </c>
    </row>
    <row r="16" spans="1:14" x14ac:dyDescent="0.2">
      <c r="A16" s="4" t="s">
        <v>992</v>
      </c>
      <c r="B16" s="9" t="s">
        <v>10</v>
      </c>
      <c r="C16" s="9" t="s">
        <v>10</v>
      </c>
      <c r="D16" s="4" t="s">
        <v>9</v>
      </c>
      <c r="E16" s="14"/>
      <c r="F16" s="10"/>
      <c r="G16" s="27"/>
      <c r="H16" s="9" t="s">
        <v>9</v>
      </c>
      <c r="I16" s="10">
        <v>15</v>
      </c>
      <c r="J16" s="2" t="s">
        <v>997</v>
      </c>
      <c r="K16" s="15">
        <v>1</v>
      </c>
      <c r="L16" s="15" t="s">
        <v>10</v>
      </c>
      <c r="M16" s="15" t="s">
        <v>10</v>
      </c>
      <c r="N16" s="15" t="s">
        <v>10</v>
      </c>
    </row>
    <row r="17" spans="1:14" x14ac:dyDescent="0.2">
      <c r="A17" s="4" t="s">
        <v>993</v>
      </c>
      <c r="B17" s="9" t="s">
        <v>10</v>
      </c>
      <c r="C17" s="9" t="s">
        <v>10</v>
      </c>
      <c r="D17" s="4" t="s">
        <v>9</v>
      </c>
      <c r="E17" s="14"/>
      <c r="F17" s="10"/>
      <c r="G17" s="27"/>
      <c r="H17" s="9" t="s">
        <v>9</v>
      </c>
      <c r="I17" s="10">
        <v>16</v>
      </c>
      <c r="J17" s="2" t="s">
        <v>998</v>
      </c>
      <c r="K17" s="15">
        <v>1</v>
      </c>
      <c r="L17" s="15" t="s">
        <v>10</v>
      </c>
      <c r="M17" s="15" t="s">
        <v>10</v>
      </c>
      <c r="N17" s="15" t="s">
        <v>10</v>
      </c>
    </row>
    <row r="18" spans="1:14" x14ac:dyDescent="0.2">
      <c r="A18" s="4" t="s">
        <v>708</v>
      </c>
      <c r="B18" s="9" t="s">
        <v>50</v>
      </c>
      <c r="C18" s="9" t="s">
        <v>50</v>
      </c>
      <c r="D18" s="4" t="s">
        <v>9</v>
      </c>
      <c r="E18" s="14"/>
      <c r="F18" s="10"/>
      <c r="G18" s="27"/>
      <c r="H18" s="9" t="s">
        <v>9</v>
      </c>
      <c r="I18" s="10">
        <v>17</v>
      </c>
      <c r="J18" s="2" t="s">
        <v>709</v>
      </c>
      <c r="K18" s="15">
        <v>1</v>
      </c>
      <c r="L18" s="15" t="s">
        <v>897</v>
      </c>
      <c r="M18" s="15" t="s">
        <v>897</v>
      </c>
      <c r="N18" s="15" t="s">
        <v>897</v>
      </c>
    </row>
    <row r="19" spans="1:14" x14ac:dyDescent="0.2">
      <c r="A19" s="4" t="s">
        <v>694</v>
      </c>
      <c r="B19" s="9" t="s">
        <v>50</v>
      </c>
      <c r="C19" s="9" t="s">
        <v>50</v>
      </c>
      <c r="D19" s="4" t="s">
        <v>9</v>
      </c>
      <c r="E19" s="14"/>
      <c r="F19" s="10"/>
      <c r="G19" s="27"/>
      <c r="H19" s="9" t="s">
        <v>9</v>
      </c>
      <c r="I19" s="10">
        <v>18</v>
      </c>
      <c r="J19" s="2" t="s">
        <v>695</v>
      </c>
      <c r="K19" s="15">
        <v>1</v>
      </c>
      <c r="L19" s="15" t="s">
        <v>897</v>
      </c>
      <c r="M19" s="15" t="s">
        <v>897</v>
      </c>
      <c r="N19" s="15" t="s">
        <v>897</v>
      </c>
    </row>
    <row r="20" spans="1:14" x14ac:dyDescent="0.2">
      <c r="A20" s="4" t="s">
        <v>358</v>
      </c>
      <c r="B20" s="4" t="s">
        <v>10</v>
      </c>
      <c r="C20" s="9" t="s">
        <v>10</v>
      </c>
      <c r="D20" s="9" t="s">
        <v>9</v>
      </c>
      <c r="E20" s="15"/>
      <c r="F20" s="10"/>
      <c r="H20" s="9" t="s">
        <v>39</v>
      </c>
      <c r="I20" s="10">
        <v>19</v>
      </c>
      <c r="J20" s="2" t="s">
        <v>359</v>
      </c>
      <c r="K20" s="15">
        <v>1</v>
      </c>
      <c r="L20" s="15" t="s">
        <v>10</v>
      </c>
      <c r="M20" s="15" t="s">
        <v>10</v>
      </c>
      <c r="N20" s="15" t="s">
        <v>10</v>
      </c>
    </row>
    <row r="21" spans="1:14" x14ac:dyDescent="0.2">
      <c r="A21" s="4" t="s">
        <v>1092</v>
      </c>
      <c r="B21" s="4" t="s">
        <v>10</v>
      </c>
      <c r="C21" s="9" t="s">
        <v>10</v>
      </c>
      <c r="D21" s="9" t="s">
        <v>9</v>
      </c>
      <c r="E21" s="15"/>
      <c r="F21" s="10"/>
      <c r="H21" s="9" t="s">
        <v>9</v>
      </c>
      <c r="I21" s="10">
        <v>20</v>
      </c>
      <c r="J21" s="2" t="s">
        <v>1093</v>
      </c>
      <c r="K21" s="15">
        <v>1</v>
      </c>
      <c r="L21" s="15" t="s">
        <v>10</v>
      </c>
      <c r="M21" s="15" t="s">
        <v>10</v>
      </c>
      <c r="N21" s="15" t="s">
        <v>10</v>
      </c>
    </row>
    <row r="22" spans="1:14" x14ac:dyDescent="0.2">
      <c r="A22" s="4" t="s">
        <v>1100</v>
      </c>
      <c r="B22" s="4" t="s">
        <v>10</v>
      </c>
      <c r="C22" s="9" t="s">
        <v>10</v>
      </c>
      <c r="D22" s="9" t="s">
        <v>9</v>
      </c>
      <c r="E22" s="15"/>
      <c r="F22" s="10"/>
      <c r="H22" s="9" t="s">
        <v>9</v>
      </c>
      <c r="I22" s="10">
        <v>21</v>
      </c>
      <c r="J22" s="2" t="s">
        <v>1102</v>
      </c>
      <c r="K22" s="15">
        <v>1</v>
      </c>
      <c r="L22" s="15" t="s">
        <v>10</v>
      </c>
      <c r="M22" s="15" t="s">
        <v>10</v>
      </c>
      <c r="N22" s="15" t="s">
        <v>10</v>
      </c>
    </row>
    <row r="23" spans="1:14" x14ac:dyDescent="0.2">
      <c r="A23" s="4" t="s">
        <v>1112</v>
      </c>
      <c r="B23" s="4" t="s">
        <v>10</v>
      </c>
      <c r="C23" s="9" t="s">
        <v>10</v>
      </c>
      <c r="D23" s="9" t="s">
        <v>9</v>
      </c>
      <c r="E23" s="15"/>
      <c r="F23" s="10"/>
      <c r="H23" s="9" t="s">
        <v>9</v>
      </c>
      <c r="I23" s="10">
        <v>22</v>
      </c>
      <c r="J23" s="2" t="s">
        <v>1113</v>
      </c>
      <c r="K23" s="15">
        <v>1</v>
      </c>
      <c r="L23" s="15" t="s">
        <v>10</v>
      </c>
      <c r="M23" s="15" t="s">
        <v>10</v>
      </c>
      <c r="N23" s="15" t="s">
        <v>10</v>
      </c>
    </row>
    <row r="24" spans="1:14" x14ac:dyDescent="0.2">
      <c r="A24" s="4" t="s">
        <v>1101</v>
      </c>
      <c r="B24" s="4" t="s">
        <v>10</v>
      </c>
      <c r="C24" s="9" t="s">
        <v>10</v>
      </c>
      <c r="D24" s="9" t="s">
        <v>9</v>
      </c>
      <c r="E24" s="15"/>
      <c r="F24" s="10"/>
      <c r="H24" s="9" t="s">
        <v>9</v>
      </c>
      <c r="I24" s="10">
        <v>23</v>
      </c>
      <c r="J24" s="2" t="s">
        <v>1103</v>
      </c>
      <c r="K24" s="15">
        <v>1</v>
      </c>
      <c r="L24" s="15" t="s">
        <v>10</v>
      </c>
      <c r="M24" s="15" t="s">
        <v>10</v>
      </c>
      <c r="N24" s="15" t="s">
        <v>10</v>
      </c>
    </row>
    <row r="25" spans="1:14" x14ac:dyDescent="0.2">
      <c r="A25" s="4" t="s">
        <v>524</v>
      </c>
      <c r="B25" s="9" t="s">
        <v>21</v>
      </c>
      <c r="C25" s="9" t="s">
        <v>21</v>
      </c>
      <c r="D25" s="9" t="s">
        <v>39</v>
      </c>
      <c r="E25" s="15">
        <v>0.97</v>
      </c>
      <c r="F25" s="10" t="s">
        <v>275</v>
      </c>
      <c r="G25" s="22">
        <v>20</v>
      </c>
      <c r="H25" s="9" t="s">
        <v>39</v>
      </c>
      <c r="I25" s="10">
        <v>24</v>
      </c>
      <c r="J25" s="2" t="s">
        <v>525</v>
      </c>
      <c r="K25" s="15">
        <v>1.05</v>
      </c>
      <c r="L25" s="15" t="s">
        <v>898</v>
      </c>
      <c r="M25" s="15" t="s">
        <v>898</v>
      </c>
      <c r="N25" s="15" t="s">
        <v>898</v>
      </c>
    </row>
    <row r="26" spans="1:14" x14ac:dyDescent="0.2">
      <c r="A26" s="4" t="s">
        <v>1127</v>
      </c>
      <c r="B26" s="9" t="s">
        <v>10</v>
      </c>
      <c r="C26" s="9" t="s">
        <v>10</v>
      </c>
      <c r="D26" s="9" t="s">
        <v>9</v>
      </c>
      <c r="E26" s="15"/>
      <c r="F26" s="10"/>
      <c r="H26" s="9" t="s">
        <v>9</v>
      </c>
      <c r="I26" s="10">
        <v>25</v>
      </c>
      <c r="J26" s="2" t="s">
        <v>1128</v>
      </c>
      <c r="K26" s="15">
        <v>1</v>
      </c>
      <c r="L26" s="15" t="s">
        <v>10</v>
      </c>
      <c r="M26" s="15" t="s">
        <v>10</v>
      </c>
      <c r="N26" s="15" t="s">
        <v>10</v>
      </c>
    </row>
    <row r="27" spans="1:14" x14ac:dyDescent="0.2">
      <c r="A27" s="4" t="s">
        <v>402</v>
      </c>
      <c r="B27" s="9" t="s">
        <v>10</v>
      </c>
      <c r="C27" s="9" t="s">
        <v>10</v>
      </c>
      <c r="D27" s="9" t="s">
        <v>9</v>
      </c>
      <c r="E27" s="15"/>
      <c r="F27" s="10"/>
      <c r="H27" s="9" t="s">
        <v>39</v>
      </c>
      <c r="I27" s="10">
        <v>26</v>
      </c>
      <c r="J27" s="2" t="s">
        <v>403</v>
      </c>
      <c r="K27" s="15">
        <v>1</v>
      </c>
      <c r="L27" s="15" t="s">
        <v>10</v>
      </c>
      <c r="M27" s="15" t="s">
        <v>10</v>
      </c>
      <c r="N27" s="15" t="s">
        <v>10</v>
      </c>
    </row>
    <row r="28" spans="1:14" x14ac:dyDescent="0.2">
      <c r="A28" s="4" t="s">
        <v>848</v>
      </c>
      <c r="B28" s="9" t="s">
        <v>50</v>
      </c>
      <c r="C28" s="9" t="s">
        <v>50</v>
      </c>
      <c r="D28" s="9" t="s">
        <v>9</v>
      </c>
      <c r="E28" s="15"/>
      <c r="F28" s="10"/>
      <c r="H28" s="9" t="s">
        <v>9</v>
      </c>
      <c r="I28" s="10">
        <v>27</v>
      </c>
      <c r="J28" s="2" t="s">
        <v>850</v>
      </c>
      <c r="K28" s="15">
        <v>1</v>
      </c>
      <c r="L28" s="15" t="s">
        <v>897</v>
      </c>
      <c r="M28" s="15" t="s">
        <v>897</v>
      </c>
      <c r="N28" s="15" t="s">
        <v>897</v>
      </c>
    </row>
    <row r="29" spans="1:14" x14ac:dyDescent="0.2">
      <c r="A29" s="4" t="s">
        <v>849</v>
      </c>
      <c r="B29" s="9" t="s">
        <v>50</v>
      </c>
      <c r="C29" s="9" t="s">
        <v>50</v>
      </c>
      <c r="D29" s="9" t="s">
        <v>9</v>
      </c>
      <c r="E29" s="15"/>
      <c r="F29" s="10"/>
      <c r="H29" s="9" t="s">
        <v>9</v>
      </c>
      <c r="I29" s="10">
        <v>28</v>
      </c>
      <c r="J29" s="2" t="s">
        <v>851</v>
      </c>
      <c r="K29" s="15">
        <v>1</v>
      </c>
      <c r="L29" s="15" t="s">
        <v>897</v>
      </c>
      <c r="M29" s="15" t="s">
        <v>897</v>
      </c>
      <c r="N29" s="15" t="s">
        <v>897</v>
      </c>
    </row>
    <row r="30" spans="1:14" x14ac:dyDescent="0.2">
      <c r="A30" s="4" t="s">
        <v>972</v>
      </c>
      <c r="B30" s="9" t="s">
        <v>50</v>
      </c>
      <c r="C30" s="9" t="s">
        <v>50</v>
      </c>
      <c r="D30" s="9" t="s">
        <v>9</v>
      </c>
      <c r="E30" s="15"/>
      <c r="F30" s="10"/>
      <c r="H30" s="9" t="s">
        <v>9</v>
      </c>
      <c r="I30" s="10">
        <v>29</v>
      </c>
      <c r="J30" s="2" t="s">
        <v>973</v>
      </c>
      <c r="K30" s="15">
        <v>1</v>
      </c>
      <c r="L30" s="15" t="s">
        <v>897</v>
      </c>
      <c r="M30" s="15" t="s">
        <v>897</v>
      </c>
      <c r="N30" s="15" t="s">
        <v>897</v>
      </c>
    </row>
    <row r="31" spans="1:14" x14ac:dyDescent="0.2">
      <c r="A31" s="4" t="s">
        <v>236</v>
      </c>
      <c r="B31" s="4" t="s">
        <v>21</v>
      </c>
      <c r="C31" s="4" t="s">
        <v>21</v>
      </c>
      <c r="D31" s="4" t="s">
        <v>39</v>
      </c>
      <c r="E31" s="15">
        <v>1</v>
      </c>
      <c r="F31" s="10" t="s">
        <v>275</v>
      </c>
      <c r="G31" s="22">
        <v>20</v>
      </c>
      <c r="H31" s="9" t="s">
        <v>39</v>
      </c>
      <c r="I31" s="10">
        <v>30</v>
      </c>
      <c r="J31" s="2" t="s">
        <v>237</v>
      </c>
      <c r="K31" s="15">
        <v>0.98</v>
      </c>
      <c r="L31" s="15" t="s">
        <v>898</v>
      </c>
      <c r="M31" s="15" t="s">
        <v>898</v>
      </c>
      <c r="N31" s="15" t="s">
        <v>905</v>
      </c>
    </row>
    <row r="32" spans="1:14" x14ac:dyDescent="0.2">
      <c r="A32" s="4" t="s">
        <v>326</v>
      </c>
      <c r="B32" s="4" t="s">
        <v>21</v>
      </c>
      <c r="C32" s="4" t="s">
        <v>21</v>
      </c>
      <c r="D32" s="4" t="s">
        <v>39</v>
      </c>
      <c r="E32" s="15">
        <v>1.04</v>
      </c>
      <c r="F32" s="10" t="s">
        <v>275</v>
      </c>
      <c r="G32" s="22">
        <v>20</v>
      </c>
      <c r="H32" s="9" t="s">
        <v>39</v>
      </c>
      <c r="I32" s="10">
        <v>31</v>
      </c>
      <c r="J32" s="2" t="s">
        <v>327</v>
      </c>
      <c r="K32" s="15">
        <v>0.98</v>
      </c>
      <c r="L32" s="15" t="s">
        <v>895</v>
      </c>
      <c r="M32" s="15" t="s">
        <v>895</v>
      </c>
      <c r="N32" s="15" t="s">
        <v>895</v>
      </c>
    </row>
    <row r="33" spans="1:14" x14ac:dyDescent="0.2">
      <c r="A33" s="4" t="s">
        <v>336</v>
      </c>
      <c r="B33" s="4" t="s">
        <v>21</v>
      </c>
      <c r="C33" s="4" t="s">
        <v>21</v>
      </c>
      <c r="D33" s="4" t="s">
        <v>39</v>
      </c>
      <c r="E33" s="15">
        <v>1</v>
      </c>
      <c r="F33" s="10" t="s">
        <v>275</v>
      </c>
      <c r="G33" s="22">
        <v>20</v>
      </c>
      <c r="H33" s="9" t="s">
        <v>39</v>
      </c>
      <c r="I33" s="10">
        <v>32</v>
      </c>
      <c r="J33" s="2" t="s">
        <v>338</v>
      </c>
      <c r="K33" s="15">
        <v>1</v>
      </c>
      <c r="L33" s="15" t="s">
        <v>896</v>
      </c>
      <c r="M33" s="15" t="s">
        <v>896</v>
      </c>
      <c r="N33" s="15" t="s">
        <v>905</v>
      </c>
    </row>
    <row r="34" spans="1:14" x14ac:dyDescent="0.2">
      <c r="A34" s="4" t="s">
        <v>328</v>
      </c>
      <c r="B34" s="4" t="s">
        <v>21</v>
      </c>
      <c r="C34" s="4" t="s">
        <v>21</v>
      </c>
      <c r="D34" s="4" t="s">
        <v>39</v>
      </c>
      <c r="E34" s="15">
        <v>1.01</v>
      </c>
      <c r="F34" s="10" t="s">
        <v>275</v>
      </c>
      <c r="G34" s="22">
        <v>20</v>
      </c>
      <c r="H34" s="9" t="s">
        <v>39</v>
      </c>
      <c r="I34" s="10">
        <v>33</v>
      </c>
      <c r="J34" s="2" t="s">
        <v>330</v>
      </c>
      <c r="K34" s="15">
        <v>1</v>
      </c>
      <c r="L34" s="15" t="s">
        <v>896</v>
      </c>
      <c r="M34" s="15" t="s">
        <v>896</v>
      </c>
      <c r="N34" s="15" t="s">
        <v>905</v>
      </c>
    </row>
    <row r="35" spans="1:14" x14ac:dyDescent="0.2">
      <c r="A35" s="4" t="s">
        <v>490</v>
      </c>
      <c r="B35" s="4" t="s">
        <v>53</v>
      </c>
      <c r="C35" s="4" t="s">
        <v>53</v>
      </c>
      <c r="D35" s="4" t="s">
        <v>9</v>
      </c>
      <c r="E35" s="15"/>
      <c r="F35" s="10"/>
      <c r="H35" s="9" t="s">
        <v>39</v>
      </c>
      <c r="I35" s="10">
        <v>34</v>
      </c>
      <c r="J35" s="2" t="s">
        <v>491</v>
      </c>
      <c r="K35" s="15">
        <v>1</v>
      </c>
      <c r="L35" s="15" t="s">
        <v>898</v>
      </c>
      <c r="M35" s="15" t="s">
        <v>898</v>
      </c>
      <c r="N35" s="15" t="s">
        <v>898</v>
      </c>
    </row>
    <row r="36" spans="1:14" x14ac:dyDescent="0.2">
      <c r="A36" s="4" t="s">
        <v>1027</v>
      </c>
      <c r="B36" s="4" t="s">
        <v>10</v>
      </c>
      <c r="C36" s="4" t="s">
        <v>10</v>
      </c>
      <c r="D36" s="4" t="s">
        <v>9</v>
      </c>
      <c r="E36" s="15"/>
      <c r="F36" s="10"/>
      <c r="H36" s="9" t="s">
        <v>9</v>
      </c>
      <c r="I36" s="10">
        <v>35</v>
      </c>
      <c r="J36" s="2" t="s">
        <v>1028</v>
      </c>
      <c r="K36" s="15">
        <v>1</v>
      </c>
      <c r="L36" s="15" t="s">
        <v>10</v>
      </c>
      <c r="M36" s="15" t="s">
        <v>10</v>
      </c>
      <c r="N36" s="15" t="s">
        <v>10</v>
      </c>
    </row>
    <row r="37" spans="1:14" x14ac:dyDescent="0.2">
      <c r="A37" s="4" t="s">
        <v>964</v>
      </c>
      <c r="B37" s="4" t="s">
        <v>50</v>
      </c>
      <c r="C37" s="4" t="s">
        <v>50</v>
      </c>
      <c r="D37" s="4" t="s">
        <v>9</v>
      </c>
      <c r="E37" s="15"/>
      <c r="F37" s="10"/>
      <c r="H37" s="9" t="s">
        <v>9</v>
      </c>
      <c r="I37" s="10">
        <v>36</v>
      </c>
      <c r="J37" s="2" t="s">
        <v>965</v>
      </c>
      <c r="K37" s="15">
        <v>1</v>
      </c>
      <c r="L37" s="15" t="s">
        <v>897</v>
      </c>
      <c r="M37" s="15" t="s">
        <v>897</v>
      </c>
      <c r="N37" s="15" t="s">
        <v>897</v>
      </c>
    </row>
    <row r="38" spans="1:14" x14ac:dyDescent="0.2">
      <c r="A38" s="4" t="s">
        <v>944</v>
      </c>
      <c r="B38" s="4" t="s">
        <v>50</v>
      </c>
      <c r="C38" s="4" t="s">
        <v>50</v>
      </c>
      <c r="D38" s="4" t="s">
        <v>9</v>
      </c>
      <c r="E38" s="15"/>
      <c r="F38" s="10"/>
      <c r="H38" s="9" t="s">
        <v>9</v>
      </c>
      <c r="I38" s="10">
        <v>37</v>
      </c>
      <c r="J38" s="2" t="s">
        <v>945</v>
      </c>
      <c r="K38" s="15">
        <v>1</v>
      </c>
      <c r="L38" s="15" t="s">
        <v>897</v>
      </c>
      <c r="M38" s="15" t="s">
        <v>897</v>
      </c>
      <c r="N38" s="15" t="s">
        <v>897</v>
      </c>
    </row>
    <row r="39" spans="1:14" x14ac:dyDescent="0.2">
      <c r="A39" s="4" t="s">
        <v>920</v>
      </c>
      <c r="B39" s="4" t="s">
        <v>50</v>
      </c>
      <c r="C39" s="4" t="s">
        <v>50</v>
      </c>
      <c r="D39" s="4" t="s">
        <v>9</v>
      </c>
      <c r="E39" s="15"/>
      <c r="F39" s="10"/>
      <c r="H39" s="9" t="s">
        <v>9</v>
      </c>
      <c r="I39" s="10">
        <v>38</v>
      </c>
      <c r="J39" s="2" t="s">
        <v>921</v>
      </c>
      <c r="K39" s="15">
        <v>1</v>
      </c>
      <c r="L39" s="15" t="s">
        <v>897</v>
      </c>
      <c r="M39" s="15" t="s">
        <v>897</v>
      </c>
      <c r="N39" s="15" t="s">
        <v>897</v>
      </c>
    </row>
    <row r="40" spans="1:14" x14ac:dyDescent="0.2">
      <c r="A40" s="4" t="s">
        <v>634</v>
      </c>
      <c r="B40" s="4" t="s">
        <v>50</v>
      </c>
      <c r="C40" s="4" t="s">
        <v>50</v>
      </c>
      <c r="D40" s="4" t="s">
        <v>9</v>
      </c>
      <c r="E40" s="15"/>
      <c r="F40" s="10"/>
      <c r="H40" s="9" t="s">
        <v>9</v>
      </c>
      <c r="I40" s="10">
        <v>39</v>
      </c>
      <c r="J40" s="2" t="s">
        <v>635</v>
      </c>
      <c r="K40" s="15">
        <v>1</v>
      </c>
      <c r="L40" s="15" t="s">
        <v>897</v>
      </c>
      <c r="M40" s="15" t="s">
        <v>897</v>
      </c>
      <c r="N40" s="15" t="s">
        <v>897</v>
      </c>
    </row>
    <row r="41" spans="1:14" x14ac:dyDescent="0.2">
      <c r="A41" s="4" t="s">
        <v>636</v>
      </c>
      <c r="B41" s="4" t="s">
        <v>50</v>
      </c>
      <c r="C41" s="4" t="s">
        <v>50</v>
      </c>
      <c r="D41" s="4" t="s">
        <v>9</v>
      </c>
      <c r="E41" s="15"/>
      <c r="F41" s="10"/>
      <c r="H41" s="9" t="s">
        <v>9</v>
      </c>
      <c r="I41" s="10">
        <v>40</v>
      </c>
      <c r="J41" s="2" t="s">
        <v>639</v>
      </c>
      <c r="K41" s="15">
        <v>1</v>
      </c>
      <c r="L41" s="15" t="s">
        <v>897</v>
      </c>
      <c r="M41" s="15" t="s">
        <v>897</v>
      </c>
      <c r="N41" s="15" t="s">
        <v>897</v>
      </c>
    </row>
    <row r="42" spans="1:14" x14ac:dyDescent="0.2">
      <c r="A42" s="4" t="s">
        <v>637</v>
      </c>
      <c r="B42" s="4" t="s">
        <v>50</v>
      </c>
      <c r="C42" s="4" t="s">
        <v>50</v>
      </c>
      <c r="D42" s="4" t="s">
        <v>9</v>
      </c>
      <c r="E42" s="15"/>
      <c r="F42" s="10"/>
      <c r="H42" s="9" t="s">
        <v>9</v>
      </c>
      <c r="I42" s="10">
        <v>41</v>
      </c>
      <c r="J42" s="2" t="s">
        <v>638</v>
      </c>
      <c r="K42" s="15">
        <v>1</v>
      </c>
      <c r="L42" s="15" t="s">
        <v>897</v>
      </c>
      <c r="M42" s="15" t="s">
        <v>897</v>
      </c>
      <c r="N42" s="15" t="s">
        <v>897</v>
      </c>
    </row>
    <row r="43" spans="1:14" x14ac:dyDescent="0.2">
      <c r="A43" s="4" t="s">
        <v>540</v>
      </c>
      <c r="B43" s="4" t="s">
        <v>53</v>
      </c>
      <c r="C43" s="4" t="s">
        <v>53</v>
      </c>
      <c r="D43" s="4" t="s">
        <v>9</v>
      </c>
      <c r="E43" s="15"/>
      <c r="F43" s="10"/>
      <c r="H43" s="9" t="s">
        <v>39</v>
      </c>
      <c r="I43" s="10">
        <v>42</v>
      </c>
      <c r="J43" s="2" t="s">
        <v>541</v>
      </c>
      <c r="K43" s="15">
        <v>1</v>
      </c>
      <c r="L43" s="15" t="s">
        <v>898</v>
      </c>
      <c r="M43" s="15" t="s">
        <v>898</v>
      </c>
      <c r="N43" s="15" t="s">
        <v>898</v>
      </c>
    </row>
    <row r="44" spans="1:14" x14ac:dyDescent="0.2">
      <c r="A44" s="4" t="s">
        <v>791</v>
      </c>
      <c r="B44" s="4" t="s">
        <v>50</v>
      </c>
      <c r="C44" s="4" t="s">
        <v>50</v>
      </c>
      <c r="D44" s="4" t="s">
        <v>9</v>
      </c>
      <c r="E44" s="15"/>
      <c r="F44" s="10"/>
      <c r="H44" s="9" t="s">
        <v>9</v>
      </c>
      <c r="I44" s="10">
        <v>43</v>
      </c>
      <c r="J44" s="2" t="s">
        <v>792</v>
      </c>
      <c r="K44" s="15">
        <v>1</v>
      </c>
      <c r="L44" s="15" t="s">
        <v>897</v>
      </c>
      <c r="M44" s="15" t="s">
        <v>897</v>
      </c>
      <c r="N44" s="15" t="s">
        <v>897</v>
      </c>
    </row>
    <row r="45" spans="1:14" x14ac:dyDescent="0.2">
      <c r="A45" s="4" t="s">
        <v>793</v>
      </c>
      <c r="B45" s="4" t="s">
        <v>50</v>
      </c>
      <c r="C45" s="4" t="s">
        <v>50</v>
      </c>
      <c r="D45" s="4" t="s">
        <v>9</v>
      </c>
      <c r="E45" s="15"/>
      <c r="F45" s="10"/>
      <c r="H45" s="9" t="s">
        <v>9</v>
      </c>
      <c r="I45" s="10">
        <v>44</v>
      </c>
      <c r="J45" s="2" t="s">
        <v>795</v>
      </c>
      <c r="K45" s="15">
        <v>1</v>
      </c>
      <c r="L45" s="15" t="s">
        <v>897</v>
      </c>
      <c r="M45" s="15" t="s">
        <v>897</v>
      </c>
      <c r="N45" s="15" t="s">
        <v>897</v>
      </c>
    </row>
    <row r="46" spans="1:14" x14ac:dyDescent="0.2">
      <c r="A46" s="4" t="s">
        <v>794</v>
      </c>
      <c r="B46" s="4" t="s">
        <v>50</v>
      </c>
      <c r="C46" s="4" t="s">
        <v>50</v>
      </c>
      <c r="D46" s="4" t="s">
        <v>9</v>
      </c>
      <c r="E46" s="15"/>
      <c r="F46" s="10"/>
      <c r="H46" s="9" t="s">
        <v>9</v>
      </c>
      <c r="I46" s="10">
        <v>45</v>
      </c>
      <c r="J46" s="2" t="s">
        <v>796</v>
      </c>
      <c r="K46" s="15">
        <v>1</v>
      </c>
      <c r="L46" s="15" t="s">
        <v>897</v>
      </c>
      <c r="M46" s="15" t="s">
        <v>897</v>
      </c>
      <c r="N46" s="15" t="s">
        <v>897</v>
      </c>
    </row>
    <row r="47" spans="1:14" x14ac:dyDescent="0.2">
      <c r="A47" s="4" t="s">
        <v>906</v>
      </c>
      <c r="B47" s="4" t="s">
        <v>50</v>
      </c>
      <c r="C47" s="4" t="s">
        <v>50</v>
      </c>
      <c r="D47" s="4" t="s">
        <v>9</v>
      </c>
      <c r="E47" s="15"/>
      <c r="F47" s="10"/>
      <c r="H47" s="9" t="s">
        <v>9</v>
      </c>
      <c r="I47" s="10">
        <v>46</v>
      </c>
      <c r="J47" s="2" t="s">
        <v>907</v>
      </c>
      <c r="K47" s="15">
        <v>1</v>
      </c>
      <c r="L47" s="15" t="s">
        <v>897</v>
      </c>
      <c r="M47" s="15" t="s">
        <v>897</v>
      </c>
      <c r="N47" s="15" t="s">
        <v>897</v>
      </c>
    </row>
    <row r="48" spans="1:14" x14ac:dyDescent="0.2">
      <c r="A48" s="4" t="s">
        <v>913</v>
      </c>
      <c r="B48" s="4" t="s">
        <v>50</v>
      </c>
      <c r="C48" s="4" t="s">
        <v>50</v>
      </c>
      <c r="D48" s="4" t="s">
        <v>9</v>
      </c>
      <c r="E48" s="15"/>
      <c r="F48" s="10"/>
      <c r="H48" s="9" t="s">
        <v>9</v>
      </c>
      <c r="I48" s="10">
        <v>47</v>
      </c>
      <c r="J48" s="2" t="s">
        <v>914</v>
      </c>
      <c r="K48" s="15">
        <v>1</v>
      </c>
      <c r="L48" s="15" t="s">
        <v>897</v>
      </c>
      <c r="M48" s="15" t="s">
        <v>897</v>
      </c>
      <c r="N48" s="15" t="s">
        <v>897</v>
      </c>
    </row>
    <row r="49" spans="1:14" x14ac:dyDescent="0.2">
      <c r="A49" s="4" t="s">
        <v>628</v>
      </c>
      <c r="B49" s="4" t="s">
        <v>50</v>
      </c>
      <c r="C49" s="4" t="s">
        <v>50</v>
      </c>
      <c r="D49" s="4" t="s">
        <v>9</v>
      </c>
      <c r="E49" s="15"/>
      <c r="F49" s="10"/>
      <c r="H49" s="9" t="s">
        <v>9</v>
      </c>
      <c r="I49" s="10">
        <v>48</v>
      </c>
      <c r="J49" s="2" t="s">
        <v>629</v>
      </c>
      <c r="K49" s="15">
        <v>1</v>
      </c>
      <c r="L49" s="15" t="s">
        <v>897</v>
      </c>
      <c r="M49" s="15" t="s">
        <v>897</v>
      </c>
      <c r="N49" s="15" t="s">
        <v>897</v>
      </c>
    </row>
    <row r="50" spans="1:14" x14ac:dyDescent="0.2">
      <c r="A50" s="4" t="s">
        <v>780</v>
      </c>
      <c r="B50" s="4" t="s">
        <v>50</v>
      </c>
      <c r="C50" s="4" t="s">
        <v>50</v>
      </c>
      <c r="D50" s="4" t="s">
        <v>9</v>
      </c>
      <c r="E50" s="15"/>
      <c r="F50" s="10"/>
      <c r="H50" s="9" t="s">
        <v>9</v>
      </c>
      <c r="I50" s="10">
        <v>49</v>
      </c>
      <c r="J50" s="2" t="s">
        <v>781</v>
      </c>
      <c r="K50" s="15">
        <v>1</v>
      </c>
      <c r="L50" s="15" t="s">
        <v>897</v>
      </c>
      <c r="M50" s="15" t="s">
        <v>897</v>
      </c>
      <c r="N50" s="15" t="s">
        <v>897</v>
      </c>
    </row>
    <row r="51" spans="1:14" x14ac:dyDescent="0.2">
      <c r="A51" s="4" t="s">
        <v>739</v>
      </c>
      <c r="B51" s="4" t="s">
        <v>50</v>
      </c>
      <c r="C51" s="4" t="s">
        <v>50</v>
      </c>
      <c r="D51" s="4" t="s">
        <v>9</v>
      </c>
      <c r="E51" s="15"/>
      <c r="F51" s="10"/>
      <c r="H51" s="9" t="s">
        <v>9</v>
      </c>
      <c r="I51" s="10">
        <v>50</v>
      </c>
      <c r="J51" s="2" t="s">
        <v>740</v>
      </c>
      <c r="K51" s="15">
        <v>1</v>
      </c>
      <c r="L51" s="15" t="s">
        <v>897</v>
      </c>
      <c r="M51" s="15" t="s">
        <v>897</v>
      </c>
      <c r="N51" s="15" t="s">
        <v>897</v>
      </c>
    </row>
    <row r="52" spans="1:14" x14ac:dyDescent="0.2">
      <c r="A52" s="4" t="s">
        <v>738</v>
      </c>
      <c r="B52" s="4" t="s">
        <v>50</v>
      </c>
      <c r="C52" s="4" t="s">
        <v>50</v>
      </c>
      <c r="D52" s="4" t="s">
        <v>9</v>
      </c>
      <c r="E52" s="15"/>
      <c r="F52" s="10"/>
      <c r="H52" s="9" t="s">
        <v>9</v>
      </c>
      <c r="I52" s="10">
        <v>51</v>
      </c>
      <c r="J52" s="2" t="s">
        <v>741</v>
      </c>
      <c r="K52" s="15">
        <v>1</v>
      </c>
      <c r="L52" s="15" t="s">
        <v>897</v>
      </c>
      <c r="M52" s="15" t="s">
        <v>897</v>
      </c>
      <c r="N52" s="15" t="s">
        <v>897</v>
      </c>
    </row>
    <row r="53" spans="1:14" x14ac:dyDescent="0.2">
      <c r="A53" s="4" t="s">
        <v>742</v>
      </c>
      <c r="B53" s="4" t="s">
        <v>50</v>
      </c>
      <c r="C53" s="4" t="s">
        <v>50</v>
      </c>
      <c r="D53" s="4" t="s">
        <v>9</v>
      </c>
      <c r="E53" s="15"/>
      <c r="F53" s="10"/>
      <c r="H53" s="9" t="s">
        <v>9</v>
      </c>
      <c r="I53" s="10">
        <v>52</v>
      </c>
      <c r="J53" s="2" t="s">
        <v>743</v>
      </c>
      <c r="K53" s="15">
        <v>1</v>
      </c>
      <c r="L53" s="15" t="s">
        <v>897</v>
      </c>
      <c r="M53" s="15" t="s">
        <v>897</v>
      </c>
      <c r="N53" s="15" t="s">
        <v>897</v>
      </c>
    </row>
    <row r="54" spans="1:14" x14ac:dyDescent="0.2">
      <c r="A54" s="4" t="s">
        <v>279</v>
      </c>
      <c r="B54" s="4" t="s">
        <v>54</v>
      </c>
      <c r="C54" s="4" t="s">
        <v>54</v>
      </c>
      <c r="D54" s="4" t="s">
        <v>39</v>
      </c>
      <c r="E54" s="15">
        <v>1.03</v>
      </c>
      <c r="F54" s="10" t="s">
        <v>275</v>
      </c>
      <c r="G54" s="22">
        <v>20</v>
      </c>
      <c r="H54" s="9" t="s">
        <v>39</v>
      </c>
      <c r="I54" s="10">
        <v>53</v>
      </c>
      <c r="J54" s="2" t="s">
        <v>497</v>
      </c>
      <c r="K54" s="15">
        <v>1.3</v>
      </c>
      <c r="L54" s="15" t="s">
        <v>898</v>
      </c>
      <c r="M54" s="15" t="s">
        <v>898</v>
      </c>
      <c r="N54" s="15" t="s">
        <v>898</v>
      </c>
    </row>
    <row r="55" spans="1:14" x14ac:dyDescent="0.2">
      <c r="A55" s="4" t="s">
        <v>271</v>
      </c>
      <c r="B55" s="4" t="s">
        <v>54</v>
      </c>
      <c r="C55" s="4" t="s">
        <v>54</v>
      </c>
      <c r="D55" s="4" t="s">
        <v>39</v>
      </c>
      <c r="E55" s="15">
        <v>1.03</v>
      </c>
      <c r="F55" s="10" t="s">
        <v>275</v>
      </c>
      <c r="G55" s="22">
        <v>20</v>
      </c>
      <c r="H55" s="9" t="s">
        <v>39</v>
      </c>
      <c r="I55" s="10">
        <v>54</v>
      </c>
      <c r="J55" s="2" t="s">
        <v>272</v>
      </c>
      <c r="K55" s="15">
        <v>1.3</v>
      </c>
      <c r="L55" s="15" t="s">
        <v>898</v>
      </c>
      <c r="M55" s="15" t="s">
        <v>898</v>
      </c>
      <c r="N55" s="15" t="s">
        <v>898</v>
      </c>
    </row>
    <row r="56" spans="1:14" x14ac:dyDescent="0.2">
      <c r="A56" s="4" t="s">
        <v>836</v>
      </c>
      <c r="B56" s="4" t="s">
        <v>50</v>
      </c>
      <c r="C56" s="4" t="s">
        <v>50</v>
      </c>
      <c r="D56" s="4" t="s">
        <v>9</v>
      </c>
      <c r="E56" s="15"/>
      <c r="F56" s="10"/>
      <c r="H56" s="9" t="s">
        <v>9</v>
      </c>
      <c r="I56" s="10">
        <v>55</v>
      </c>
      <c r="J56" s="2" t="s">
        <v>837</v>
      </c>
      <c r="K56" s="15">
        <v>1</v>
      </c>
      <c r="L56" s="15" t="s">
        <v>897</v>
      </c>
      <c r="M56" s="15" t="s">
        <v>897</v>
      </c>
      <c r="N56" s="15" t="s">
        <v>897</v>
      </c>
    </row>
    <row r="57" spans="1:14" x14ac:dyDescent="0.2">
      <c r="A57" s="4" t="s">
        <v>623</v>
      </c>
      <c r="B57" s="4" t="s">
        <v>50</v>
      </c>
      <c r="C57" s="4" t="s">
        <v>50</v>
      </c>
      <c r="D57" s="4" t="s">
        <v>9</v>
      </c>
      <c r="E57" s="15"/>
      <c r="F57" s="10"/>
      <c r="H57" s="9" t="s">
        <v>9</v>
      </c>
      <c r="I57" s="10">
        <v>56</v>
      </c>
      <c r="J57" s="2" t="s">
        <v>624</v>
      </c>
      <c r="K57" s="15">
        <v>1</v>
      </c>
      <c r="L57" s="15" t="s">
        <v>897</v>
      </c>
      <c r="M57" s="15" t="s">
        <v>897</v>
      </c>
      <c r="N57" s="15" t="s">
        <v>897</v>
      </c>
    </row>
    <row r="58" spans="1:14" x14ac:dyDescent="0.2">
      <c r="A58" s="4" t="s">
        <v>340</v>
      </c>
      <c r="B58" s="4" t="s">
        <v>21</v>
      </c>
      <c r="C58" s="4" t="s">
        <v>21</v>
      </c>
      <c r="D58" s="4" t="s">
        <v>39</v>
      </c>
      <c r="E58" s="15">
        <v>1.04</v>
      </c>
      <c r="F58" s="10" t="s">
        <v>275</v>
      </c>
      <c r="G58" s="22">
        <v>20</v>
      </c>
      <c r="H58" s="9" t="s">
        <v>39</v>
      </c>
      <c r="I58" s="10">
        <v>57</v>
      </c>
      <c r="J58" s="2" t="s">
        <v>341</v>
      </c>
      <c r="K58" s="15">
        <v>1.1000000000000001</v>
      </c>
      <c r="L58" s="15" t="s">
        <v>894</v>
      </c>
      <c r="M58" s="15" t="s">
        <v>894</v>
      </c>
      <c r="N58" s="15" t="s">
        <v>894</v>
      </c>
    </row>
    <row r="59" spans="1:14" x14ac:dyDescent="0.2">
      <c r="A59" s="4" t="s">
        <v>925</v>
      </c>
      <c r="B59" s="4" t="s">
        <v>50</v>
      </c>
      <c r="C59" s="4" t="s">
        <v>50</v>
      </c>
      <c r="D59" s="4" t="s">
        <v>9</v>
      </c>
      <c r="E59" s="15"/>
      <c r="F59" s="10"/>
      <c r="H59" s="9" t="s">
        <v>9</v>
      </c>
      <c r="I59" s="10">
        <v>58</v>
      </c>
      <c r="J59" s="2" t="s">
        <v>926</v>
      </c>
      <c r="K59" s="15">
        <v>1</v>
      </c>
      <c r="L59" s="15" t="s">
        <v>897</v>
      </c>
      <c r="M59" s="15" t="s">
        <v>897</v>
      </c>
      <c r="N59" s="15" t="s">
        <v>897</v>
      </c>
    </row>
    <row r="60" spans="1:14" x14ac:dyDescent="0.2">
      <c r="A60" s="4" t="s">
        <v>930</v>
      </c>
      <c r="B60" s="4" t="s">
        <v>50</v>
      </c>
      <c r="C60" s="4" t="s">
        <v>50</v>
      </c>
      <c r="D60" s="4" t="s">
        <v>9</v>
      </c>
      <c r="E60" s="15"/>
      <c r="F60" s="10"/>
      <c r="H60" s="9" t="s">
        <v>9</v>
      </c>
      <c r="I60" s="10">
        <v>59</v>
      </c>
      <c r="J60" s="2" t="s">
        <v>931</v>
      </c>
      <c r="K60" s="15">
        <v>1</v>
      </c>
      <c r="L60" s="15" t="s">
        <v>897</v>
      </c>
      <c r="M60" s="15" t="s">
        <v>897</v>
      </c>
      <c r="N60" s="15" t="s">
        <v>897</v>
      </c>
    </row>
    <row r="61" spans="1:14" x14ac:dyDescent="0.2">
      <c r="A61" s="4" t="s">
        <v>434</v>
      </c>
      <c r="B61" s="4" t="s">
        <v>56</v>
      </c>
      <c r="C61" s="4" t="s">
        <v>56</v>
      </c>
      <c r="D61" s="4" t="s">
        <v>9</v>
      </c>
      <c r="E61" s="15"/>
      <c r="F61" s="10"/>
      <c r="H61" s="9" t="s">
        <v>39</v>
      </c>
      <c r="I61" s="10">
        <v>60</v>
      </c>
      <c r="J61" s="2" t="s">
        <v>432</v>
      </c>
      <c r="K61" s="15">
        <v>1</v>
      </c>
      <c r="L61" s="15" t="s">
        <v>898</v>
      </c>
      <c r="M61" s="15" t="s">
        <v>898</v>
      </c>
      <c r="N61" s="15" t="s">
        <v>56</v>
      </c>
    </row>
    <row r="62" spans="1:14" x14ac:dyDescent="0.2">
      <c r="A62" s="4" t="s">
        <v>828</v>
      </c>
      <c r="B62" s="4" t="s">
        <v>50</v>
      </c>
      <c r="C62" s="4" t="s">
        <v>50</v>
      </c>
      <c r="D62" s="4" t="s">
        <v>9</v>
      </c>
      <c r="E62" s="15"/>
      <c r="F62" s="10"/>
      <c r="H62" s="9" t="s">
        <v>9</v>
      </c>
      <c r="I62" s="10">
        <v>61</v>
      </c>
      <c r="J62" s="2" t="s">
        <v>829</v>
      </c>
      <c r="K62" s="15">
        <v>1</v>
      </c>
      <c r="L62" s="15" t="s">
        <v>897</v>
      </c>
      <c r="M62" s="15" t="s">
        <v>897</v>
      </c>
      <c r="N62" s="15" t="s">
        <v>897</v>
      </c>
    </row>
    <row r="63" spans="1:14" x14ac:dyDescent="0.2">
      <c r="A63" s="4" t="s">
        <v>573</v>
      </c>
      <c r="B63" s="4" t="s">
        <v>50</v>
      </c>
      <c r="C63" s="4" t="s">
        <v>50</v>
      </c>
      <c r="D63" s="4" t="s">
        <v>9</v>
      </c>
      <c r="E63" s="15"/>
      <c r="F63" s="10"/>
      <c r="H63" s="9" t="s">
        <v>39</v>
      </c>
      <c r="I63" s="10">
        <v>62</v>
      </c>
      <c r="J63" s="2" t="s">
        <v>574</v>
      </c>
      <c r="K63" s="15">
        <v>1</v>
      </c>
      <c r="L63" s="15" t="s">
        <v>897</v>
      </c>
      <c r="M63" s="15" t="s">
        <v>897</v>
      </c>
      <c r="N63" s="15" t="s">
        <v>897</v>
      </c>
    </row>
    <row r="64" spans="1:14" x14ac:dyDescent="0.2">
      <c r="A64" s="4" t="s">
        <v>756</v>
      </c>
      <c r="B64" s="4" t="s">
        <v>50</v>
      </c>
      <c r="C64" s="4" t="s">
        <v>50</v>
      </c>
      <c r="D64" s="4" t="s">
        <v>9</v>
      </c>
      <c r="E64" s="15"/>
      <c r="F64" s="10"/>
      <c r="H64" s="9" t="s">
        <v>9</v>
      </c>
      <c r="I64" s="10">
        <v>63</v>
      </c>
      <c r="J64" s="2" t="s">
        <v>757</v>
      </c>
      <c r="K64" s="15">
        <v>1</v>
      </c>
      <c r="L64" s="15" t="s">
        <v>897</v>
      </c>
      <c r="M64" s="15" t="s">
        <v>897</v>
      </c>
      <c r="N64" s="15" t="s">
        <v>897</v>
      </c>
    </row>
    <row r="65" spans="1:14" x14ac:dyDescent="0.2">
      <c r="A65" s="4" t="s">
        <v>841</v>
      </c>
      <c r="B65" s="4" t="s">
        <v>50</v>
      </c>
      <c r="C65" s="4" t="s">
        <v>50</v>
      </c>
      <c r="D65" s="4" t="s">
        <v>9</v>
      </c>
      <c r="E65" s="15"/>
      <c r="F65" s="10"/>
      <c r="H65" s="9" t="s">
        <v>9</v>
      </c>
      <c r="I65" s="10">
        <v>64</v>
      </c>
      <c r="J65" s="2" t="s">
        <v>842</v>
      </c>
      <c r="K65" s="15">
        <v>1</v>
      </c>
      <c r="L65" s="15" t="s">
        <v>897</v>
      </c>
      <c r="M65" s="15" t="s">
        <v>897</v>
      </c>
      <c r="N65" s="15" t="s">
        <v>897</v>
      </c>
    </row>
    <row r="66" spans="1:14" x14ac:dyDescent="0.2">
      <c r="A66" s="4" t="s">
        <v>937</v>
      </c>
      <c r="B66" s="4" t="s">
        <v>50</v>
      </c>
      <c r="C66" s="4" t="s">
        <v>50</v>
      </c>
      <c r="D66" s="4" t="s">
        <v>9</v>
      </c>
      <c r="E66" s="15"/>
      <c r="F66" s="10"/>
      <c r="H66" s="9" t="s">
        <v>9</v>
      </c>
      <c r="I66" s="10">
        <v>65</v>
      </c>
      <c r="J66" s="2" t="s">
        <v>938</v>
      </c>
      <c r="K66" s="15">
        <v>1</v>
      </c>
      <c r="L66" s="15" t="s">
        <v>897</v>
      </c>
      <c r="M66" s="15" t="s">
        <v>897</v>
      </c>
      <c r="N66" s="15" t="s">
        <v>897</v>
      </c>
    </row>
    <row r="67" spans="1:14" x14ac:dyDescent="0.2">
      <c r="A67" s="4" t="s">
        <v>701</v>
      </c>
      <c r="B67" s="4" t="s">
        <v>50</v>
      </c>
      <c r="C67" s="4" t="s">
        <v>50</v>
      </c>
      <c r="D67" s="4" t="s">
        <v>9</v>
      </c>
      <c r="E67" s="15"/>
      <c r="F67" s="10"/>
      <c r="H67" s="9" t="s">
        <v>9</v>
      </c>
      <c r="I67" s="10">
        <v>66</v>
      </c>
      <c r="J67" s="2" t="s">
        <v>702</v>
      </c>
      <c r="K67" s="15">
        <v>1</v>
      </c>
      <c r="L67" s="15" t="s">
        <v>897</v>
      </c>
      <c r="M67" s="15" t="s">
        <v>897</v>
      </c>
      <c r="N67" s="15" t="s">
        <v>897</v>
      </c>
    </row>
    <row r="68" spans="1:14" x14ac:dyDescent="0.2">
      <c r="A68" s="4" t="s">
        <v>467</v>
      </c>
      <c r="B68" s="4" t="s">
        <v>107</v>
      </c>
      <c r="C68" s="4" t="s">
        <v>53</v>
      </c>
      <c r="D68" s="4" t="s">
        <v>9</v>
      </c>
      <c r="E68" s="15"/>
      <c r="F68" s="10"/>
      <c r="H68" s="9" t="s">
        <v>39</v>
      </c>
      <c r="I68" s="10">
        <v>67</v>
      </c>
      <c r="J68" s="2" t="s">
        <v>492</v>
      </c>
      <c r="K68" s="15">
        <v>1</v>
      </c>
      <c r="L68" s="15" t="s">
        <v>898</v>
      </c>
      <c r="M68" s="15" t="s">
        <v>898</v>
      </c>
      <c r="N68" s="15" t="s">
        <v>898</v>
      </c>
    </row>
    <row r="69" spans="1:14" x14ac:dyDescent="0.2">
      <c r="A69" s="4" t="s">
        <v>687</v>
      </c>
      <c r="B69" s="4" t="s">
        <v>50</v>
      </c>
      <c r="C69" s="4" t="s">
        <v>50</v>
      </c>
      <c r="D69" s="4" t="s">
        <v>9</v>
      </c>
      <c r="E69" s="15"/>
      <c r="F69" s="10"/>
      <c r="H69" s="9" t="s">
        <v>9</v>
      </c>
      <c r="I69" s="10">
        <v>68</v>
      </c>
      <c r="J69" s="2" t="s">
        <v>688</v>
      </c>
      <c r="K69" s="15">
        <v>1</v>
      </c>
      <c r="L69" s="15" t="s">
        <v>897</v>
      </c>
      <c r="M69" s="15" t="s">
        <v>897</v>
      </c>
      <c r="N69" s="15" t="s">
        <v>897</v>
      </c>
    </row>
    <row r="70" spans="1:14" x14ac:dyDescent="0.2">
      <c r="A70" s="4" t="s">
        <v>117</v>
      </c>
      <c r="B70" s="4" t="s">
        <v>21</v>
      </c>
      <c r="C70" s="4" t="s">
        <v>21</v>
      </c>
      <c r="D70" s="4" t="s">
        <v>39</v>
      </c>
      <c r="E70" s="15">
        <v>1</v>
      </c>
      <c r="F70" s="10" t="s">
        <v>275</v>
      </c>
      <c r="G70" s="22">
        <v>20</v>
      </c>
      <c r="H70" s="9" t="s">
        <v>39</v>
      </c>
      <c r="I70" s="10">
        <v>69</v>
      </c>
      <c r="J70" s="2" t="s">
        <v>148</v>
      </c>
      <c r="K70" s="15">
        <v>1</v>
      </c>
      <c r="L70" s="15" t="s">
        <v>898</v>
      </c>
      <c r="M70" s="15" t="s">
        <v>898</v>
      </c>
      <c r="N70" s="15" t="s">
        <v>905</v>
      </c>
    </row>
    <row r="71" spans="1:14" x14ac:dyDescent="0.2">
      <c r="A71" s="4" t="s">
        <v>7</v>
      </c>
      <c r="B71" s="4" t="s">
        <v>21</v>
      </c>
      <c r="C71" s="4" t="s">
        <v>21</v>
      </c>
      <c r="D71" s="4" t="s">
        <v>39</v>
      </c>
      <c r="E71" s="15">
        <v>1</v>
      </c>
      <c r="F71" s="10" t="s">
        <v>275</v>
      </c>
      <c r="G71" s="22">
        <v>20</v>
      </c>
      <c r="H71" s="9" t="s">
        <v>39</v>
      </c>
      <c r="I71" s="10">
        <v>70</v>
      </c>
      <c r="J71" s="2" t="s">
        <v>8</v>
      </c>
      <c r="K71" s="15">
        <v>1</v>
      </c>
      <c r="L71" s="15" t="s">
        <v>898</v>
      </c>
      <c r="M71" s="15" t="s">
        <v>898</v>
      </c>
      <c r="N71" s="15" t="s">
        <v>905</v>
      </c>
    </row>
    <row r="72" spans="1:14" x14ac:dyDescent="0.2">
      <c r="A72" s="4" t="s">
        <v>346</v>
      </c>
      <c r="B72" s="4" t="s">
        <v>21</v>
      </c>
      <c r="C72" s="4" t="s">
        <v>21</v>
      </c>
      <c r="D72" s="4" t="s">
        <v>39</v>
      </c>
      <c r="E72" s="15">
        <v>0.99</v>
      </c>
      <c r="F72" s="10" t="s">
        <v>275</v>
      </c>
      <c r="G72" s="22">
        <v>20</v>
      </c>
      <c r="H72" s="9" t="s">
        <v>39</v>
      </c>
      <c r="I72" s="10">
        <v>71</v>
      </c>
      <c r="J72" s="2" t="s">
        <v>347</v>
      </c>
      <c r="K72" s="15">
        <v>0.7</v>
      </c>
      <c r="L72" s="15" t="s">
        <v>893</v>
      </c>
      <c r="M72" s="15" t="s">
        <v>893</v>
      </c>
      <c r="N72" s="15" t="s">
        <v>893</v>
      </c>
    </row>
    <row r="73" spans="1:14" x14ac:dyDescent="0.2">
      <c r="A73" s="4" t="s">
        <v>354</v>
      </c>
      <c r="B73" s="4" t="s">
        <v>21</v>
      </c>
      <c r="C73" s="4" t="s">
        <v>21</v>
      </c>
      <c r="D73" s="4" t="s">
        <v>39</v>
      </c>
      <c r="E73" s="15">
        <v>0.99</v>
      </c>
      <c r="F73" s="10" t="s">
        <v>275</v>
      </c>
      <c r="G73" s="22">
        <v>20</v>
      </c>
      <c r="H73" s="9" t="s">
        <v>39</v>
      </c>
      <c r="I73" s="10">
        <v>72</v>
      </c>
      <c r="J73" s="2" t="s">
        <v>355</v>
      </c>
      <c r="K73" s="15">
        <v>0.7</v>
      </c>
      <c r="L73" s="15" t="s">
        <v>893</v>
      </c>
      <c r="M73" s="15" t="s">
        <v>893</v>
      </c>
      <c r="N73" s="15" t="s">
        <v>893</v>
      </c>
    </row>
    <row r="74" spans="1:14" x14ac:dyDescent="0.2">
      <c r="A74" s="4" t="s">
        <v>350</v>
      </c>
      <c r="B74" s="4" t="s">
        <v>21</v>
      </c>
      <c r="C74" s="4" t="s">
        <v>21</v>
      </c>
      <c r="D74" s="4" t="s">
        <v>39</v>
      </c>
      <c r="E74" s="15">
        <v>0.99</v>
      </c>
      <c r="F74" s="10" t="s">
        <v>275</v>
      </c>
      <c r="G74" s="22">
        <v>20</v>
      </c>
      <c r="H74" s="9" t="s">
        <v>39</v>
      </c>
      <c r="I74" s="10">
        <v>73</v>
      </c>
      <c r="J74" s="2" t="s">
        <v>353</v>
      </c>
      <c r="K74" s="15">
        <v>0.7</v>
      </c>
      <c r="L74" s="15" t="s">
        <v>893</v>
      </c>
      <c r="M74" s="15" t="s">
        <v>893</v>
      </c>
      <c r="N74" s="15" t="s">
        <v>893</v>
      </c>
    </row>
    <row r="75" spans="1:14" x14ac:dyDescent="0.2">
      <c r="A75" s="4" t="s">
        <v>351</v>
      </c>
      <c r="B75" s="4" t="s">
        <v>21</v>
      </c>
      <c r="C75" s="4" t="s">
        <v>21</v>
      </c>
      <c r="D75" s="4" t="s">
        <v>39</v>
      </c>
      <c r="E75" s="15">
        <v>0.99</v>
      </c>
      <c r="F75" s="10" t="s">
        <v>275</v>
      </c>
      <c r="G75" s="22">
        <v>20</v>
      </c>
      <c r="H75" s="9" t="s">
        <v>39</v>
      </c>
      <c r="I75" s="10">
        <v>74</v>
      </c>
      <c r="J75" s="2" t="s">
        <v>352</v>
      </c>
      <c r="K75" s="15">
        <v>0.7</v>
      </c>
      <c r="L75" s="15" t="s">
        <v>893</v>
      </c>
      <c r="M75" s="15" t="s">
        <v>893</v>
      </c>
      <c r="N75" s="15" t="s">
        <v>893</v>
      </c>
    </row>
  </sheetData>
  <sheetProtection selectLockedCells="1" selectUnlockedCells="1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D2F19D05-AF5A-3B49-B7E0-190FD18D18A2}">
          <x14:formula1>
            <xm:f>DROPDOWN!$B$3:$B$14</xm:f>
          </x14:formula1>
          <xm:sqref>B2:C75</xm:sqref>
        </x14:dataValidation>
        <x14:dataValidation type="list" allowBlank="1" showInputMessage="1" showErrorMessage="1" xr:uid="{080F66C6-F885-E641-9ED5-D895453BABE9}">
          <x14:formula1>
            <xm:f>DROPDOWN!$D$3:$D$4</xm:f>
          </x14:formula1>
          <xm:sqref>D2:D75 H2:H75</xm:sqref>
        </x14:dataValidation>
        <x14:dataValidation type="list" allowBlank="1" showInputMessage="1" showErrorMessage="1" xr:uid="{E035E458-C817-5945-A8E9-5BF8424152E5}">
          <x14:formula1>
            <xm:f>DROPDOWN!$F$3:$F$12</xm:f>
          </x14:formula1>
          <xm:sqref>F2:F75</xm:sqref>
        </x14:dataValidation>
        <x14:dataValidation type="list" allowBlank="1" showInputMessage="1" showErrorMessage="1" xr:uid="{D044AEA1-9F66-1A49-A48B-EF448E0368D9}">
          <x14:formula1>
            <xm:f>BONUS_MALUS!$B$5:$B$11</xm:f>
          </x14:formula1>
          <xm:sqref>L2:L75</xm:sqref>
        </x14:dataValidation>
        <x14:dataValidation type="list" allowBlank="1" showInputMessage="1" showErrorMessage="1" xr:uid="{46614ECD-F25E-7644-999B-A899E936D0CA}">
          <x14:formula1>
            <xm:f>BONUS_MALUS!$E$5:$E$11</xm:f>
          </x14:formula1>
          <xm:sqref>M2:M75</xm:sqref>
        </x14:dataValidation>
        <x14:dataValidation type="list" allowBlank="1" showInputMessage="1" showErrorMessage="1" xr:uid="{6DFB8813-2FE6-3342-9636-DF54E08EFCA2}">
          <x14:formula1>
            <xm:f>BONUS_MALUS!$H$5:$H$14</xm:f>
          </x14:formula1>
          <xm:sqref>N2:N75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B74D0-1B6E-924A-B3D4-6B921D468CF3}">
  <dimension ref="A1:K75"/>
  <sheetViews>
    <sheetView zoomScale="120" zoomScaleNormal="120" workbookViewId="0">
      <selection activeCell="A17" sqref="A17"/>
    </sheetView>
  </sheetViews>
  <sheetFormatPr baseColWidth="10" defaultRowHeight="16" x14ac:dyDescent="0.2"/>
  <cols>
    <col min="1" max="1" width="32.33203125" style="1" bestFit="1" customWidth="1"/>
    <col min="2" max="2" width="19.83203125" style="1" bestFit="1" customWidth="1"/>
    <col min="3" max="3" width="19.83203125" style="1" customWidth="1"/>
    <col min="4" max="4" width="11.1640625" style="1" bestFit="1" customWidth="1"/>
    <col min="5" max="5" width="19.1640625" style="1" bestFit="1" customWidth="1"/>
    <col min="6" max="6" width="21" style="1" bestFit="1" customWidth="1"/>
    <col min="7" max="7" width="26.83203125" style="1" bestFit="1" customWidth="1"/>
    <col min="8" max="8" width="14.5" style="1" bestFit="1" customWidth="1"/>
    <col min="9" max="9" width="13.1640625" style="1" bestFit="1" customWidth="1"/>
    <col min="10" max="10" width="27.83203125" style="1" bestFit="1" customWidth="1"/>
    <col min="11" max="11" width="15.6640625" style="1" bestFit="1" customWidth="1"/>
    <col min="12" max="16384" width="10.83203125" style="1"/>
  </cols>
  <sheetData>
    <row r="1" spans="1:11" s="5" customFormat="1" x14ac:dyDescent="0.2">
      <c r="A1" s="40" t="s">
        <v>0</v>
      </c>
      <c r="B1" s="41" t="s">
        <v>464</v>
      </c>
      <c r="C1" s="41" t="s">
        <v>465</v>
      </c>
      <c r="D1" s="41" t="s">
        <v>46</v>
      </c>
      <c r="E1" s="41" t="s">
        <v>47</v>
      </c>
      <c r="F1" s="41" t="s">
        <v>273</v>
      </c>
      <c r="G1" s="41" t="s">
        <v>274</v>
      </c>
      <c r="H1" s="41" t="s">
        <v>613</v>
      </c>
      <c r="I1" s="41" t="s">
        <v>6</v>
      </c>
      <c r="J1" s="42" t="s">
        <v>106</v>
      </c>
      <c r="K1" s="42" t="s">
        <v>614</v>
      </c>
    </row>
    <row r="2" spans="1:11" x14ac:dyDescent="0.2">
      <c r="A2" s="16" t="str" cm="1">
        <f t="array" ref="A2:K75">_xlfn.HSTACK(
 tbl_products[product_key],
 tbl_products[group_display_key],
 tbl_products[group_model_key],
 tbl_products[is_drink],
 IF(
  ISNUMBER(tbl_products[density_g_per_ml]),
  IF(
   tbl_products[density_g_per_ml]=TRUNC(tbl_products[density_g_per_ml]),
   TEXT(tbl_products[density_g_per_ml],"0"),
   SUBSTITUTE(
    TEXT(tbl_products[density_g_per_ml],"0,############"),
    ",",
    "."
   )
  ),
  ""
 ),
 IF(
  LEN(tbl_products[density_source_key])=0,
  "",
  tbl_products[density_source_key]
 ),
 IF(
  ISNUMBER(tbl_products[density_reference_temp_c]),
  IF(
   tbl_products[density_reference_temp_c]=TRUNC(tbl_products[density_reference_temp_c]),
   TEXT(tbl_products[density_reference_temp_c],"0"),
   SUBSTITUTE(
    TEXT(tbl_products[density_reference_temp_c],"0,############"),
    ",",
    "."
   )
  ),
  ""
 ),
 tbl_products[is_basic],
 tbl_products[sort_order],
 tbl_products[description_internal],
 IF(
  ISNUMBER(tbl_products[hydration_factor]),
  IF(
   tbl_products[hydration_factor]=TRUNC(tbl_products[hydration_factor]),
   TEXT(tbl_products[hydration_factor],"0"),
   SUBSTITUTE(
    TEXT(tbl_products[hydration_factor],"0,############"),
    ",",
    "."
   )
  ),
  ""
 )
)</f>
        <v>APPLE</v>
      </c>
      <c r="B2" s="1" t="str">
        <v>FRUITS</v>
      </c>
      <c r="C2" s="1" t="str">
        <v>FRUITS</v>
      </c>
      <c r="D2" s="1" t="str">
        <v>false</v>
      </c>
      <c r="E2" s="1" t="str">
        <v/>
      </c>
      <c r="F2" s="1" t="str">
        <v/>
      </c>
      <c r="G2" s="1" t="str">
        <v/>
      </c>
      <c r="H2" s="1" t="str">
        <v>false</v>
      </c>
      <c r="I2" s="1">
        <v>1</v>
      </c>
      <c r="J2" s="1" t="str">
        <v>Appel</v>
      </c>
      <c r="K2" s="1" t="str">
        <v>1</v>
      </c>
    </row>
    <row r="3" spans="1:11" x14ac:dyDescent="0.2">
      <c r="A3" s="1" t="str">
        <v>APRICOT</v>
      </c>
      <c r="B3" s="1" t="str">
        <v>FRUITS</v>
      </c>
      <c r="C3" s="1" t="str">
        <v>FRUITS</v>
      </c>
      <c r="D3" s="1" t="str">
        <v>false</v>
      </c>
      <c r="E3" s="1" t="str">
        <v/>
      </c>
      <c r="F3" s="1" t="str">
        <v/>
      </c>
      <c r="G3" s="1" t="str">
        <v/>
      </c>
      <c r="H3" s="1" t="str">
        <v>false</v>
      </c>
      <c r="I3" s="1">
        <v>2</v>
      </c>
      <c r="J3" s="1" t="str">
        <v>Abrikoos</v>
      </c>
      <c r="K3" s="1" t="str">
        <v>1</v>
      </c>
    </row>
    <row r="4" spans="1:11" x14ac:dyDescent="0.2">
      <c r="A4" s="1" t="str">
        <v>ARTICHOKE</v>
      </c>
      <c r="B4" s="1" t="str">
        <v>VEGETABLES</v>
      </c>
      <c r="C4" s="1" t="str">
        <v>VEGETABLES</v>
      </c>
      <c r="D4" s="1" t="str">
        <v>false</v>
      </c>
      <c r="E4" s="1" t="str">
        <v/>
      </c>
      <c r="F4" s="1" t="str">
        <v/>
      </c>
      <c r="G4" s="1" t="str">
        <v/>
      </c>
      <c r="H4" s="1" t="str">
        <v>false</v>
      </c>
      <c r="I4" s="1">
        <v>3</v>
      </c>
      <c r="J4" s="1" t="str">
        <v>Artisjok</v>
      </c>
      <c r="K4" s="1" t="str">
        <v>1</v>
      </c>
    </row>
    <row r="5" spans="1:11" x14ac:dyDescent="0.2">
      <c r="A5" s="1" t="str">
        <v>ARUGULA</v>
      </c>
      <c r="B5" s="1" t="str">
        <v>VEGETABLES</v>
      </c>
      <c r="C5" s="1" t="str">
        <v>VEGETABLES</v>
      </c>
      <c r="D5" s="1" t="str">
        <v>false</v>
      </c>
      <c r="E5" s="1" t="str">
        <v/>
      </c>
      <c r="F5" s="1" t="str">
        <v/>
      </c>
      <c r="G5" s="1" t="str">
        <v/>
      </c>
      <c r="H5" s="1" t="str">
        <v>false</v>
      </c>
      <c r="I5" s="1">
        <v>4</v>
      </c>
      <c r="J5" s="1" t="str">
        <v>Rucola</v>
      </c>
      <c r="K5" s="1" t="str">
        <v>1</v>
      </c>
    </row>
    <row r="6" spans="1:11" x14ac:dyDescent="0.2">
      <c r="A6" s="1" t="str">
        <v>ASPARAGUS</v>
      </c>
      <c r="B6" s="1" t="str">
        <v>VEGETABLES</v>
      </c>
      <c r="C6" s="1" t="str">
        <v>VEGETABLES</v>
      </c>
      <c r="D6" s="1" t="str">
        <v>false</v>
      </c>
      <c r="E6" s="1" t="str">
        <v/>
      </c>
      <c r="F6" s="1" t="str">
        <v/>
      </c>
      <c r="G6" s="1" t="str">
        <v/>
      </c>
      <c r="H6" s="1" t="str">
        <v>false</v>
      </c>
      <c r="I6" s="1">
        <v>5</v>
      </c>
      <c r="J6" s="1" t="str">
        <v>Asperge</v>
      </c>
      <c r="K6" s="1" t="str">
        <v>1</v>
      </c>
    </row>
    <row r="7" spans="1:11" x14ac:dyDescent="0.2">
      <c r="A7" s="1" t="str">
        <v>ASPARAGUS_GREEN</v>
      </c>
      <c r="B7" s="1" t="str">
        <v>VEGETABLES</v>
      </c>
      <c r="C7" s="1" t="str">
        <v>VEGETABLES</v>
      </c>
      <c r="D7" s="1" t="str">
        <v>false</v>
      </c>
      <c r="E7" s="1" t="str">
        <v/>
      </c>
      <c r="F7" s="1" t="str">
        <v/>
      </c>
      <c r="G7" s="1" t="str">
        <v/>
      </c>
      <c r="H7" s="1" t="str">
        <v>false</v>
      </c>
      <c r="I7" s="1">
        <v>6</v>
      </c>
      <c r="J7" s="1" t="str">
        <v>Asperge, groen</v>
      </c>
      <c r="K7" s="1" t="str">
        <v>1</v>
      </c>
    </row>
    <row r="8" spans="1:11" x14ac:dyDescent="0.2">
      <c r="A8" s="1" t="str">
        <v>ASPARAGUS_WHITE</v>
      </c>
      <c r="B8" s="1" t="str">
        <v>VEGETABLES</v>
      </c>
      <c r="C8" s="1" t="str">
        <v>VEGETABLES</v>
      </c>
      <c r="D8" s="1" t="str">
        <v>false</v>
      </c>
      <c r="E8" s="1" t="str">
        <v/>
      </c>
      <c r="F8" s="1" t="str">
        <v/>
      </c>
      <c r="G8" s="1" t="str">
        <v/>
      </c>
      <c r="H8" s="1" t="str">
        <v>false</v>
      </c>
      <c r="I8" s="1">
        <v>7</v>
      </c>
      <c r="J8" s="1" t="str">
        <v>Asperge, wit</v>
      </c>
      <c r="K8" s="1" t="str">
        <v>1</v>
      </c>
    </row>
    <row r="9" spans="1:11" x14ac:dyDescent="0.2">
      <c r="A9" s="1" t="str">
        <v>AVOCADO</v>
      </c>
      <c r="B9" s="1" t="str">
        <v>FRUITS</v>
      </c>
      <c r="C9" s="1" t="str">
        <v>FRUITS</v>
      </c>
      <c r="D9" s="1" t="str">
        <v>false</v>
      </c>
      <c r="E9" s="1" t="str">
        <v/>
      </c>
      <c r="F9" s="1" t="str">
        <v/>
      </c>
      <c r="G9" s="1" t="str">
        <v/>
      </c>
      <c r="H9" s="1" t="str">
        <v>true</v>
      </c>
      <c r="I9" s="1">
        <v>8</v>
      </c>
      <c r="J9" s="1" t="str">
        <v>Avocado</v>
      </c>
      <c r="K9" s="1" t="str">
        <v>1</v>
      </c>
    </row>
    <row r="10" spans="1:11" x14ac:dyDescent="0.2">
      <c r="A10" s="1" t="str">
        <v>BANANA</v>
      </c>
      <c r="B10" s="1" t="str">
        <v>FRUITS</v>
      </c>
      <c r="C10" s="1" t="str">
        <v>FRUITS</v>
      </c>
      <c r="D10" s="1" t="str">
        <v>false</v>
      </c>
      <c r="E10" s="1" t="str">
        <v/>
      </c>
      <c r="F10" s="1" t="str">
        <v/>
      </c>
      <c r="G10" s="1" t="str">
        <v/>
      </c>
      <c r="H10" s="1" t="str">
        <v>true</v>
      </c>
      <c r="I10" s="1">
        <v>9</v>
      </c>
      <c r="J10" s="1" t="str">
        <v>Banaan</v>
      </c>
      <c r="K10" s="1" t="str">
        <v>1</v>
      </c>
    </row>
    <row r="11" spans="1:11" x14ac:dyDescent="0.2">
      <c r="A11" s="1" t="str">
        <v>BEER_LAGER_5</v>
      </c>
      <c r="B11" s="1" t="str">
        <v>BEVERAGES</v>
      </c>
      <c r="C11" s="1" t="str">
        <v>BEVERAGES</v>
      </c>
      <c r="D11" s="1" t="str">
        <v>true</v>
      </c>
      <c r="E11" s="1" t="str">
        <v>1.01</v>
      </c>
      <c r="F11" s="1" t="str">
        <v>LITERATURE</v>
      </c>
      <c r="G11" s="1" t="str">
        <v>20</v>
      </c>
      <c r="H11" s="1" t="str">
        <v>true</v>
      </c>
      <c r="I11" s="1">
        <v>10</v>
      </c>
      <c r="J11" s="1" t="str">
        <v>Bier, 5% vol</v>
      </c>
      <c r="K11" s="1" t="str">
        <v>1</v>
      </c>
    </row>
    <row r="12" spans="1:11" x14ac:dyDescent="0.2">
      <c r="A12" s="1" t="str">
        <v>BEETROOT</v>
      </c>
      <c r="B12" s="1" t="str">
        <v>VEGETABLES</v>
      </c>
      <c r="C12" s="1" t="str">
        <v>VEGETABLES</v>
      </c>
      <c r="D12" s="1" t="str">
        <v>false</v>
      </c>
      <c r="E12" s="1" t="str">
        <v/>
      </c>
      <c r="F12" s="1" t="str">
        <v/>
      </c>
      <c r="G12" s="1" t="str">
        <v/>
      </c>
      <c r="H12" s="1" t="str">
        <v>false</v>
      </c>
      <c r="I12" s="1">
        <v>11</v>
      </c>
      <c r="J12" s="1" t="str">
        <v>Rode biet</v>
      </c>
      <c r="K12" s="1" t="str">
        <v>1</v>
      </c>
    </row>
    <row r="13" spans="1:11" x14ac:dyDescent="0.2">
      <c r="A13" s="1" t="str">
        <v>BELL_PEPPER</v>
      </c>
      <c r="B13" s="1" t="str">
        <v>VEGETABLES</v>
      </c>
      <c r="C13" s="1" t="str">
        <v>VEGETABLES</v>
      </c>
      <c r="D13" s="1" t="str">
        <v>false</v>
      </c>
      <c r="E13" s="1" t="str">
        <v/>
      </c>
      <c r="F13" s="1" t="str">
        <v/>
      </c>
      <c r="G13" s="1" t="str">
        <v/>
      </c>
      <c r="H13" s="1" t="str">
        <v>false</v>
      </c>
      <c r="I13" s="1">
        <v>12</v>
      </c>
      <c r="J13" s="1" t="str">
        <v>Paprika</v>
      </c>
      <c r="K13" s="1" t="str">
        <v>1</v>
      </c>
    </row>
    <row r="14" spans="1:11" x14ac:dyDescent="0.2">
      <c r="A14" s="1" t="str">
        <v>BELL_PEPPER_GREEN</v>
      </c>
      <c r="B14" s="1" t="str">
        <v>VEGETABLES</v>
      </c>
      <c r="C14" s="1" t="str">
        <v>VEGETABLES</v>
      </c>
      <c r="D14" s="1" t="str">
        <v>false</v>
      </c>
      <c r="E14" s="1" t="str">
        <v/>
      </c>
      <c r="F14" s="1" t="str">
        <v/>
      </c>
      <c r="G14" s="1" t="str">
        <v/>
      </c>
      <c r="H14" s="1" t="str">
        <v>false</v>
      </c>
      <c r="I14" s="1">
        <v>13</v>
      </c>
      <c r="J14" s="1" t="str">
        <v>Paprika, groen</v>
      </c>
      <c r="K14" s="1" t="str">
        <v>1</v>
      </c>
    </row>
    <row r="15" spans="1:11" x14ac:dyDescent="0.2">
      <c r="A15" s="1" t="str">
        <v>BELL_PEPPER_ORANGE</v>
      </c>
      <c r="B15" s="1" t="str">
        <v>VEGETABLES</v>
      </c>
      <c r="C15" s="1" t="str">
        <v>VEGETABLES</v>
      </c>
      <c r="D15" s="1" t="str">
        <v>false</v>
      </c>
      <c r="E15" s="1" t="str">
        <v/>
      </c>
      <c r="F15" s="1" t="str">
        <v/>
      </c>
      <c r="G15" s="1" t="str">
        <v/>
      </c>
      <c r="H15" s="1" t="str">
        <v>false</v>
      </c>
      <c r="I15" s="1">
        <v>14</v>
      </c>
      <c r="J15" s="1" t="str">
        <v>Paprika, oranje</v>
      </c>
      <c r="K15" s="1" t="str">
        <v>1</v>
      </c>
    </row>
    <row r="16" spans="1:11" x14ac:dyDescent="0.2">
      <c r="A16" s="1" t="str">
        <v>BELL_PEPPER_RED</v>
      </c>
      <c r="B16" s="1" t="str">
        <v>VEGETABLES</v>
      </c>
      <c r="C16" s="1" t="str">
        <v>VEGETABLES</v>
      </c>
      <c r="D16" s="1" t="str">
        <v>false</v>
      </c>
      <c r="E16" s="1" t="str">
        <v/>
      </c>
      <c r="F16" s="1" t="str">
        <v/>
      </c>
      <c r="G16" s="1" t="str">
        <v/>
      </c>
      <c r="H16" s="1" t="str">
        <v>false</v>
      </c>
      <c r="I16" s="1">
        <v>15</v>
      </c>
      <c r="J16" s="1" t="str">
        <v>Paprika, rood</v>
      </c>
      <c r="K16" s="1" t="str">
        <v>1</v>
      </c>
    </row>
    <row r="17" spans="1:11" x14ac:dyDescent="0.2">
      <c r="A17" s="1" t="str">
        <v>BELL_PEPPER_YELLOW</v>
      </c>
      <c r="B17" s="1" t="str">
        <v>VEGETABLES</v>
      </c>
      <c r="C17" s="1" t="str">
        <v>VEGETABLES</v>
      </c>
      <c r="D17" s="1" t="str">
        <v>false</v>
      </c>
      <c r="E17" s="1" t="str">
        <v/>
      </c>
      <c r="F17" s="1" t="str">
        <v/>
      </c>
      <c r="G17" s="1" t="str">
        <v/>
      </c>
      <c r="H17" s="1" t="str">
        <v>false</v>
      </c>
      <c r="I17" s="1">
        <v>16</v>
      </c>
      <c r="J17" s="1" t="str">
        <v>Paprika, geel</v>
      </c>
      <c r="K17" s="1" t="str">
        <v>1</v>
      </c>
    </row>
    <row r="18" spans="1:11" x14ac:dyDescent="0.2">
      <c r="A18" s="1" t="str">
        <v>BLACKBERRY</v>
      </c>
      <c r="B18" s="1" t="str">
        <v>FRUITS</v>
      </c>
      <c r="C18" s="1" t="str">
        <v>FRUITS</v>
      </c>
      <c r="D18" s="1" t="str">
        <v>false</v>
      </c>
      <c r="E18" s="1" t="str">
        <v/>
      </c>
      <c r="F18" s="1" t="str">
        <v/>
      </c>
      <c r="G18" s="1" t="str">
        <v/>
      </c>
      <c r="H18" s="1" t="str">
        <v>false</v>
      </c>
      <c r="I18" s="1">
        <v>17</v>
      </c>
      <c r="J18" s="1" t="str">
        <v>Bramen</v>
      </c>
      <c r="K18" s="1" t="str">
        <v>1</v>
      </c>
    </row>
    <row r="19" spans="1:11" x14ac:dyDescent="0.2">
      <c r="A19" s="1" t="str">
        <v>BLUEBERRY</v>
      </c>
      <c r="B19" s="1" t="str">
        <v>FRUITS</v>
      </c>
      <c r="C19" s="1" t="str">
        <v>FRUITS</v>
      </c>
      <c r="D19" s="1" t="str">
        <v>false</v>
      </c>
      <c r="E19" s="1" t="str">
        <v/>
      </c>
      <c r="F19" s="1" t="str">
        <v/>
      </c>
      <c r="G19" s="1" t="str">
        <v/>
      </c>
      <c r="H19" s="1" t="str">
        <v>false</v>
      </c>
      <c r="I19" s="1">
        <v>18</v>
      </c>
      <c r="J19" s="1" t="str">
        <v>Blauwe bessen</v>
      </c>
      <c r="K19" s="1" t="str">
        <v>1</v>
      </c>
    </row>
    <row r="20" spans="1:11" x14ac:dyDescent="0.2">
      <c r="A20" s="1" t="str">
        <v>BROCCOLI</v>
      </c>
      <c r="B20" s="1" t="str">
        <v>VEGETABLES</v>
      </c>
      <c r="C20" s="1" t="str">
        <v>VEGETABLES</v>
      </c>
      <c r="D20" s="1" t="str">
        <v>false</v>
      </c>
      <c r="E20" s="1" t="str">
        <v/>
      </c>
      <c r="F20" s="1" t="str">
        <v/>
      </c>
      <c r="G20" s="1" t="str">
        <v/>
      </c>
      <c r="H20" s="1" t="str">
        <v>true</v>
      </c>
      <c r="I20" s="1">
        <v>19</v>
      </c>
      <c r="J20" s="1" t="str">
        <v>Broccoli</v>
      </c>
      <c r="K20" s="1" t="str">
        <v>1</v>
      </c>
    </row>
    <row r="21" spans="1:11" x14ac:dyDescent="0.2">
      <c r="A21" s="1" t="str">
        <v>BRUSSELS_SPROUTS</v>
      </c>
      <c r="B21" s="1" t="str">
        <v>VEGETABLES</v>
      </c>
      <c r="C21" s="1" t="str">
        <v>VEGETABLES</v>
      </c>
      <c r="D21" s="1" t="str">
        <v>false</v>
      </c>
      <c r="E21" s="1" t="str">
        <v/>
      </c>
      <c r="F21" s="1" t="str">
        <v/>
      </c>
      <c r="G21" s="1" t="str">
        <v/>
      </c>
      <c r="H21" s="1" t="str">
        <v>false</v>
      </c>
      <c r="I21" s="1">
        <v>20</v>
      </c>
      <c r="J21" s="1" t="str">
        <v>Spruitjes</v>
      </c>
      <c r="K21" s="1" t="str">
        <v>1</v>
      </c>
    </row>
    <row r="22" spans="1:11" x14ac:dyDescent="0.2">
      <c r="A22" s="1" t="str">
        <v>CABBAGE_RED</v>
      </c>
      <c r="B22" s="1" t="str">
        <v>VEGETABLES</v>
      </c>
      <c r="C22" s="1" t="str">
        <v>VEGETABLES</v>
      </c>
      <c r="D22" s="1" t="str">
        <v>false</v>
      </c>
      <c r="E22" s="1" t="str">
        <v/>
      </c>
      <c r="F22" s="1" t="str">
        <v/>
      </c>
      <c r="G22" s="1" t="str">
        <v/>
      </c>
      <c r="H22" s="1" t="str">
        <v>false</v>
      </c>
      <c r="I22" s="1">
        <v>21</v>
      </c>
      <c r="J22" s="1" t="str">
        <v>Rode kool</v>
      </c>
      <c r="K22" s="1" t="str">
        <v>1</v>
      </c>
    </row>
    <row r="23" spans="1:11" x14ac:dyDescent="0.2">
      <c r="A23" s="1" t="str">
        <v>CABBAGE_SAVOY</v>
      </c>
      <c r="B23" s="1" t="str">
        <v>VEGETABLES</v>
      </c>
      <c r="C23" s="1" t="str">
        <v>VEGETABLES</v>
      </c>
      <c r="D23" s="1" t="str">
        <v>false</v>
      </c>
      <c r="E23" s="1" t="str">
        <v/>
      </c>
      <c r="F23" s="1" t="str">
        <v/>
      </c>
      <c r="G23" s="1" t="str">
        <v/>
      </c>
      <c r="H23" s="1" t="str">
        <v>false</v>
      </c>
      <c r="I23" s="1">
        <v>22</v>
      </c>
      <c r="J23" s="1" t="str">
        <v>Savooiekool</v>
      </c>
      <c r="K23" s="1" t="str">
        <v>1</v>
      </c>
    </row>
    <row r="24" spans="1:11" x14ac:dyDescent="0.2">
      <c r="A24" s="1" t="str">
        <v>CABBAGE_WHITE</v>
      </c>
      <c r="B24" s="1" t="str">
        <v>VEGETABLES</v>
      </c>
      <c r="C24" s="1" t="str">
        <v>VEGETABLES</v>
      </c>
      <c r="D24" s="1" t="str">
        <v>false</v>
      </c>
      <c r="E24" s="1" t="str">
        <v/>
      </c>
      <c r="F24" s="1" t="str">
        <v/>
      </c>
      <c r="G24" s="1" t="str">
        <v/>
      </c>
      <c r="H24" s="1" t="str">
        <v>false</v>
      </c>
      <c r="I24" s="1">
        <v>23</v>
      </c>
      <c r="J24" s="1" t="str">
        <v>Witte kool</v>
      </c>
      <c r="K24" s="1" t="str">
        <v>1</v>
      </c>
    </row>
    <row r="25" spans="1:11" x14ac:dyDescent="0.2">
      <c r="A25" s="1" t="str">
        <v>CAPPUCCINO</v>
      </c>
      <c r="B25" s="1" t="str">
        <v>BEVERAGES</v>
      </c>
      <c r="C25" s="1" t="str">
        <v>BEVERAGES</v>
      </c>
      <c r="D25" s="1" t="str">
        <v>true</v>
      </c>
      <c r="E25" s="1" t="str">
        <v>0.97</v>
      </c>
      <c r="F25" s="1" t="str">
        <v>LITERATURE</v>
      </c>
      <c r="G25" s="1" t="str">
        <v>20</v>
      </c>
      <c r="H25" s="1" t="str">
        <v>true</v>
      </c>
      <c r="I25" s="1">
        <v>24</v>
      </c>
      <c r="J25" s="1" t="str">
        <v>Cappuccino</v>
      </c>
      <c r="K25" s="1" t="str">
        <v>1.05</v>
      </c>
    </row>
    <row r="26" spans="1:11" x14ac:dyDescent="0.2">
      <c r="A26" s="1" t="str">
        <v>CARROT</v>
      </c>
      <c r="B26" s="1" t="str">
        <v>VEGETABLES</v>
      </c>
      <c r="C26" s="1" t="str">
        <v>VEGETABLES</v>
      </c>
      <c r="D26" s="1" t="str">
        <v>false</v>
      </c>
      <c r="E26" s="1" t="str">
        <v/>
      </c>
      <c r="F26" s="1" t="str">
        <v/>
      </c>
      <c r="G26" s="1" t="str">
        <v/>
      </c>
      <c r="H26" s="1" t="str">
        <v>false</v>
      </c>
      <c r="I26" s="1">
        <v>25</v>
      </c>
      <c r="J26" s="1" t="str">
        <v>Wortel</v>
      </c>
      <c r="K26" s="1" t="str">
        <v>1</v>
      </c>
    </row>
    <row r="27" spans="1:11" x14ac:dyDescent="0.2">
      <c r="A27" s="1" t="str">
        <v>CAULIFLOWER</v>
      </c>
      <c r="B27" s="1" t="str">
        <v>VEGETABLES</v>
      </c>
      <c r="C27" s="1" t="str">
        <v>VEGETABLES</v>
      </c>
      <c r="D27" s="1" t="str">
        <v>false</v>
      </c>
      <c r="E27" s="1" t="str">
        <v/>
      </c>
      <c r="F27" s="1" t="str">
        <v/>
      </c>
      <c r="G27" s="1" t="str">
        <v/>
      </c>
      <c r="H27" s="1" t="str">
        <v>true</v>
      </c>
      <c r="I27" s="1">
        <v>26</v>
      </c>
      <c r="J27" s="1" t="str">
        <v>Bloemkool</v>
      </c>
      <c r="K27" s="1" t="str">
        <v>1</v>
      </c>
    </row>
    <row r="28" spans="1:11" x14ac:dyDescent="0.2">
      <c r="A28" s="1" t="str">
        <v>CHERRY_SOUR</v>
      </c>
      <c r="B28" s="1" t="str">
        <v>FRUITS</v>
      </c>
      <c r="C28" s="1" t="str">
        <v>FRUITS</v>
      </c>
      <c r="D28" s="1" t="str">
        <v>false</v>
      </c>
      <c r="E28" s="1" t="str">
        <v/>
      </c>
      <c r="F28" s="1" t="str">
        <v/>
      </c>
      <c r="G28" s="1" t="str">
        <v/>
      </c>
      <c r="H28" s="1" t="str">
        <v>false</v>
      </c>
      <c r="I28" s="1">
        <v>27</v>
      </c>
      <c r="J28" s="1" t="str">
        <v>Kersen, zure</v>
      </c>
      <c r="K28" s="1" t="str">
        <v>1</v>
      </c>
    </row>
    <row r="29" spans="1:11" x14ac:dyDescent="0.2">
      <c r="A29" s="1" t="str">
        <v>CHERRY_SWEET</v>
      </c>
      <c r="B29" s="1" t="str">
        <v>FRUITS</v>
      </c>
      <c r="C29" s="1" t="str">
        <v>FRUITS</v>
      </c>
      <c r="D29" s="1" t="str">
        <v>false</v>
      </c>
      <c r="E29" s="1" t="str">
        <v/>
      </c>
      <c r="F29" s="1" t="str">
        <v/>
      </c>
      <c r="G29" s="1" t="str">
        <v/>
      </c>
      <c r="H29" s="1" t="str">
        <v>false</v>
      </c>
      <c r="I29" s="1">
        <v>28</v>
      </c>
      <c r="J29" s="1" t="str">
        <v>Kersen, zoete</v>
      </c>
      <c r="K29" s="1" t="str">
        <v>1</v>
      </c>
    </row>
    <row r="30" spans="1:11" x14ac:dyDescent="0.2">
      <c r="A30" s="1" t="str">
        <v>COCONUT</v>
      </c>
      <c r="B30" s="1" t="str">
        <v>FRUITS</v>
      </c>
      <c r="C30" s="1" t="str">
        <v>FRUITS</v>
      </c>
      <c r="D30" s="1" t="str">
        <v>false</v>
      </c>
      <c r="E30" s="1" t="str">
        <v/>
      </c>
      <c r="F30" s="1" t="str">
        <v/>
      </c>
      <c r="G30" s="1" t="str">
        <v/>
      </c>
      <c r="H30" s="1" t="str">
        <v>false</v>
      </c>
      <c r="I30" s="1">
        <v>29</v>
      </c>
      <c r="J30" s="1" t="str">
        <v>Kokosnoot</v>
      </c>
      <c r="K30" s="1" t="str">
        <v>1</v>
      </c>
    </row>
    <row r="31" spans="1:11" x14ac:dyDescent="0.2">
      <c r="A31" s="1" t="str">
        <v>COFFEE</v>
      </c>
      <c r="B31" s="1" t="str">
        <v>BEVERAGES</v>
      </c>
      <c r="C31" s="1" t="str">
        <v>BEVERAGES</v>
      </c>
      <c r="D31" s="1" t="str">
        <v>true</v>
      </c>
      <c r="E31" s="1" t="str">
        <v>1</v>
      </c>
      <c r="F31" s="1" t="str">
        <v>LITERATURE</v>
      </c>
      <c r="G31" s="1" t="str">
        <v>20</v>
      </c>
      <c r="H31" s="1" t="str">
        <v>true</v>
      </c>
      <c r="I31" s="1">
        <v>30</v>
      </c>
      <c r="J31" s="1" t="str">
        <v>Koffie</v>
      </c>
      <c r="K31" s="1" t="str">
        <v>0.98</v>
      </c>
    </row>
    <row r="32" spans="1:11" x14ac:dyDescent="0.2">
      <c r="A32" s="1" t="str">
        <v>COLA</v>
      </c>
      <c r="B32" s="1" t="str">
        <v>BEVERAGES</v>
      </c>
      <c r="C32" s="1" t="str">
        <v>BEVERAGES</v>
      </c>
      <c r="D32" s="1" t="str">
        <v>true</v>
      </c>
      <c r="E32" s="1" t="str">
        <v>1.04</v>
      </c>
      <c r="F32" s="1" t="str">
        <v>LITERATURE</v>
      </c>
      <c r="G32" s="1" t="str">
        <v>20</v>
      </c>
      <c r="H32" s="1" t="str">
        <v>true</v>
      </c>
      <c r="I32" s="1">
        <v>31</v>
      </c>
      <c r="J32" s="1" t="str">
        <v>Cola</v>
      </c>
      <c r="K32" s="1" t="str">
        <v>0.98</v>
      </c>
    </row>
    <row r="33" spans="1:11" x14ac:dyDescent="0.2">
      <c r="A33" s="1" t="str">
        <v>COLA_LIGHT</v>
      </c>
      <c r="B33" s="1" t="str">
        <v>BEVERAGES</v>
      </c>
      <c r="C33" s="1" t="str">
        <v>BEVERAGES</v>
      </c>
      <c r="D33" s="1" t="str">
        <v>true</v>
      </c>
      <c r="E33" s="1" t="str">
        <v>1</v>
      </c>
      <c r="F33" s="1" t="str">
        <v>LITERATURE</v>
      </c>
      <c r="G33" s="1" t="str">
        <v>20</v>
      </c>
      <c r="H33" s="1" t="str">
        <v>true</v>
      </c>
      <c r="I33" s="1">
        <v>32</v>
      </c>
      <c r="J33" s="1" t="str">
        <v>Cola, light</v>
      </c>
      <c r="K33" s="1" t="str">
        <v>1</v>
      </c>
    </row>
    <row r="34" spans="1:11" x14ac:dyDescent="0.2">
      <c r="A34" s="1" t="str">
        <v>COLA_ZERO</v>
      </c>
      <c r="B34" s="1" t="str">
        <v>BEVERAGES</v>
      </c>
      <c r="C34" s="1" t="str">
        <v>BEVERAGES</v>
      </c>
      <c r="D34" s="1" t="str">
        <v>true</v>
      </c>
      <c r="E34" s="1" t="str">
        <v>1.01</v>
      </c>
      <c r="F34" s="1" t="str">
        <v>LITERATURE</v>
      </c>
      <c r="G34" s="1" t="str">
        <v>20</v>
      </c>
      <c r="H34" s="1" t="str">
        <v>true</v>
      </c>
      <c r="I34" s="1">
        <v>33</v>
      </c>
      <c r="J34" s="1" t="str">
        <v>Cola, zero</v>
      </c>
      <c r="K34" s="1" t="str">
        <v>1</v>
      </c>
    </row>
    <row r="35" spans="1:11" x14ac:dyDescent="0.2">
      <c r="A35" s="1" t="str">
        <v>CRISPBREAD_WHOLEGRAIN_AH</v>
      </c>
      <c r="B35" s="1" t="str">
        <v>GRAINS</v>
      </c>
      <c r="C35" s="1" t="str">
        <v>GRAINS</v>
      </c>
      <c r="D35" s="1" t="str">
        <v>false</v>
      </c>
      <c r="E35" s="1" t="str">
        <v/>
      </c>
      <c r="F35" s="1" t="str">
        <v/>
      </c>
      <c r="G35" s="1" t="str">
        <v/>
      </c>
      <c r="H35" s="1" t="str">
        <v>true</v>
      </c>
      <c r="I35" s="1">
        <v>34</v>
      </c>
      <c r="J35" s="1" t="str">
        <v>Knäckebröd, volkoren, AH</v>
      </c>
      <c r="K35" s="1" t="str">
        <v>1</v>
      </c>
    </row>
    <row r="36" spans="1:11" x14ac:dyDescent="0.2">
      <c r="A36" s="1" t="str">
        <v>CUCUMBER</v>
      </c>
      <c r="B36" s="1" t="str">
        <v>VEGETABLES</v>
      </c>
      <c r="C36" s="1" t="str">
        <v>VEGETABLES</v>
      </c>
      <c r="D36" s="1" t="str">
        <v>false</v>
      </c>
      <c r="E36" s="1" t="str">
        <v/>
      </c>
      <c r="F36" s="1" t="str">
        <v/>
      </c>
      <c r="G36" s="1" t="str">
        <v/>
      </c>
      <c r="H36" s="1" t="str">
        <v>false</v>
      </c>
      <c r="I36" s="1">
        <v>35</v>
      </c>
      <c r="J36" s="1" t="str">
        <v>Komkommer</v>
      </c>
      <c r="K36" s="1" t="str">
        <v>1</v>
      </c>
    </row>
    <row r="37" spans="1:11" x14ac:dyDescent="0.2">
      <c r="A37" s="1" t="str">
        <v>DATE</v>
      </c>
      <c r="B37" s="1" t="str">
        <v>FRUITS</v>
      </c>
      <c r="C37" s="1" t="str">
        <v>FRUITS</v>
      </c>
      <c r="D37" s="1" t="str">
        <v>false</v>
      </c>
      <c r="E37" s="1" t="str">
        <v/>
      </c>
      <c r="F37" s="1" t="str">
        <v/>
      </c>
      <c r="G37" s="1" t="str">
        <v/>
      </c>
      <c r="H37" s="1" t="str">
        <v>false</v>
      </c>
      <c r="I37" s="1">
        <v>36</v>
      </c>
      <c r="J37" s="1" t="str">
        <v>Dadels</v>
      </c>
      <c r="K37" s="1" t="str">
        <v>1</v>
      </c>
    </row>
    <row r="38" spans="1:11" x14ac:dyDescent="0.2">
      <c r="A38" s="1" t="str">
        <v>FIG</v>
      </c>
      <c r="B38" s="1" t="str">
        <v>FRUITS</v>
      </c>
      <c r="C38" s="1" t="str">
        <v>FRUITS</v>
      </c>
      <c r="D38" s="1" t="str">
        <v>false</v>
      </c>
      <c r="E38" s="1" t="str">
        <v/>
      </c>
      <c r="F38" s="1" t="str">
        <v/>
      </c>
      <c r="G38" s="1" t="str">
        <v/>
      </c>
      <c r="H38" s="1" t="str">
        <v>false</v>
      </c>
      <c r="I38" s="1">
        <v>37</v>
      </c>
      <c r="J38" s="1" t="str">
        <v>Vijg</v>
      </c>
      <c r="K38" s="1" t="str">
        <v>1</v>
      </c>
    </row>
    <row r="39" spans="1:11" x14ac:dyDescent="0.2">
      <c r="A39" s="1" t="str">
        <v>GRAPEFRUIT</v>
      </c>
      <c r="B39" s="1" t="str">
        <v>FRUITS</v>
      </c>
      <c r="C39" s="1" t="str">
        <v>FRUITS</v>
      </c>
      <c r="D39" s="1" t="str">
        <v>false</v>
      </c>
      <c r="E39" s="1" t="str">
        <v/>
      </c>
      <c r="F39" s="1" t="str">
        <v/>
      </c>
      <c r="G39" s="1" t="str">
        <v/>
      </c>
      <c r="H39" s="1" t="str">
        <v>false</v>
      </c>
      <c r="I39" s="1">
        <v>38</v>
      </c>
      <c r="J39" s="1" t="str">
        <v>Grapefruit</v>
      </c>
      <c r="K39" s="1" t="str">
        <v>1</v>
      </c>
    </row>
    <row r="40" spans="1:11" x14ac:dyDescent="0.2">
      <c r="A40" s="1" t="str">
        <v>GRAPES</v>
      </c>
      <c r="B40" s="1" t="str">
        <v>FRUITS</v>
      </c>
      <c r="C40" s="1" t="str">
        <v>FRUITS</v>
      </c>
      <c r="D40" s="1" t="str">
        <v>false</v>
      </c>
      <c r="E40" s="1" t="str">
        <v/>
      </c>
      <c r="F40" s="1" t="str">
        <v/>
      </c>
      <c r="G40" s="1" t="str">
        <v/>
      </c>
      <c r="H40" s="1" t="str">
        <v>false</v>
      </c>
      <c r="I40" s="1">
        <v>39</v>
      </c>
      <c r="J40" s="1" t="str">
        <v>Druiven</v>
      </c>
      <c r="K40" s="1" t="str">
        <v>1</v>
      </c>
    </row>
    <row r="41" spans="1:11" x14ac:dyDescent="0.2">
      <c r="A41" s="1" t="str">
        <v>GRAPES_BLACK</v>
      </c>
      <c r="B41" s="1" t="str">
        <v>FRUITS</v>
      </c>
      <c r="C41" s="1" t="str">
        <v>FRUITS</v>
      </c>
      <c r="D41" s="1" t="str">
        <v>false</v>
      </c>
      <c r="E41" s="1" t="str">
        <v/>
      </c>
      <c r="F41" s="1" t="str">
        <v/>
      </c>
      <c r="G41" s="1" t="str">
        <v/>
      </c>
      <c r="H41" s="1" t="str">
        <v>false</v>
      </c>
      <c r="I41" s="1">
        <v>40</v>
      </c>
      <c r="J41" s="1" t="str">
        <v>Druiven, blauwe</v>
      </c>
      <c r="K41" s="1" t="str">
        <v>1</v>
      </c>
    </row>
    <row r="42" spans="1:11" x14ac:dyDescent="0.2">
      <c r="A42" s="1" t="str">
        <v>GRAPES_WHITE</v>
      </c>
      <c r="B42" s="1" t="str">
        <v>FRUITS</v>
      </c>
      <c r="C42" s="1" t="str">
        <v>FRUITS</v>
      </c>
      <c r="D42" s="1" t="str">
        <v>false</v>
      </c>
      <c r="E42" s="1" t="str">
        <v/>
      </c>
      <c r="F42" s="1" t="str">
        <v/>
      </c>
      <c r="G42" s="1" t="str">
        <v/>
      </c>
      <c r="H42" s="1" t="str">
        <v>false</v>
      </c>
      <c r="I42" s="1">
        <v>41</v>
      </c>
      <c r="J42" s="1" t="str">
        <v>Druiven, witte</v>
      </c>
      <c r="K42" s="1" t="str">
        <v>1</v>
      </c>
    </row>
    <row r="43" spans="1:11" x14ac:dyDescent="0.2">
      <c r="A43" s="1" t="str">
        <v>KAISER_ROLL</v>
      </c>
      <c r="B43" s="1" t="str">
        <v>GRAINS</v>
      </c>
      <c r="C43" s="1" t="str">
        <v>GRAINS</v>
      </c>
      <c r="D43" s="1" t="str">
        <v>false</v>
      </c>
      <c r="E43" s="1" t="str">
        <v/>
      </c>
      <c r="F43" s="1" t="str">
        <v/>
      </c>
      <c r="G43" s="1" t="str">
        <v/>
      </c>
      <c r="H43" s="1" t="str">
        <v>true</v>
      </c>
      <c r="I43" s="1">
        <v>42</v>
      </c>
      <c r="J43" s="1" t="str">
        <v>Kaiserbroodje</v>
      </c>
      <c r="K43" s="1" t="str">
        <v>1</v>
      </c>
    </row>
    <row r="44" spans="1:11" x14ac:dyDescent="0.2">
      <c r="A44" s="1" t="str">
        <v>KIWI</v>
      </c>
      <c r="B44" s="1" t="str">
        <v>FRUITS</v>
      </c>
      <c r="C44" s="1" t="str">
        <v>FRUITS</v>
      </c>
      <c r="D44" s="1" t="str">
        <v>false</v>
      </c>
      <c r="E44" s="1" t="str">
        <v/>
      </c>
      <c r="F44" s="1" t="str">
        <v/>
      </c>
      <c r="G44" s="1" t="str">
        <v/>
      </c>
      <c r="H44" s="1" t="str">
        <v>false</v>
      </c>
      <c r="I44" s="1">
        <v>43</v>
      </c>
      <c r="J44" s="1" t="str">
        <v>Kiwi</v>
      </c>
      <c r="K44" s="1" t="str">
        <v>1</v>
      </c>
    </row>
    <row r="45" spans="1:11" x14ac:dyDescent="0.2">
      <c r="A45" s="1" t="str">
        <v>KIWI_GREEN</v>
      </c>
      <c r="B45" s="1" t="str">
        <v>FRUITS</v>
      </c>
      <c r="C45" s="1" t="str">
        <v>FRUITS</v>
      </c>
      <c r="D45" s="1" t="str">
        <v>false</v>
      </c>
      <c r="E45" s="1" t="str">
        <v/>
      </c>
      <c r="F45" s="1" t="str">
        <v/>
      </c>
      <c r="G45" s="1" t="str">
        <v/>
      </c>
      <c r="H45" s="1" t="str">
        <v>false</v>
      </c>
      <c r="I45" s="1">
        <v>44</v>
      </c>
      <c r="J45" s="1" t="str">
        <v>Kiwi, groen</v>
      </c>
      <c r="K45" s="1" t="str">
        <v>1</v>
      </c>
    </row>
    <row r="46" spans="1:11" x14ac:dyDescent="0.2">
      <c r="A46" s="1" t="str">
        <v>KIWI_YELLOW</v>
      </c>
      <c r="B46" s="1" t="str">
        <v>FRUITS</v>
      </c>
      <c r="C46" s="1" t="str">
        <v>FRUITS</v>
      </c>
      <c r="D46" s="1" t="str">
        <v>false</v>
      </c>
      <c r="E46" s="1" t="str">
        <v/>
      </c>
      <c r="F46" s="1" t="str">
        <v/>
      </c>
      <c r="G46" s="1" t="str">
        <v/>
      </c>
      <c r="H46" s="1" t="str">
        <v>false</v>
      </c>
      <c r="I46" s="1">
        <v>45</v>
      </c>
      <c r="J46" s="1" t="str">
        <v>Kiwi, geel</v>
      </c>
      <c r="K46" s="1" t="str">
        <v>1</v>
      </c>
    </row>
    <row r="47" spans="1:11" x14ac:dyDescent="0.2">
      <c r="A47" s="1" t="str">
        <v>LEMON</v>
      </c>
      <c r="B47" s="1" t="str">
        <v>FRUITS</v>
      </c>
      <c r="C47" s="1" t="str">
        <v>FRUITS</v>
      </c>
      <c r="D47" s="1" t="str">
        <v>false</v>
      </c>
      <c r="E47" s="1" t="str">
        <v/>
      </c>
      <c r="F47" s="1" t="str">
        <v/>
      </c>
      <c r="G47" s="1" t="str">
        <v/>
      </c>
      <c r="H47" s="1" t="str">
        <v>false</v>
      </c>
      <c r="I47" s="1">
        <v>46</v>
      </c>
      <c r="J47" s="1" t="str">
        <v>Citroen</v>
      </c>
      <c r="K47" s="1" t="str">
        <v>1</v>
      </c>
    </row>
    <row r="48" spans="1:11" x14ac:dyDescent="0.2">
      <c r="A48" s="1" t="str">
        <v>LIME</v>
      </c>
      <c r="B48" s="1" t="str">
        <v>FRUITS</v>
      </c>
      <c r="C48" s="1" t="str">
        <v>FRUITS</v>
      </c>
      <c r="D48" s="1" t="str">
        <v>false</v>
      </c>
      <c r="E48" s="1" t="str">
        <v/>
      </c>
      <c r="F48" s="1" t="str">
        <v/>
      </c>
      <c r="G48" s="1" t="str">
        <v/>
      </c>
      <c r="H48" s="1" t="str">
        <v>false</v>
      </c>
      <c r="I48" s="1">
        <v>47</v>
      </c>
      <c r="J48" s="1" t="str">
        <v>Limoen</v>
      </c>
      <c r="K48" s="1" t="str">
        <v>1</v>
      </c>
    </row>
    <row r="49" spans="1:11" x14ac:dyDescent="0.2">
      <c r="A49" s="1" t="str">
        <v>MANDARIN</v>
      </c>
      <c r="B49" s="1" t="str">
        <v>FRUITS</v>
      </c>
      <c r="C49" s="1" t="str">
        <v>FRUITS</v>
      </c>
      <c r="D49" s="1" t="str">
        <v>false</v>
      </c>
      <c r="E49" s="1" t="str">
        <v/>
      </c>
      <c r="F49" s="1" t="str">
        <v/>
      </c>
      <c r="G49" s="1" t="str">
        <v/>
      </c>
      <c r="H49" s="1" t="str">
        <v>false</v>
      </c>
      <c r="I49" s="1">
        <v>48</v>
      </c>
      <c r="J49" s="1" t="str">
        <v>Mandarijn</v>
      </c>
      <c r="K49" s="1" t="str">
        <v>1</v>
      </c>
    </row>
    <row r="50" spans="1:11" x14ac:dyDescent="0.2">
      <c r="A50" s="1" t="str">
        <v>MANGO</v>
      </c>
      <c r="B50" s="1" t="str">
        <v>FRUITS</v>
      </c>
      <c r="C50" s="1" t="str">
        <v>FRUITS</v>
      </c>
      <c r="D50" s="1" t="str">
        <v>false</v>
      </c>
      <c r="E50" s="1" t="str">
        <v/>
      </c>
      <c r="F50" s="1" t="str">
        <v/>
      </c>
      <c r="G50" s="1" t="str">
        <v/>
      </c>
      <c r="H50" s="1" t="str">
        <v>false</v>
      </c>
      <c r="I50" s="1">
        <v>49</v>
      </c>
      <c r="J50" s="1" t="str">
        <v>Mango</v>
      </c>
      <c r="K50" s="1" t="str">
        <v>1</v>
      </c>
    </row>
    <row r="51" spans="1:11" x14ac:dyDescent="0.2">
      <c r="A51" s="1" t="str">
        <v>MELON</v>
      </c>
      <c r="B51" s="1" t="str">
        <v>FRUITS</v>
      </c>
      <c r="C51" s="1" t="str">
        <v>FRUITS</v>
      </c>
      <c r="D51" s="1" t="str">
        <v>false</v>
      </c>
      <c r="E51" s="1" t="str">
        <v/>
      </c>
      <c r="F51" s="1" t="str">
        <v/>
      </c>
      <c r="G51" s="1" t="str">
        <v/>
      </c>
      <c r="H51" s="1" t="str">
        <v>false</v>
      </c>
      <c r="I51" s="1">
        <v>50</v>
      </c>
      <c r="J51" s="1" t="str">
        <v>Meloen</v>
      </c>
      <c r="K51" s="1" t="str">
        <v>1</v>
      </c>
    </row>
    <row r="52" spans="1:11" x14ac:dyDescent="0.2">
      <c r="A52" s="1" t="str">
        <v>MELON_CANTALOUPE</v>
      </c>
      <c r="B52" s="1" t="str">
        <v>FRUITS</v>
      </c>
      <c r="C52" s="1" t="str">
        <v>FRUITS</v>
      </c>
      <c r="D52" s="1" t="str">
        <v>false</v>
      </c>
      <c r="E52" s="1" t="str">
        <v/>
      </c>
      <c r="F52" s="1" t="str">
        <v/>
      </c>
      <c r="G52" s="1" t="str">
        <v/>
      </c>
      <c r="H52" s="1" t="str">
        <v>false</v>
      </c>
      <c r="I52" s="1">
        <v>51</v>
      </c>
      <c r="J52" s="1" t="str">
        <v>Meloen, cantaloupe</v>
      </c>
      <c r="K52" s="1" t="str">
        <v>1</v>
      </c>
    </row>
    <row r="53" spans="1:11" x14ac:dyDescent="0.2">
      <c r="A53" s="1" t="str">
        <v>MELON_WATER</v>
      </c>
      <c r="B53" s="1" t="str">
        <v>FRUITS</v>
      </c>
      <c r="C53" s="1" t="str">
        <v>FRUITS</v>
      </c>
      <c r="D53" s="1" t="str">
        <v>false</v>
      </c>
      <c r="E53" s="1" t="str">
        <v/>
      </c>
      <c r="F53" s="1" t="str">
        <v/>
      </c>
      <c r="G53" s="1" t="str">
        <v/>
      </c>
      <c r="H53" s="1" t="str">
        <v>false</v>
      </c>
      <c r="I53" s="1">
        <v>52</v>
      </c>
      <c r="J53" s="1" t="str">
        <v>Meloen, watermeloen</v>
      </c>
      <c r="K53" s="1" t="str">
        <v>1</v>
      </c>
    </row>
    <row r="54" spans="1:11" x14ac:dyDescent="0.2">
      <c r="A54" s="1" t="str">
        <v>MILK_SEMI</v>
      </c>
      <c r="B54" s="1" t="str">
        <v>DAIRY</v>
      </c>
      <c r="C54" s="1" t="str">
        <v>DAIRY</v>
      </c>
      <c r="D54" s="1" t="str">
        <v>true</v>
      </c>
      <c r="E54" s="1" t="str">
        <v>1.03</v>
      </c>
      <c r="F54" s="1" t="str">
        <v>LITERATURE</v>
      </c>
      <c r="G54" s="1" t="str">
        <v>20</v>
      </c>
      <c r="H54" s="1" t="str">
        <v>true</v>
      </c>
      <c r="I54" s="1">
        <v>53</v>
      </c>
      <c r="J54" s="1" t="str">
        <v>Melk, halfvolle</v>
      </c>
      <c r="K54" s="1" t="str">
        <v>1.3</v>
      </c>
    </row>
    <row r="55" spans="1:11" x14ac:dyDescent="0.2">
      <c r="A55" s="1" t="str">
        <v>MILK_WHOLE</v>
      </c>
      <c r="B55" s="1" t="str">
        <v>DAIRY</v>
      </c>
      <c r="C55" s="1" t="str">
        <v>DAIRY</v>
      </c>
      <c r="D55" s="1" t="str">
        <v>true</v>
      </c>
      <c r="E55" s="1" t="str">
        <v>1.03</v>
      </c>
      <c r="F55" s="1" t="str">
        <v>LITERATURE</v>
      </c>
      <c r="G55" s="1" t="str">
        <v>20</v>
      </c>
      <c r="H55" s="1" t="str">
        <v>true</v>
      </c>
      <c r="I55" s="1">
        <v>54</v>
      </c>
      <c r="J55" s="1" t="str">
        <v>Melk, volle</v>
      </c>
      <c r="K55" s="1" t="str">
        <v>1.3</v>
      </c>
    </row>
    <row r="56" spans="1:11" x14ac:dyDescent="0.2">
      <c r="A56" s="1" t="str">
        <v>NECTARINE</v>
      </c>
      <c r="B56" s="1" t="str">
        <v>FRUITS</v>
      </c>
      <c r="C56" s="1" t="str">
        <v>FRUITS</v>
      </c>
      <c r="D56" s="1" t="str">
        <v>false</v>
      </c>
      <c r="E56" s="1" t="str">
        <v/>
      </c>
      <c r="F56" s="1" t="str">
        <v/>
      </c>
      <c r="G56" s="1" t="str">
        <v/>
      </c>
      <c r="H56" s="1" t="str">
        <v>false</v>
      </c>
      <c r="I56" s="1">
        <v>55</v>
      </c>
      <c r="J56" s="1" t="str">
        <v>Nectarine</v>
      </c>
      <c r="K56" s="1" t="str">
        <v>1</v>
      </c>
    </row>
    <row r="57" spans="1:11" x14ac:dyDescent="0.2">
      <c r="A57" s="1" t="str">
        <v>ORANGE</v>
      </c>
      <c r="B57" s="1" t="str">
        <v>FRUITS</v>
      </c>
      <c r="C57" s="1" t="str">
        <v>FRUITS</v>
      </c>
      <c r="D57" s="1" t="str">
        <v>false</v>
      </c>
      <c r="E57" s="1" t="str">
        <v/>
      </c>
      <c r="F57" s="1" t="str">
        <v/>
      </c>
      <c r="G57" s="1" t="str">
        <v/>
      </c>
      <c r="H57" s="1" t="str">
        <v>false</v>
      </c>
      <c r="I57" s="1">
        <v>56</v>
      </c>
      <c r="J57" s="1" t="str">
        <v>Sinaasappel</v>
      </c>
      <c r="K57" s="1" t="str">
        <v>1</v>
      </c>
    </row>
    <row r="58" spans="1:11" x14ac:dyDescent="0.2">
      <c r="A58" s="1" t="str">
        <v>ORANGE_JUICE_100</v>
      </c>
      <c r="B58" s="1" t="str">
        <v>BEVERAGES</v>
      </c>
      <c r="C58" s="1" t="str">
        <v>BEVERAGES</v>
      </c>
      <c r="D58" s="1" t="str">
        <v>true</v>
      </c>
      <c r="E58" s="1" t="str">
        <v>1.04</v>
      </c>
      <c r="F58" s="1" t="str">
        <v>LITERATURE</v>
      </c>
      <c r="G58" s="1" t="str">
        <v>20</v>
      </c>
      <c r="H58" s="1" t="str">
        <v>true</v>
      </c>
      <c r="I58" s="1">
        <v>57</v>
      </c>
      <c r="J58" s="1" t="str">
        <v>Sinaasappelsap</v>
      </c>
      <c r="K58" s="1" t="str">
        <v>1.1</v>
      </c>
    </row>
    <row r="59" spans="1:11" x14ac:dyDescent="0.2">
      <c r="A59" s="1" t="str">
        <v>PAPAYA</v>
      </c>
      <c r="B59" s="1" t="str">
        <v>FRUITS</v>
      </c>
      <c r="C59" s="1" t="str">
        <v>FRUITS</v>
      </c>
      <c r="D59" s="1" t="str">
        <v>false</v>
      </c>
      <c r="E59" s="1" t="str">
        <v/>
      </c>
      <c r="F59" s="1" t="str">
        <v/>
      </c>
      <c r="G59" s="1" t="str">
        <v/>
      </c>
      <c r="H59" s="1" t="str">
        <v>false</v>
      </c>
      <c r="I59" s="1">
        <v>58</v>
      </c>
      <c r="J59" s="1" t="str">
        <v>Papaya</v>
      </c>
      <c r="K59" s="1" t="str">
        <v>1</v>
      </c>
    </row>
    <row r="60" spans="1:11" x14ac:dyDescent="0.2">
      <c r="A60" s="1" t="str">
        <v>PASSIONFRUIT</v>
      </c>
      <c r="B60" s="1" t="str">
        <v>FRUITS</v>
      </c>
      <c r="C60" s="1" t="str">
        <v>FRUITS</v>
      </c>
      <c r="D60" s="1" t="str">
        <v>false</v>
      </c>
      <c r="E60" s="1" t="str">
        <v/>
      </c>
      <c r="F60" s="1" t="str">
        <v/>
      </c>
      <c r="G60" s="1" t="str">
        <v/>
      </c>
      <c r="H60" s="1" t="str">
        <v>false</v>
      </c>
      <c r="I60" s="1">
        <v>59</v>
      </c>
      <c r="J60" s="1" t="str">
        <v>Passievrucht</v>
      </c>
      <c r="K60" s="1" t="str">
        <v>1</v>
      </c>
    </row>
    <row r="61" spans="1:11" x14ac:dyDescent="0.2">
      <c r="A61" s="1" t="str">
        <v>PEANUT_BUTTER_100</v>
      </c>
      <c r="B61" s="1" t="str">
        <v>NUTS_SEEDS</v>
      </c>
      <c r="C61" s="1" t="str">
        <v>NUTS_SEEDS</v>
      </c>
      <c r="D61" s="1" t="str">
        <v>false</v>
      </c>
      <c r="E61" s="1" t="str">
        <v/>
      </c>
      <c r="F61" s="1" t="str">
        <v/>
      </c>
      <c r="G61" s="1" t="str">
        <v/>
      </c>
      <c r="H61" s="1" t="str">
        <v>true</v>
      </c>
      <c r="I61" s="1">
        <v>60</v>
      </c>
      <c r="J61" s="1" t="str">
        <v>Pindakaas</v>
      </c>
      <c r="K61" s="1" t="str">
        <v>1</v>
      </c>
    </row>
    <row r="62" spans="1:11" x14ac:dyDescent="0.2">
      <c r="A62" s="1" t="str">
        <v>PEACH</v>
      </c>
      <c r="B62" s="1" t="str">
        <v>FRUITS</v>
      </c>
      <c r="C62" s="1" t="str">
        <v>FRUITS</v>
      </c>
      <c r="D62" s="1" t="str">
        <v>false</v>
      </c>
      <c r="E62" s="1" t="str">
        <v/>
      </c>
      <c r="F62" s="1" t="str">
        <v/>
      </c>
      <c r="G62" s="1" t="str">
        <v/>
      </c>
      <c r="H62" s="1" t="str">
        <v>false</v>
      </c>
      <c r="I62" s="1">
        <v>61</v>
      </c>
      <c r="J62" s="1" t="str">
        <v>Perzik</v>
      </c>
      <c r="K62" s="1" t="str">
        <v>1</v>
      </c>
    </row>
    <row r="63" spans="1:11" x14ac:dyDescent="0.2">
      <c r="A63" s="1" t="str">
        <v>PEAR</v>
      </c>
      <c r="B63" s="1" t="str">
        <v>FRUITS</v>
      </c>
      <c r="C63" s="1" t="str">
        <v>FRUITS</v>
      </c>
      <c r="D63" s="1" t="str">
        <v>false</v>
      </c>
      <c r="E63" s="1" t="str">
        <v/>
      </c>
      <c r="F63" s="1" t="str">
        <v/>
      </c>
      <c r="G63" s="1" t="str">
        <v/>
      </c>
      <c r="H63" s="1" t="str">
        <v>true</v>
      </c>
      <c r="I63" s="1">
        <v>62</v>
      </c>
      <c r="J63" s="1" t="str">
        <v>Peer</v>
      </c>
      <c r="K63" s="1" t="str">
        <v>1</v>
      </c>
    </row>
    <row r="64" spans="1:11" x14ac:dyDescent="0.2">
      <c r="A64" s="1" t="str">
        <v>PINEAPPLE</v>
      </c>
      <c r="B64" s="1" t="str">
        <v>FRUITS</v>
      </c>
      <c r="C64" s="1" t="str">
        <v>FRUITS</v>
      </c>
      <c r="D64" s="1" t="str">
        <v>false</v>
      </c>
      <c r="E64" s="1" t="str">
        <v/>
      </c>
      <c r="F64" s="1" t="str">
        <v/>
      </c>
      <c r="G64" s="1" t="str">
        <v/>
      </c>
      <c r="H64" s="1" t="str">
        <v>false</v>
      </c>
      <c r="I64" s="1">
        <v>63</v>
      </c>
      <c r="J64" s="1" t="str">
        <v>Ananas</v>
      </c>
      <c r="K64" s="1" t="str">
        <v>1</v>
      </c>
    </row>
    <row r="65" spans="1:11" x14ac:dyDescent="0.2">
      <c r="A65" s="1" t="str">
        <v>PLUM</v>
      </c>
      <c r="B65" s="1" t="str">
        <v>FRUITS</v>
      </c>
      <c r="C65" s="1" t="str">
        <v>FRUITS</v>
      </c>
      <c r="D65" s="1" t="str">
        <v>false</v>
      </c>
      <c r="E65" s="1" t="str">
        <v/>
      </c>
      <c r="F65" s="1" t="str">
        <v/>
      </c>
      <c r="G65" s="1" t="str">
        <v/>
      </c>
      <c r="H65" s="1" t="str">
        <v>false</v>
      </c>
      <c r="I65" s="1">
        <v>64</v>
      </c>
      <c r="J65" s="1" t="str">
        <v>Pruim</v>
      </c>
      <c r="K65" s="1" t="str">
        <v>1</v>
      </c>
    </row>
    <row r="66" spans="1:11" x14ac:dyDescent="0.2">
      <c r="A66" s="1" t="str">
        <v>POMEGRANATE</v>
      </c>
      <c r="B66" s="1" t="str">
        <v>FRUITS</v>
      </c>
      <c r="C66" s="1" t="str">
        <v>FRUITS</v>
      </c>
      <c r="D66" s="1" t="str">
        <v>false</v>
      </c>
      <c r="E66" s="1" t="str">
        <v/>
      </c>
      <c r="F66" s="1" t="str">
        <v/>
      </c>
      <c r="G66" s="1" t="str">
        <v/>
      </c>
      <c r="H66" s="1" t="str">
        <v>false</v>
      </c>
      <c r="I66" s="1">
        <v>65</v>
      </c>
      <c r="J66" s="1" t="str">
        <v>Granaatappel</v>
      </c>
      <c r="K66" s="1" t="str">
        <v>1</v>
      </c>
    </row>
    <row r="67" spans="1:11" x14ac:dyDescent="0.2">
      <c r="A67" s="1" t="str">
        <v>RASPBERRY</v>
      </c>
      <c r="B67" s="1" t="str">
        <v>FRUITS</v>
      </c>
      <c r="C67" s="1" t="str">
        <v>FRUITS</v>
      </c>
      <c r="D67" s="1" t="str">
        <v>false</v>
      </c>
      <c r="E67" s="1" t="str">
        <v/>
      </c>
      <c r="F67" s="1" t="str">
        <v/>
      </c>
      <c r="G67" s="1" t="str">
        <v/>
      </c>
      <c r="H67" s="1" t="str">
        <v>false</v>
      </c>
      <c r="I67" s="1">
        <v>66</v>
      </c>
      <c r="J67" s="1" t="str">
        <v>Frambozen</v>
      </c>
      <c r="K67" s="1" t="str">
        <v>1</v>
      </c>
    </row>
    <row r="68" spans="1:11" x14ac:dyDescent="0.2">
      <c r="A68" s="1" t="str">
        <v>SANDWICH_CHEESE_CHIVES_WASA</v>
      </c>
      <c r="B68" s="1" t="str">
        <v>READY_MEALS</v>
      </c>
      <c r="C68" s="1" t="str">
        <v>GRAINS</v>
      </c>
      <c r="D68" s="1" t="str">
        <v>false</v>
      </c>
      <c r="E68" s="1" t="str">
        <v/>
      </c>
      <c r="F68" s="1" t="str">
        <v/>
      </c>
      <c r="G68" s="1" t="str">
        <v/>
      </c>
      <c r="H68" s="1" t="str">
        <v>true</v>
      </c>
      <c r="I68" s="1">
        <v>67</v>
      </c>
      <c r="J68" s="1" t="str">
        <v>Sandwich, kaas, bieslook, Wasa</v>
      </c>
      <c r="K68" s="1" t="str">
        <v>1</v>
      </c>
    </row>
    <row r="69" spans="1:11" x14ac:dyDescent="0.2">
      <c r="A69" s="1" t="str">
        <v>STRAWBERRY</v>
      </c>
      <c r="B69" s="1" t="str">
        <v>FRUITS</v>
      </c>
      <c r="C69" s="1" t="str">
        <v>FRUITS</v>
      </c>
      <c r="D69" s="1" t="str">
        <v>false</v>
      </c>
      <c r="E69" s="1" t="str">
        <v/>
      </c>
      <c r="F69" s="1" t="str">
        <v/>
      </c>
      <c r="G69" s="1" t="str">
        <v/>
      </c>
      <c r="H69" s="1" t="str">
        <v>false</v>
      </c>
      <c r="I69" s="1">
        <v>68</v>
      </c>
      <c r="J69" s="1" t="str">
        <v>Aardbeien</v>
      </c>
      <c r="K69" s="1" t="str">
        <v>1</v>
      </c>
    </row>
    <row r="70" spans="1:11" x14ac:dyDescent="0.2">
      <c r="A70" s="1" t="str">
        <v>TEA</v>
      </c>
      <c r="B70" s="1" t="str">
        <v>BEVERAGES</v>
      </c>
      <c r="C70" s="1" t="str">
        <v>BEVERAGES</v>
      </c>
      <c r="D70" s="1" t="str">
        <v>true</v>
      </c>
      <c r="E70" s="1" t="str">
        <v>1</v>
      </c>
      <c r="F70" s="1" t="str">
        <v>LITERATURE</v>
      </c>
      <c r="G70" s="1" t="str">
        <v>20</v>
      </c>
      <c r="H70" s="1" t="str">
        <v>true</v>
      </c>
      <c r="I70" s="1">
        <v>69</v>
      </c>
      <c r="J70" s="1" t="str">
        <v>Thee</v>
      </c>
      <c r="K70" s="1" t="str">
        <v>1</v>
      </c>
    </row>
    <row r="71" spans="1:11" x14ac:dyDescent="0.2">
      <c r="A71" s="1" t="str">
        <v>WATER</v>
      </c>
      <c r="B71" s="1" t="str">
        <v>BEVERAGES</v>
      </c>
      <c r="C71" s="1" t="str">
        <v>BEVERAGES</v>
      </c>
      <c r="D71" s="1" t="str">
        <v>true</v>
      </c>
      <c r="E71" s="1" t="str">
        <v>1</v>
      </c>
      <c r="F71" s="1" t="str">
        <v>LITERATURE</v>
      </c>
      <c r="G71" s="1" t="str">
        <v>20</v>
      </c>
      <c r="H71" s="1" t="str">
        <v>true</v>
      </c>
      <c r="I71" s="1">
        <v>70</v>
      </c>
      <c r="J71" s="1" t="str">
        <v>Water</v>
      </c>
      <c r="K71" s="1" t="str">
        <v>1</v>
      </c>
    </row>
    <row r="72" spans="1:11" x14ac:dyDescent="0.2">
      <c r="A72" s="1" t="str">
        <v>WINE_RED</v>
      </c>
      <c r="B72" s="1" t="str">
        <v>BEVERAGES</v>
      </c>
      <c r="C72" s="1" t="str">
        <v>BEVERAGES</v>
      </c>
      <c r="D72" s="1" t="str">
        <v>true</v>
      </c>
      <c r="E72" s="1" t="str">
        <v>0.99</v>
      </c>
      <c r="F72" s="1" t="str">
        <v>LITERATURE</v>
      </c>
      <c r="G72" s="1" t="str">
        <v>20</v>
      </c>
      <c r="H72" s="1" t="str">
        <v>true</v>
      </c>
      <c r="I72" s="1">
        <v>71</v>
      </c>
      <c r="J72" s="1" t="str">
        <v>Wijn, rood</v>
      </c>
      <c r="K72" s="1" t="str">
        <v>0.7</v>
      </c>
    </row>
    <row r="73" spans="1:11" x14ac:dyDescent="0.2">
      <c r="A73" s="1" t="str">
        <v>WINE_ROSE</v>
      </c>
      <c r="B73" s="1" t="str">
        <v>BEVERAGES</v>
      </c>
      <c r="C73" s="1" t="str">
        <v>BEVERAGES</v>
      </c>
      <c r="D73" s="1" t="str">
        <v>true</v>
      </c>
      <c r="E73" s="1" t="str">
        <v>0.99</v>
      </c>
      <c r="F73" s="1" t="str">
        <v>LITERATURE</v>
      </c>
      <c r="G73" s="1" t="str">
        <v>20</v>
      </c>
      <c r="H73" s="1" t="str">
        <v>true</v>
      </c>
      <c r="I73" s="1">
        <v>72</v>
      </c>
      <c r="J73" s="1" t="str">
        <v>Wijn, rose</v>
      </c>
      <c r="K73" s="1" t="str">
        <v>0.7</v>
      </c>
    </row>
    <row r="74" spans="1:11" x14ac:dyDescent="0.2">
      <c r="A74" s="1" t="str">
        <v>WINE_WHITE_DRY</v>
      </c>
      <c r="B74" s="1" t="str">
        <v>BEVERAGES</v>
      </c>
      <c r="C74" s="1" t="str">
        <v>BEVERAGES</v>
      </c>
      <c r="D74" s="1" t="str">
        <v>true</v>
      </c>
      <c r="E74" s="1" t="str">
        <v>0.99</v>
      </c>
      <c r="F74" s="1" t="str">
        <v>LITERATURE</v>
      </c>
      <c r="G74" s="1" t="str">
        <v>20</v>
      </c>
      <c r="H74" s="1" t="str">
        <v>true</v>
      </c>
      <c r="I74" s="1">
        <v>73</v>
      </c>
      <c r="J74" s="1" t="str">
        <v>Wijn, wit, droog</v>
      </c>
      <c r="K74" s="1" t="str">
        <v>0.7</v>
      </c>
    </row>
    <row r="75" spans="1:11" x14ac:dyDescent="0.2">
      <c r="A75" s="1" t="str">
        <v>WINE_WHITE_SWEET</v>
      </c>
      <c r="B75" s="1" t="str">
        <v>BEVERAGES</v>
      </c>
      <c r="C75" s="1" t="str">
        <v>BEVERAGES</v>
      </c>
      <c r="D75" s="1" t="str">
        <v>true</v>
      </c>
      <c r="E75" s="1" t="str">
        <v>0.99</v>
      </c>
      <c r="F75" s="1" t="str">
        <v>LITERATURE</v>
      </c>
      <c r="G75" s="1" t="str">
        <v>20</v>
      </c>
      <c r="H75" s="1" t="str">
        <v>true</v>
      </c>
      <c r="I75" s="1">
        <v>74</v>
      </c>
      <c r="J75" s="1" t="str">
        <v>Wijn, wit, zoet</v>
      </c>
      <c r="K75" s="1" t="str">
        <v>0.7</v>
      </c>
    </row>
  </sheetData>
  <sheetProtection sheet="1" objects="1" scenarios="1" selectLockedCells="1" selectUnlockedCell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B6E6B-2302-394A-9E67-CCE964DEE888}">
  <dimension ref="A1:C371"/>
  <sheetViews>
    <sheetView topLeftCell="A80" zoomScale="120" zoomScaleNormal="120" workbookViewId="0">
      <selection activeCell="C126" sqref="C126"/>
    </sheetView>
  </sheetViews>
  <sheetFormatPr baseColWidth="10" defaultRowHeight="16" x14ac:dyDescent="0.2"/>
  <cols>
    <col min="1" max="1" width="32.33203125" style="4" bestFit="1" customWidth="1"/>
    <col min="2" max="2" width="8.1640625" style="4" bestFit="1" customWidth="1"/>
    <col min="3" max="3" width="40.1640625" style="4" bestFit="1" customWidth="1"/>
    <col min="4" max="4" width="14" style="4" bestFit="1" customWidth="1"/>
    <col min="5" max="16384" width="10.83203125" style="4"/>
  </cols>
  <sheetData>
    <row r="1" spans="1:3" s="3" customFormat="1" x14ac:dyDescent="0.2">
      <c r="A1" s="3" t="s">
        <v>0</v>
      </c>
      <c r="B1" s="3" t="s">
        <v>11</v>
      </c>
      <c r="C1" s="3" t="s">
        <v>12</v>
      </c>
    </row>
    <row r="2" spans="1:3" s="9" customFormat="1" x14ac:dyDescent="0.2">
      <c r="A2" s="9" t="s">
        <v>615</v>
      </c>
      <c r="B2" s="1" t="s">
        <v>13</v>
      </c>
      <c r="C2" s="4" t="s">
        <v>616</v>
      </c>
    </row>
    <row r="3" spans="1:3" s="9" customFormat="1" x14ac:dyDescent="0.2">
      <c r="A3" s="9" t="s">
        <v>615</v>
      </c>
      <c r="B3" s="1" t="s">
        <v>14</v>
      </c>
      <c r="C3" s="4" t="s">
        <v>617</v>
      </c>
    </row>
    <row r="4" spans="1:3" s="9" customFormat="1" x14ac:dyDescent="0.2">
      <c r="A4" s="9" t="s">
        <v>615</v>
      </c>
      <c r="B4" s="1" t="s">
        <v>17</v>
      </c>
      <c r="C4" s="4" t="s">
        <v>618</v>
      </c>
    </row>
    <row r="5" spans="1:3" s="9" customFormat="1" x14ac:dyDescent="0.2">
      <c r="A5" s="9" t="s">
        <v>615</v>
      </c>
      <c r="B5" s="1" t="s">
        <v>15</v>
      </c>
      <c r="C5" s="4" t="s">
        <v>619</v>
      </c>
    </row>
    <row r="6" spans="1:3" s="9" customFormat="1" x14ac:dyDescent="0.2">
      <c r="A6" s="9" t="s">
        <v>615</v>
      </c>
      <c r="B6" s="1" t="s">
        <v>19</v>
      </c>
      <c r="C6" s="4" t="s">
        <v>620</v>
      </c>
    </row>
    <row r="7" spans="1:3" x14ac:dyDescent="0.2">
      <c r="A7" s="9" t="s">
        <v>883</v>
      </c>
      <c r="B7" s="1" t="s">
        <v>13</v>
      </c>
      <c r="C7" s="4" t="s">
        <v>884</v>
      </c>
    </row>
    <row r="8" spans="1:3" x14ac:dyDescent="0.2">
      <c r="A8" s="9" t="s">
        <v>883</v>
      </c>
      <c r="B8" s="1" t="s">
        <v>14</v>
      </c>
      <c r="C8" s="4" t="s">
        <v>885</v>
      </c>
    </row>
    <row r="9" spans="1:3" x14ac:dyDescent="0.2">
      <c r="A9" s="9" t="s">
        <v>883</v>
      </c>
      <c r="B9" s="1" t="s">
        <v>17</v>
      </c>
      <c r="C9" s="4" t="s">
        <v>886</v>
      </c>
    </row>
    <row r="10" spans="1:3" x14ac:dyDescent="0.2">
      <c r="A10" s="9" t="s">
        <v>883</v>
      </c>
      <c r="B10" s="1" t="s">
        <v>15</v>
      </c>
      <c r="C10" s="4" t="s">
        <v>887</v>
      </c>
    </row>
    <row r="11" spans="1:3" x14ac:dyDescent="0.2">
      <c r="A11" s="9" t="s">
        <v>883</v>
      </c>
      <c r="B11" s="1" t="s">
        <v>19</v>
      </c>
      <c r="C11" s="4" t="s">
        <v>888</v>
      </c>
    </row>
    <row r="12" spans="1:3" x14ac:dyDescent="0.2">
      <c r="A12" s="9" t="s">
        <v>1048</v>
      </c>
      <c r="B12" s="1" t="s">
        <v>13</v>
      </c>
      <c r="C12" s="4" t="s">
        <v>1049</v>
      </c>
    </row>
    <row r="13" spans="1:3" x14ac:dyDescent="0.2">
      <c r="A13" s="9" t="s">
        <v>1048</v>
      </c>
      <c r="B13" s="1" t="s">
        <v>14</v>
      </c>
      <c r="C13" s="4" t="s">
        <v>1050</v>
      </c>
    </row>
    <row r="14" spans="1:3" x14ac:dyDescent="0.2">
      <c r="A14" s="9" t="s">
        <v>1048</v>
      </c>
      <c r="B14" s="1" t="s">
        <v>17</v>
      </c>
      <c r="C14" s="4" t="s">
        <v>1051</v>
      </c>
    </row>
    <row r="15" spans="1:3" x14ac:dyDescent="0.2">
      <c r="A15" s="9" t="s">
        <v>1048</v>
      </c>
      <c r="B15" s="1" t="s">
        <v>15</v>
      </c>
      <c r="C15" s="4" t="s">
        <v>1052</v>
      </c>
    </row>
    <row r="16" spans="1:3" x14ac:dyDescent="0.2">
      <c r="A16" s="9" t="s">
        <v>1048</v>
      </c>
      <c r="B16" s="1" t="s">
        <v>19</v>
      </c>
      <c r="C16" s="4" t="s">
        <v>1053</v>
      </c>
    </row>
    <row r="17" spans="1:3" x14ac:dyDescent="0.2">
      <c r="A17" s="9" t="s">
        <v>1055</v>
      </c>
      <c r="B17" s="1" t="s">
        <v>13</v>
      </c>
      <c r="C17" s="4" t="s">
        <v>1056</v>
      </c>
    </row>
    <row r="18" spans="1:3" x14ac:dyDescent="0.2">
      <c r="A18" s="9" t="s">
        <v>1055</v>
      </c>
      <c r="B18" s="1" t="s">
        <v>14</v>
      </c>
      <c r="C18" s="4" t="s">
        <v>1057</v>
      </c>
    </row>
    <row r="19" spans="1:3" x14ac:dyDescent="0.2">
      <c r="A19" s="9" t="s">
        <v>1055</v>
      </c>
      <c r="B19" s="1" t="s">
        <v>17</v>
      </c>
      <c r="C19" s="4" t="s">
        <v>1058</v>
      </c>
    </row>
    <row r="20" spans="1:3" x14ac:dyDescent="0.2">
      <c r="A20" s="9" t="s">
        <v>1055</v>
      </c>
      <c r="B20" s="1" t="s">
        <v>15</v>
      </c>
      <c r="C20" s="4" t="s">
        <v>1056</v>
      </c>
    </row>
    <row r="21" spans="1:3" x14ac:dyDescent="0.2">
      <c r="A21" s="9" t="s">
        <v>1055</v>
      </c>
      <c r="B21" s="1" t="s">
        <v>19</v>
      </c>
      <c r="C21" s="4" t="s">
        <v>1059</v>
      </c>
    </row>
    <row r="22" spans="1:3" x14ac:dyDescent="0.2">
      <c r="A22" s="4" t="s">
        <v>1061</v>
      </c>
      <c r="B22" s="1" t="s">
        <v>13</v>
      </c>
      <c r="C22" s="4" t="s">
        <v>1062</v>
      </c>
    </row>
    <row r="23" spans="1:3" x14ac:dyDescent="0.2">
      <c r="A23" s="9" t="s">
        <v>1061</v>
      </c>
      <c r="B23" s="1" t="s">
        <v>14</v>
      </c>
      <c r="C23" s="4" t="s">
        <v>1067</v>
      </c>
    </row>
    <row r="24" spans="1:3" x14ac:dyDescent="0.2">
      <c r="A24" s="9" t="s">
        <v>1061</v>
      </c>
      <c r="B24" s="1" t="s">
        <v>17</v>
      </c>
      <c r="C24" s="4" t="s">
        <v>1062</v>
      </c>
    </row>
    <row r="25" spans="1:3" x14ac:dyDescent="0.2">
      <c r="A25" s="9" t="s">
        <v>1061</v>
      </c>
      <c r="B25" s="1" t="s">
        <v>15</v>
      </c>
      <c r="C25" s="4" t="s">
        <v>1068</v>
      </c>
    </row>
    <row r="26" spans="1:3" x14ac:dyDescent="0.2">
      <c r="A26" s="9" t="s">
        <v>1061</v>
      </c>
      <c r="B26" s="1" t="s">
        <v>19</v>
      </c>
      <c r="C26" s="4" t="s">
        <v>1069</v>
      </c>
    </row>
    <row r="27" spans="1:3" x14ac:dyDescent="0.2">
      <c r="A27" s="9" t="s">
        <v>1063</v>
      </c>
      <c r="B27" s="1" t="s">
        <v>13</v>
      </c>
      <c r="C27" s="4" t="s">
        <v>1065</v>
      </c>
    </row>
    <row r="28" spans="1:3" x14ac:dyDescent="0.2">
      <c r="A28" s="9" t="s">
        <v>1063</v>
      </c>
      <c r="B28" s="1" t="s">
        <v>14</v>
      </c>
      <c r="C28" s="4" t="s">
        <v>1070</v>
      </c>
    </row>
    <row r="29" spans="1:3" x14ac:dyDescent="0.2">
      <c r="A29" s="9" t="s">
        <v>1063</v>
      </c>
      <c r="B29" s="1" t="s">
        <v>17</v>
      </c>
      <c r="C29" s="4" t="s">
        <v>1071</v>
      </c>
    </row>
    <row r="30" spans="1:3" x14ac:dyDescent="0.2">
      <c r="A30" s="9" t="s">
        <v>1063</v>
      </c>
      <c r="B30" s="1" t="s">
        <v>15</v>
      </c>
      <c r="C30" s="4" t="s">
        <v>1072</v>
      </c>
    </row>
    <row r="31" spans="1:3" x14ac:dyDescent="0.2">
      <c r="A31" s="9" t="s">
        <v>1063</v>
      </c>
      <c r="B31" s="1" t="s">
        <v>19</v>
      </c>
      <c r="C31" s="4" t="s">
        <v>1073</v>
      </c>
    </row>
    <row r="32" spans="1:3" x14ac:dyDescent="0.2">
      <c r="A32" s="9" t="s">
        <v>1064</v>
      </c>
      <c r="B32" s="1" t="s">
        <v>13</v>
      </c>
      <c r="C32" s="4" t="s">
        <v>1066</v>
      </c>
    </row>
    <row r="33" spans="1:3" x14ac:dyDescent="0.2">
      <c r="A33" s="9" t="s">
        <v>1064</v>
      </c>
      <c r="B33" s="1" t="s">
        <v>14</v>
      </c>
      <c r="C33" s="4" t="s">
        <v>1074</v>
      </c>
    </row>
    <row r="34" spans="1:3" x14ac:dyDescent="0.2">
      <c r="A34" s="9" t="s">
        <v>1064</v>
      </c>
      <c r="B34" s="1" t="s">
        <v>17</v>
      </c>
      <c r="C34" s="4" t="s">
        <v>1075</v>
      </c>
    </row>
    <row r="35" spans="1:3" x14ac:dyDescent="0.2">
      <c r="A35" s="9" t="s">
        <v>1064</v>
      </c>
      <c r="B35" s="1" t="s">
        <v>15</v>
      </c>
      <c r="C35" s="4" t="s">
        <v>1076</v>
      </c>
    </row>
    <row r="36" spans="1:3" x14ac:dyDescent="0.2">
      <c r="A36" s="9" t="s">
        <v>1064</v>
      </c>
      <c r="B36" s="1" t="s">
        <v>19</v>
      </c>
      <c r="C36" s="4" t="s">
        <v>1077</v>
      </c>
    </row>
    <row r="37" spans="1:3" x14ac:dyDescent="0.2">
      <c r="A37" s="9" t="s">
        <v>452</v>
      </c>
      <c r="B37" s="1" t="s">
        <v>13</v>
      </c>
      <c r="C37" s="4" t="s">
        <v>453</v>
      </c>
    </row>
    <row r="38" spans="1:3" x14ac:dyDescent="0.2">
      <c r="A38" s="9" t="s">
        <v>452</v>
      </c>
      <c r="B38" s="1" t="s">
        <v>14</v>
      </c>
      <c r="C38" s="4" t="s">
        <v>453</v>
      </c>
    </row>
    <row r="39" spans="1:3" x14ac:dyDescent="0.2">
      <c r="A39" s="9" t="s">
        <v>452</v>
      </c>
      <c r="B39" s="1" t="s">
        <v>17</v>
      </c>
      <c r="C39" s="4" t="s">
        <v>454</v>
      </c>
    </row>
    <row r="40" spans="1:3" x14ac:dyDescent="0.2">
      <c r="A40" s="9" t="s">
        <v>452</v>
      </c>
      <c r="B40" s="1" t="s">
        <v>15</v>
      </c>
      <c r="C40" s="4" t="s">
        <v>453</v>
      </c>
    </row>
    <row r="41" spans="1:3" x14ac:dyDescent="0.2">
      <c r="A41" s="9" t="s">
        <v>452</v>
      </c>
      <c r="B41" s="1" t="s">
        <v>19</v>
      </c>
      <c r="C41" s="4" t="s">
        <v>455</v>
      </c>
    </row>
    <row r="42" spans="1:3" x14ac:dyDescent="0.2">
      <c r="A42" s="9" t="s">
        <v>547</v>
      </c>
      <c r="B42" s="1" t="s">
        <v>13</v>
      </c>
      <c r="C42" s="4" t="s">
        <v>548</v>
      </c>
    </row>
    <row r="43" spans="1:3" x14ac:dyDescent="0.2">
      <c r="A43" s="9" t="s">
        <v>547</v>
      </c>
      <c r="B43" s="1" t="s">
        <v>14</v>
      </c>
      <c r="C43" s="4" t="s">
        <v>549</v>
      </c>
    </row>
    <row r="44" spans="1:3" x14ac:dyDescent="0.2">
      <c r="A44" s="9" t="s">
        <v>547</v>
      </c>
      <c r="B44" s="1" t="s">
        <v>17</v>
      </c>
      <c r="C44" s="4" t="s">
        <v>550</v>
      </c>
    </row>
    <row r="45" spans="1:3" x14ac:dyDescent="0.2">
      <c r="A45" s="9" t="s">
        <v>547</v>
      </c>
      <c r="B45" s="1" t="s">
        <v>15</v>
      </c>
      <c r="C45" s="4" t="s">
        <v>550</v>
      </c>
    </row>
    <row r="46" spans="1:3" x14ac:dyDescent="0.2">
      <c r="A46" s="9" t="s">
        <v>547</v>
      </c>
      <c r="B46" s="1" t="s">
        <v>19</v>
      </c>
      <c r="C46" s="4" t="s">
        <v>551</v>
      </c>
    </row>
    <row r="47" spans="1:3" x14ac:dyDescent="0.2">
      <c r="A47" s="9" t="s">
        <v>282</v>
      </c>
      <c r="B47" s="1" t="s">
        <v>13</v>
      </c>
      <c r="C47" s="1" t="s">
        <v>504</v>
      </c>
    </row>
    <row r="48" spans="1:3" x14ac:dyDescent="0.2">
      <c r="A48" s="9" t="s">
        <v>282</v>
      </c>
      <c r="B48" s="1" t="s">
        <v>14</v>
      </c>
      <c r="C48" s="1" t="s">
        <v>505</v>
      </c>
    </row>
    <row r="49" spans="1:3" x14ac:dyDescent="0.2">
      <c r="A49" s="9" t="s">
        <v>282</v>
      </c>
      <c r="B49" s="1" t="s">
        <v>17</v>
      </c>
      <c r="C49" s="1" t="s">
        <v>506</v>
      </c>
    </row>
    <row r="50" spans="1:3" x14ac:dyDescent="0.2">
      <c r="A50" s="9" t="s">
        <v>282</v>
      </c>
      <c r="B50" s="1" t="s">
        <v>15</v>
      </c>
      <c r="C50" s="1" t="s">
        <v>508</v>
      </c>
    </row>
    <row r="51" spans="1:3" x14ac:dyDescent="0.2">
      <c r="A51" s="9" t="s">
        <v>282</v>
      </c>
      <c r="B51" s="1" t="s">
        <v>19</v>
      </c>
      <c r="C51" s="1" t="s">
        <v>507</v>
      </c>
    </row>
    <row r="52" spans="1:3" x14ac:dyDescent="0.2">
      <c r="A52" s="9" t="s">
        <v>1084</v>
      </c>
      <c r="B52" s="1" t="s">
        <v>13</v>
      </c>
      <c r="C52" s="4" t="s">
        <v>1085</v>
      </c>
    </row>
    <row r="53" spans="1:3" x14ac:dyDescent="0.2">
      <c r="A53" s="9" t="s">
        <v>1084</v>
      </c>
      <c r="B53" s="1" t="s">
        <v>14</v>
      </c>
      <c r="C53" s="4" t="s">
        <v>1086</v>
      </c>
    </row>
    <row r="54" spans="1:3" x14ac:dyDescent="0.2">
      <c r="A54" s="9" t="s">
        <v>1084</v>
      </c>
      <c r="B54" s="1" t="s">
        <v>17</v>
      </c>
      <c r="C54" s="4" t="s">
        <v>1087</v>
      </c>
    </row>
    <row r="55" spans="1:3" x14ac:dyDescent="0.2">
      <c r="A55" s="9" t="s">
        <v>1084</v>
      </c>
      <c r="B55" s="1" t="s">
        <v>15</v>
      </c>
      <c r="C55" s="4" t="s">
        <v>1088</v>
      </c>
    </row>
    <row r="56" spans="1:3" x14ac:dyDescent="0.2">
      <c r="A56" s="9" t="s">
        <v>1084</v>
      </c>
      <c r="B56" s="1" t="s">
        <v>19</v>
      </c>
      <c r="C56" s="4" t="s">
        <v>1089</v>
      </c>
    </row>
    <row r="57" spans="1:3" x14ac:dyDescent="0.2">
      <c r="A57" s="9" t="s">
        <v>989</v>
      </c>
      <c r="B57" s="1" t="s">
        <v>13</v>
      </c>
      <c r="C57" s="4" t="s">
        <v>990</v>
      </c>
    </row>
    <row r="58" spans="1:3" x14ac:dyDescent="0.2">
      <c r="A58" s="9" t="s">
        <v>989</v>
      </c>
      <c r="B58" s="1" t="s">
        <v>14</v>
      </c>
      <c r="C58" s="4" t="s">
        <v>999</v>
      </c>
    </row>
    <row r="59" spans="1:3" x14ac:dyDescent="0.2">
      <c r="A59" s="9" t="s">
        <v>989</v>
      </c>
      <c r="B59" s="1" t="s">
        <v>17</v>
      </c>
      <c r="C59" s="4" t="s">
        <v>1000</v>
      </c>
    </row>
    <row r="60" spans="1:3" x14ac:dyDescent="0.2">
      <c r="A60" s="9" t="s">
        <v>989</v>
      </c>
      <c r="B60" s="1" t="s">
        <v>15</v>
      </c>
      <c r="C60" s="4" t="s">
        <v>990</v>
      </c>
    </row>
    <row r="61" spans="1:3" x14ac:dyDescent="0.2">
      <c r="A61" s="9" t="s">
        <v>989</v>
      </c>
      <c r="B61" s="1" t="s">
        <v>19</v>
      </c>
      <c r="C61" s="4" t="s">
        <v>1001</v>
      </c>
    </row>
    <row r="62" spans="1:3" x14ac:dyDescent="0.2">
      <c r="A62" s="9" t="s">
        <v>991</v>
      </c>
      <c r="B62" s="1" t="s">
        <v>13</v>
      </c>
      <c r="C62" s="4" t="s">
        <v>995</v>
      </c>
    </row>
    <row r="63" spans="1:3" x14ac:dyDescent="0.2">
      <c r="A63" s="9" t="s">
        <v>991</v>
      </c>
      <c r="B63" s="1" t="s">
        <v>14</v>
      </c>
      <c r="C63" s="4" t="s">
        <v>1002</v>
      </c>
    </row>
    <row r="64" spans="1:3" x14ac:dyDescent="0.2">
      <c r="A64" s="9" t="s">
        <v>991</v>
      </c>
      <c r="B64" s="1" t="s">
        <v>17</v>
      </c>
      <c r="C64" s="4" t="s">
        <v>1003</v>
      </c>
    </row>
    <row r="65" spans="1:3" x14ac:dyDescent="0.2">
      <c r="A65" s="9" t="s">
        <v>991</v>
      </c>
      <c r="B65" s="1" t="s">
        <v>15</v>
      </c>
      <c r="C65" s="4" t="s">
        <v>1004</v>
      </c>
    </row>
    <row r="66" spans="1:3" x14ac:dyDescent="0.2">
      <c r="A66" s="9" t="s">
        <v>991</v>
      </c>
      <c r="B66" s="1" t="s">
        <v>19</v>
      </c>
      <c r="C66" s="4" t="s">
        <v>1005</v>
      </c>
    </row>
    <row r="67" spans="1:3" x14ac:dyDescent="0.2">
      <c r="A67" s="9" t="s">
        <v>994</v>
      </c>
      <c r="B67" s="1" t="s">
        <v>13</v>
      </c>
      <c r="C67" s="4" t="s">
        <v>996</v>
      </c>
    </row>
    <row r="68" spans="1:3" x14ac:dyDescent="0.2">
      <c r="A68" s="9" t="s">
        <v>994</v>
      </c>
      <c r="B68" s="1" t="s">
        <v>14</v>
      </c>
      <c r="C68" s="4" t="s">
        <v>1006</v>
      </c>
    </row>
    <row r="69" spans="1:3" x14ac:dyDescent="0.2">
      <c r="A69" s="9" t="s">
        <v>994</v>
      </c>
      <c r="B69" s="1" t="s">
        <v>17</v>
      </c>
      <c r="C69" s="4" t="s">
        <v>1007</v>
      </c>
    </row>
    <row r="70" spans="1:3" x14ac:dyDescent="0.2">
      <c r="A70" s="9" t="s">
        <v>994</v>
      </c>
      <c r="B70" s="1" t="s">
        <v>15</v>
      </c>
      <c r="C70" s="4" t="s">
        <v>1008</v>
      </c>
    </row>
    <row r="71" spans="1:3" x14ac:dyDescent="0.2">
      <c r="A71" s="9" t="s">
        <v>994</v>
      </c>
      <c r="B71" s="1" t="s">
        <v>19</v>
      </c>
      <c r="C71" s="4" t="s">
        <v>1009</v>
      </c>
    </row>
    <row r="72" spans="1:3" x14ac:dyDescent="0.2">
      <c r="A72" s="9" t="s">
        <v>992</v>
      </c>
      <c r="B72" s="1" t="s">
        <v>13</v>
      </c>
      <c r="C72" s="4" t="s">
        <v>997</v>
      </c>
    </row>
    <row r="73" spans="1:3" x14ac:dyDescent="0.2">
      <c r="A73" s="9" t="s">
        <v>992</v>
      </c>
      <c r="B73" s="1" t="s">
        <v>14</v>
      </c>
      <c r="C73" s="4" t="s">
        <v>1010</v>
      </c>
    </row>
    <row r="74" spans="1:3" x14ac:dyDescent="0.2">
      <c r="A74" s="9" t="s">
        <v>992</v>
      </c>
      <c r="B74" s="1" t="s">
        <v>17</v>
      </c>
      <c r="C74" s="4" t="s">
        <v>1011</v>
      </c>
    </row>
    <row r="75" spans="1:3" x14ac:dyDescent="0.2">
      <c r="A75" s="9" t="s">
        <v>992</v>
      </c>
      <c r="B75" s="1" t="s">
        <v>15</v>
      </c>
      <c r="C75" s="4" t="s">
        <v>1012</v>
      </c>
    </row>
    <row r="76" spans="1:3" x14ac:dyDescent="0.2">
      <c r="A76" s="9" t="s">
        <v>992</v>
      </c>
      <c r="B76" s="1" t="s">
        <v>19</v>
      </c>
      <c r="C76" s="4" t="s">
        <v>1013</v>
      </c>
    </row>
    <row r="77" spans="1:3" x14ac:dyDescent="0.2">
      <c r="A77" s="9" t="s">
        <v>993</v>
      </c>
      <c r="B77" s="1" t="s">
        <v>13</v>
      </c>
      <c r="C77" s="4" t="s">
        <v>998</v>
      </c>
    </row>
    <row r="78" spans="1:3" x14ac:dyDescent="0.2">
      <c r="A78" s="9" t="s">
        <v>993</v>
      </c>
      <c r="B78" s="1" t="s">
        <v>14</v>
      </c>
      <c r="C78" s="4" t="s">
        <v>1014</v>
      </c>
    </row>
    <row r="79" spans="1:3" x14ac:dyDescent="0.2">
      <c r="A79" s="9" t="s">
        <v>993</v>
      </c>
      <c r="B79" s="1" t="s">
        <v>17</v>
      </c>
      <c r="C79" s="4" t="s">
        <v>1015</v>
      </c>
    </row>
    <row r="80" spans="1:3" x14ac:dyDescent="0.2">
      <c r="A80" s="9" t="s">
        <v>993</v>
      </c>
      <c r="B80" s="1" t="s">
        <v>15</v>
      </c>
      <c r="C80" s="4" t="s">
        <v>1016</v>
      </c>
    </row>
    <row r="81" spans="1:3" x14ac:dyDescent="0.2">
      <c r="A81" s="9" t="s">
        <v>993</v>
      </c>
      <c r="B81" s="1" t="s">
        <v>19</v>
      </c>
      <c r="C81" s="4" t="s">
        <v>1017</v>
      </c>
    </row>
    <row r="82" spans="1:3" x14ac:dyDescent="0.2">
      <c r="A82" s="9" t="s">
        <v>708</v>
      </c>
      <c r="B82" s="1" t="s">
        <v>13</v>
      </c>
      <c r="C82" s="4" t="s">
        <v>709</v>
      </c>
    </row>
    <row r="83" spans="1:3" x14ac:dyDescent="0.2">
      <c r="A83" s="9" t="s">
        <v>708</v>
      </c>
      <c r="B83" s="1" t="s">
        <v>14</v>
      </c>
      <c r="C83" s="4" t="s">
        <v>710</v>
      </c>
    </row>
    <row r="84" spans="1:3" x14ac:dyDescent="0.2">
      <c r="A84" s="9" t="s">
        <v>708</v>
      </c>
      <c r="B84" s="1" t="s">
        <v>17</v>
      </c>
      <c r="C84" s="4" t="s">
        <v>711</v>
      </c>
    </row>
    <row r="85" spans="1:3" x14ac:dyDescent="0.2">
      <c r="A85" s="9" t="s">
        <v>708</v>
      </c>
      <c r="B85" s="1" t="s">
        <v>15</v>
      </c>
      <c r="C85" s="4" t="s">
        <v>712</v>
      </c>
    </row>
    <row r="86" spans="1:3" x14ac:dyDescent="0.2">
      <c r="A86" s="9" t="s">
        <v>708</v>
      </c>
      <c r="B86" s="1" t="s">
        <v>19</v>
      </c>
      <c r="C86" s="4" t="s">
        <v>713</v>
      </c>
    </row>
    <row r="87" spans="1:3" x14ac:dyDescent="0.2">
      <c r="A87" s="9" t="s">
        <v>694</v>
      </c>
      <c r="B87" s="1" t="s">
        <v>13</v>
      </c>
      <c r="C87" s="4" t="s">
        <v>695</v>
      </c>
    </row>
    <row r="88" spans="1:3" x14ac:dyDescent="0.2">
      <c r="A88" s="9" t="s">
        <v>694</v>
      </c>
      <c r="B88" s="1" t="s">
        <v>14</v>
      </c>
      <c r="C88" s="4" t="s">
        <v>696</v>
      </c>
    </row>
    <row r="89" spans="1:3" x14ac:dyDescent="0.2">
      <c r="A89" s="9" t="s">
        <v>694</v>
      </c>
      <c r="B89" s="1" t="s">
        <v>17</v>
      </c>
      <c r="C89" s="4" t="s">
        <v>697</v>
      </c>
    </row>
    <row r="90" spans="1:3" x14ac:dyDescent="0.2">
      <c r="A90" s="9" t="s">
        <v>694</v>
      </c>
      <c r="B90" s="1" t="s">
        <v>15</v>
      </c>
      <c r="C90" s="4" t="s">
        <v>698</v>
      </c>
    </row>
    <row r="91" spans="1:3" x14ac:dyDescent="0.2">
      <c r="A91" s="9" t="s">
        <v>694</v>
      </c>
      <c r="B91" s="1" t="s">
        <v>19</v>
      </c>
      <c r="C91" s="4" t="s">
        <v>699</v>
      </c>
    </row>
    <row r="92" spans="1:3" x14ac:dyDescent="0.2">
      <c r="A92" s="9" t="s">
        <v>358</v>
      </c>
      <c r="B92" s="1" t="s">
        <v>13</v>
      </c>
      <c r="C92" s="4" t="s">
        <v>359</v>
      </c>
    </row>
    <row r="93" spans="1:3" x14ac:dyDescent="0.2">
      <c r="A93" s="9" t="s">
        <v>358</v>
      </c>
      <c r="B93" s="1" t="s">
        <v>14</v>
      </c>
      <c r="C93" s="4" t="s">
        <v>359</v>
      </c>
    </row>
    <row r="94" spans="1:3" x14ac:dyDescent="0.2">
      <c r="A94" s="9" t="s">
        <v>358</v>
      </c>
      <c r="B94" s="1" t="s">
        <v>17</v>
      </c>
      <c r="C94" s="4" t="s">
        <v>379</v>
      </c>
    </row>
    <row r="95" spans="1:3" x14ac:dyDescent="0.2">
      <c r="A95" s="9" t="s">
        <v>358</v>
      </c>
      <c r="B95" s="1" t="s">
        <v>15</v>
      </c>
      <c r="C95" s="4" t="s">
        <v>380</v>
      </c>
    </row>
    <row r="96" spans="1:3" x14ac:dyDescent="0.2">
      <c r="A96" s="9" t="s">
        <v>358</v>
      </c>
      <c r="B96" s="1" t="s">
        <v>19</v>
      </c>
      <c r="C96" s="4" t="s">
        <v>381</v>
      </c>
    </row>
    <row r="97" spans="1:3" x14ac:dyDescent="0.2">
      <c r="A97" s="9" t="s">
        <v>1092</v>
      </c>
      <c r="B97" s="1" t="s">
        <v>13</v>
      </c>
      <c r="C97" s="4" t="s">
        <v>1093</v>
      </c>
    </row>
    <row r="98" spans="1:3" x14ac:dyDescent="0.2">
      <c r="A98" s="9" t="s">
        <v>1092</v>
      </c>
      <c r="B98" s="1" t="s">
        <v>14</v>
      </c>
      <c r="C98" s="4" t="s">
        <v>1094</v>
      </c>
    </row>
    <row r="99" spans="1:3" x14ac:dyDescent="0.2">
      <c r="A99" s="9" t="s">
        <v>1092</v>
      </c>
      <c r="B99" s="1" t="s">
        <v>17</v>
      </c>
      <c r="C99" s="4" t="s">
        <v>1095</v>
      </c>
    </row>
    <row r="100" spans="1:3" x14ac:dyDescent="0.2">
      <c r="A100" s="9" t="s">
        <v>1092</v>
      </c>
      <c r="B100" s="1" t="s">
        <v>15</v>
      </c>
      <c r="C100" s="4" t="s">
        <v>1096</v>
      </c>
    </row>
    <row r="101" spans="1:3" x14ac:dyDescent="0.2">
      <c r="A101" s="9" t="s">
        <v>1092</v>
      </c>
      <c r="B101" s="1" t="s">
        <v>19</v>
      </c>
      <c r="C101" s="4" t="s">
        <v>1097</v>
      </c>
    </row>
    <row r="102" spans="1:3" x14ac:dyDescent="0.2">
      <c r="A102" s="9" t="s">
        <v>1100</v>
      </c>
      <c r="B102" s="1" t="s">
        <v>13</v>
      </c>
      <c r="C102" s="4" t="s">
        <v>1102</v>
      </c>
    </row>
    <row r="103" spans="1:3" x14ac:dyDescent="0.2">
      <c r="A103" s="9" t="s">
        <v>1100</v>
      </c>
      <c r="B103" s="1" t="s">
        <v>14</v>
      </c>
      <c r="C103" s="4" t="s">
        <v>1104</v>
      </c>
    </row>
    <row r="104" spans="1:3" x14ac:dyDescent="0.2">
      <c r="A104" s="9" t="s">
        <v>1100</v>
      </c>
      <c r="B104" s="1" t="s">
        <v>17</v>
      </c>
      <c r="C104" s="4" t="s">
        <v>1105</v>
      </c>
    </row>
    <row r="105" spans="1:3" x14ac:dyDescent="0.2">
      <c r="A105" s="9" t="s">
        <v>1100</v>
      </c>
      <c r="B105" s="1" t="s">
        <v>15</v>
      </c>
      <c r="C105" s="4" t="s">
        <v>1106</v>
      </c>
    </row>
    <row r="106" spans="1:3" x14ac:dyDescent="0.2">
      <c r="A106" s="9" t="s">
        <v>1100</v>
      </c>
      <c r="B106" s="1" t="s">
        <v>19</v>
      </c>
      <c r="C106" s="4" t="s">
        <v>1107</v>
      </c>
    </row>
    <row r="107" spans="1:3" x14ac:dyDescent="0.2">
      <c r="A107" s="9" t="s">
        <v>1112</v>
      </c>
      <c r="B107" s="1" t="s">
        <v>13</v>
      </c>
      <c r="C107" s="4" t="s">
        <v>1113</v>
      </c>
    </row>
    <row r="108" spans="1:3" x14ac:dyDescent="0.2">
      <c r="A108" s="9" t="s">
        <v>1112</v>
      </c>
      <c r="B108" s="1" t="s">
        <v>14</v>
      </c>
      <c r="C108" s="4" t="s">
        <v>1114</v>
      </c>
    </row>
    <row r="109" spans="1:3" x14ac:dyDescent="0.2">
      <c r="A109" s="9" t="s">
        <v>1112</v>
      </c>
      <c r="B109" s="1" t="s">
        <v>17</v>
      </c>
      <c r="C109" s="4" t="s">
        <v>1115</v>
      </c>
    </row>
    <row r="110" spans="1:3" x14ac:dyDescent="0.2">
      <c r="A110" s="9" t="s">
        <v>1112</v>
      </c>
      <c r="B110" s="1" t="s">
        <v>15</v>
      </c>
      <c r="C110" s="4" t="s">
        <v>1116</v>
      </c>
    </row>
    <row r="111" spans="1:3" x14ac:dyDescent="0.2">
      <c r="A111" s="9" t="s">
        <v>1112</v>
      </c>
      <c r="B111" s="1" t="s">
        <v>19</v>
      </c>
      <c r="C111" s="4" t="s">
        <v>1117</v>
      </c>
    </row>
    <row r="112" spans="1:3" x14ac:dyDescent="0.2">
      <c r="A112" s="9" t="s">
        <v>1101</v>
      </c>
      <c r="B112" s="1" t="s">
        <v>13</v>
      </c>
      <c r="C112" s="4" t="s">
        <v>1103</v>
      </c>
    </row>
    <row r="113" spans="1:3" x14ac:dyDescent="0.2">
      <c r="A113" s="9" t="s">
        <v>1101</v>
      </c>
      <c r="B113" s="1" t="s">
        <v>14</v>
      </c>
      <c r="C113" s="4" t="s">
        <v>1108</v>
      </c>
    </row>
    <row r="114" spans="1:3" x14ac:dyDescent="0.2">
      <c r="A114" s="9" t="s">
        <v>1101</v>
      </c>
      <c r="B114" s="1" t="s">
        <v>17</v>
      </c>
      <c r="C114" s="4" t="s">
        <v>1109</v>
      </c>
    </row>
    <row r="115" spans="1:3" x14ac:dyDescent="0.2">
      <c r="A115" s="9" t="s">
        <v>1101</v>
      </c>
      <c r="B115" s="1" t="s">
        <v>15</v>
      </c>
      <c r="C115" s="4" t="s">
        <v>1110</v>
      </c>
    </row>
    <row r="116" spans="1:3" x14ac:dyDescent="0.2">
      <c r="A116" s="9" t="s">
        <v>1101</v>
      </c>
      <c r="B116" s="1" t="s">
        <v>19</v>
      </c>
      <c r="C116" s="4" t="s">
        <v>1111</v>
      </c>
    </row>
    <row r="117" spans="1:3" x14ac:dyDescent="0.2">
      <c r="A117" s="9" t="s">
        <v>524</v>
      </c>
      <c r="B117" s="1" t="s">
        <v>13</v>
      </c>
      <c r="C117" s="4" t="s">
        <v>525</v>
      </c>
    </row>
    <row r="118" spans="1:3" x14ac:dyDescent="0.2">
      <c r="A118" s="9" t="s">
        <v>524</v>
      </c>
      <c r="B118" s="1" t="s">
        <v>14</v>
      </c>
      <c r="C118" s="4" t="s">
        <v>525</v>
      </c>
    </row>
    <row r="119" spans="1:3" x14ac:dyDescent="0.2">
      <c r="A119" s="9" t="s">
        <v>524</v>
      </c>
      <c r="B119" s="1" t="s">
        <v>17</v>
      </c>
      <c r="C119" s="4" t="s">
        <v>525</v>
      </c>
    </row>
    <row r="120" spans="1:3" x14ac:dyDescent="0.2">
      <c r="A120" s="9" t="s">
        <v>524</v>
      </c>
      <c r="B120" s="1" t="s">
        <v>15</v>
      </c>
      <c r="C120" s="4" t="s">
        <v>525</v>
      </c>
    </row>
    <row r="121" spans="1:3" x14ac:dyDescent="0.2">
      <c r="A121" s="9" t="s">
        <v>524</v>
      </c>
      <c r="B121" s="1" t="s">
        <v>19</v>
      </c>
      <c r="C121" s="4" t="s">
        <v>525</v>
      </c>
    </row>
    <row r="122" spans="1:3" x14ac:dyDescent="0.2">
      <c r="A122" s="9" t="s">
        <v>1127</v>
      </c>
      <c r="B122" s="1" t="s">
        <v>13</v>
      </c>
      <c r="C122" s="4" t="s">
        <v>1128</v>
      </c>
    </row>
    <row r="123" spans="1:3" x14ac:dyDescent="0.2">
      <c r="A123" s="9" t="s">
        <v>1127</v>
      </c>
      <c r="B123" s="1" t="s">
        <v>14</v>
      </c>
      <c r="C123" s="4" t="s">
        <v>1129</v>
      </c>
    </row>
    <row r="124" spans="1:3" x14ac:dyDescent="0.2">
      <c r="A124" s="4" t="s">
        <v>1127</v>
      </c>
      <c r="B124" s="1" t="s">
        <v>17</v>
      </c>
      <c r="C124" s="4" t="s">
        <v>1130</v>
      </c>
    </row>
    <row r="125" spans="1:3" x14ac:dyDescent="0.2">
      <c r="A125" s="9" t="s">
        <v>1127</v>
      </c>
      <c r="B125" s="1" t="s">
        <v>15</v>
      </c>
      <c r="C125" s="4" t="s">
        <v>1131</v>
      </c>
    </row>
    <row r="126" spans="1:3" x14ac:dyDescent="0.2">
      <c r="A126" s="9" t="s">
        <v>1127</v>
      </c>
      <c r="B126" s="1" t="s">
        <v>19</v>
      </c>
      <c r="C126" s="4" t="s">
        <v>1132</v>
      </c>
    </row>
    <row r="127" spans="1:3" x14ac:dyDescent="0.2">
      <c r="A127" s="9" t="s">
        <v>402</v>
      </c>
      <c r="B127" s="1" t="s">
        <v>13</v>
      </c>
      <c r="C127" s="4" t="s">
        <v>403</v>
      </c>
    </row>
    <row r="128" spans="1:3" x14ac:dyDescent="0.2">
      <c r="A128" s="9" t="s">
        <v>402</v>
      </c>
      <c r="B128" s="1" t="s">
        <v>14</v>
      </c>
      <c r="C128" s="4" t="s">
        <v>404</v>
      </c>
    </row>
    <row r="129" spans="1:3" x14ac:dyDescent="0.2">
      <c r="A129" s="9" t="s">
        <v>402</v>
      </c>
      <c r="B129" s="1" t="s">
        <v>17</v>
      </c>
      <c r="C129" s="4" t="s">
        <v>405</v>
      </c>
    </row>
    <row r="130" spans="1:3" x14ac:dyDescent="0.2">
      <c r="A130" s="9" t="s">
        <v>402</v>
      </c>
      <c r="B130" s="1" t="s">
        <v>15</v>
      </c>
      <c r="C130" s="4" t="s">
        <v>406</v>
      </c>
    </row>
    <row r="131" spans="1:3" x14ac:dyDescent="0.2">
      <c r="A131" s="9" t="s">
        <v>402</v>
      </c>
      <c r="B131" s="1" t="s">
        <v>19</v>
      </c>
      <c r="C131" s="4" t="s">
        <v>407</v>
      </c>
    </row>
    <row r="132" spans="1:3" x14ac:dyDescent="0.2">
      <c r="A132" s="9" t="s">
        <v>848</v>
      </c>
      <c r="B132" s="1" t="s">
        <v>13</v>
      </c>
      <c r="C132" s="4" t="s">
        <v>850</v>
      </c>
    </row>
    <row r="133" spans="1:3" x14ac:dyDescent="0.2">
      <c r="A133" s="9" t="s">
        <v>848</v>
      </c>
      <c r="B133" s="1" t="s">
        <v>14</v>
      </c>
      <c r="C133" s="4" t="s">
        <v>852</v>
      </c>
    </row>
    <row r="134" spans="1:3" x14ac:dyDescent="0.2">
      <c r="A134" s="9" t="s">
        <v>848</v>
      </c>
      <c r="B134" s="1" t="s">
        <v>17</v>
      </c>
      <c r="C134" s="4" t="s">
        <v>853</v>
      </c>
    </row>
    <row r="135" spans="1:3" x14ac:dyDescent="0.2">
      <c r="A135" s="9" t="s">
        <v>848</v>
      </c>
      <c r="B135" s="1" t="s">
        <v>15</v>
      </c>
      <c r="C135" s="4" t="s">
        <v>854</v>
      </c>
    </row>
    <row r="136" spans="1:3" x14ac:dyDescent="0.2">
      <c r="A136" s="9" t="s">
        <v>848</v>
      </c>
      <c r="B136" s="1" t="s">
        <v>19</v>
      </c>
      <c r="C136" s="4" t="s">
        <v>855</v>
      </c>
    </row>
    <row r="137" spans="1:3" x14ac:dyDescent="0.2">
      <c r="A137" s="9" t="s">
        <v>849</v>
      </c>
      <c r="B137" s="1" t="s">
        <v>13</v>
      </c>
      <c r="C137" s="4" t="s">
        <v>851</v>
      </c>
    </row>
    <row r="138" spans="1:3" x14ac:dyDescent="0.2">
      <c r="A138" s="9" t="s">
        <v>849</v>
      </c>
      <c r="B138" s="1" t="s">
        <v>14</v>
      </c>
      <c r="C138" s="4" t="s">
        <v>856</v>
      </c>
    </row>
    <row r="139" spans="1:3" x14ac:dyDescent="0.2">
      <c r="A139" s="9" t="s">
        <v>849</v>
      </c>
      <c r="B139" s="1" t="s">
        <v>17</v>
      </c>
      <c r="C139" s="4" t="s">
        <v>857</v>
      </c>
    </row>
    <row r="140" spans="1:3" x14ac:dyDescent="0.2">
      <c r="A140" s="9" t="s">
        <v>849</v>
      </c>
      <c r="B140" s="1" t="s">
        <v>15</v>
      </c>
      <c r="C140" s="4" t="s">
        <v>858</v>
      </c>
    </row>
    <row r="141" spans="1:3" x14ac:dyDescent="0.2">
      <c r="A141" s="9" t="s">
        <v>849</v>
      </c>
      <c r="B141" s="1" t="s">
        <v>19</v>
      </c>
      <c r="C141" s="4" t="s">
        <v>859</v>
      </c>
    </row>
    <row r="142" spans="1:3" x14ac:dyDescent="0.2">
      <c r="A142" s="9" t="s">
        <v>972</v>
      </c>
      <c r="B142" s="1" t="s">
        <v>13</v>
      </c>
      <c r="C142" s="4" t="s">
        <v>977</v>
      </c>
    </row>
    <row r="143" spans="1:3" x14ac:dyDescent="0.2">
      <c r="A143" s="9" t="s">
        <v>972</v>
      </c>
      <c r="B143" s="1" t="s">
        <v>14</v>
      </c>
      <c r="C143" s="4" t="s">
        <v>974</v>
      </c>
    </row>
    <row r="144" spans="1:3" x14ac:dyDescent="0.2">
      <c r="A144" s="9" t="s">
        <v>972</v>
      </c>
      <c r="B144" s="1" t="s">
        <v>17</v>
      </c>
      <c r="C144" s="4" t="s">
        <v>975</v>
      </c>
    </row>
    <row r="145" spans="1:3" x14ac:dyDescent="0.2">
      <c r="A145" s="9" t="s">
        <v>972</v>
      </c>
      <c r="B145" s="1" t="s">
        <v>15</v>
      </c>
      <c r="C145" s="4" t="s">
        <v>976</v>
      </c>
    </row>
    <row r="146" spans="1:3" x14ac:dyDescent="0.2">
      <c r="A146" s="9" t="s">
        <v>972</v>
      </c>
      <c r="B146" s="1" t="s">
        <v>19</v>
      </c>
      <c r="C146" s="4" t="s">
        <v>977</v>
      </c>
    </row>
    <row r="147" spans="1:3" x14ac:dyDescent="0.2">
      <c r="A147" s="9" t="s">
        <v>236</v>
      </c>
      <c r="B147" s="9" t="s">
        <v>13</v>
      </c>
      <c r="C147" s="9" t="s">
        <v>237</v>
      </c>
    </row>
    <row r="148" spans="1:3" x14ac:dyDescent="0.2">
      <c r="A148" s="9" t="s">
        <v>236</v>
      </c>
      <c r="B148" s="9" t="s">
        <v>14</v>
      </c>
      <c r="C148" s="9" t="s">
        <v>238</v>
      </c>
    </row>
    <row r="149" spans="1:3" x14ac:dyDescent="0.2">
      <c r="A149" s="9" t="s">
        <v>236</v>
      </c>
      <c r="B149" s="9" t="s">
        <v>17</v>
      </c>
      <c r="C149" s="9" t="s">
        <v>239</v>
      </c>
    </row>
    <row r="150" spans="1:3" x14ac:dyDescent="0.2">
      <c r="A150" s="9" t="s">
        <v>236</v>
      </c>
      <c r="B150" s="9" t="s">
        <v>15</v>
      </c>
      <c r="C150" s="9" t="s">
        <v>240</v>
      </c>
    </row>
    <row r="151" spans="1:3" x14ac:dyDescent="0.2">
      <c r="A151" s="9" t="s">
        <v>236</v>
      </c>
      <c r="B151" s="9" t="s">
        <v>19</v>
      </c>
      <c r="C151" s="9" t="s">
        <v>241</v>
      </c>
    </row>
    <row r="152" spans="1:3" x14ac:dyDescent="0.2">
      <c r="A152" s="9" t="s">
        <v>326</v>
      </c>
      <c r="B152" s="9" t="s">
        <v>13</v>
      </c>
      <c r="C152" s="4" t="s">
        <v>327</v>
      </c>
    </row>
    <row r="153" spans="1:3" x14ac:dyDescent="0.2">
      <c r="A153" s="9" t="s">
        <v>326</v>
      </c>
      <c r="B153" s="9" t="s">
        <v>14</v>
      </c>
      <c r="C153" s="4" t="s">
        <v>327</v>
      </c>
    </row>
    <row r="154" spans="1:3" x14ac:dyDescent="0.2">
      <c r="A154" s="9" t="s">
        <v>326</v>
      </c>
      <c r="B154" s="9" t="s">
        <v>17</v>
      </c>
      <c r="C154" s="4" t="s">
        <v>327</v>
      </c>
    </row>
    <row r="155" spans="1:3" x14ac:dyDescent="0.2">
      <c r="A155" s="9" t="s">
        <v>326</v>
      </c>
      <c r="B155" s="9" t="s">
        <v>15</v>
      </c>
      <c r="C155" s="4" t="s">
        <v>327</v>
      </c>
    </row>
    <row r="156" spans="1:3" x14ac:dyDescent="0.2">
      <c r="A156" s="9" t="s">
        <v>326</v>
      </c>
      <c r="B156" s="9" t="s">
        <v>19</v>
      </c>
      <c r="C156" s="4" t="s">
        <v>327</v>
      </c>
    </row>
    <row r="157" spans="1:3" x14ac:dyDescent="0.2">
      <c r="A157" s="9" t="s">
        <v>336</v>
      </c>
      <c r="B157" s="9" t="s">
        <v>13</v>
      </c>
      <c r="C157" s="4" t="s">
        <v>338</v>
      </c>
    </row>
    <row r="158" spans="1:3" x14ac:dyDescent="0.2">
      <c r="A158" s="9" t="s">
        <v>336</v>
      </c>
      <c r="B158" s="9" t="s">
        <v>14</v>
      </c>
      <c r="C158" s="4" t="s">
        <v>339</v>
      </c>
    </row>
    <row r="159" spans="1:3" x14ac:dyDescent="0.2">
      <c r="A159" s="9" t="s">
        <v>336</v>
      </c>
      <c r="B159" s="9" t="s">
        <v>17</v>
      </c>
      <c r="C159" s="4" t="s">
        <v>338</v>
      </c>
    </row>
    <row r="160" spans="1:3" x14ac:dyDescent="0.2">
      <c r="A160" s="9" t="s">
        <v>336</v>
      </c>
      <c r="B160" s="9" t="s">
        <v>15</v>
      </c>
      <c r="C160" s="4" t="s">
        <v>338</v>
      </c>
    </row>
    <row r="161" spans="1:3" x14ac:dyDescent="0.2">
      <c r="A161" s="9" t="s">
        <v>336</v>
      </c>
      <c r="B161" s="9" t="s">
        <v>19</v>
      </c>
      <c r="C161" s="4" t="s">
        <v>338</v>
      </c>
    </row>
    <row r="162" spans="1:3" x14ac:dyDescent="0.2">
      <c r="A162" s="9" t="s">
        <v>328</v>
      </c>
      <c r="B162" s="9" t="s">
        <v>13</v>
      </c>
      <c r="C162" s="4" t="s">
        <v>330</v>
      </c>
    </row>
    <row r="163" spans="1:3" x14ac:dyDescent="0.2">
      <c r="A163" s="9" t="s">
        <v>328</v>
      </c>
      <c r="B163" s="9" t="s">
        <v>14</v>
      </c>
      <c r="C163" s="4" t="s">
        <v>330</v>
      </c>
    </row>
    <row r="164" spans="1:3" x14ac:dyDescent="0.2">
      <c r="A164" s="9" t="s">
        <v>328</v>
      </c>
      <c r="B164" s="9" t="s">
        <v>17</v>
      </c>
      <c r="C164" s="4" t="s">
        <v>503</v>
      </c>
    </row>
    <row r="165" spans="1:3" x14ac:dyDescent="0.2">
      <c r="A165" s="9" t="s">
        <v>328</v>
      </c>
      <c r="B165" s="9" t="s">
        <v>15</v>
      </c>
      <c r="C165" s="4" t="s">
        <v>330</v>
      </c>
    </row>
    <row r="166" spans="1:3" x14ac:dyDescent="0.2">
      <c r="A166" s="9" t="s">
        <v>328</v>
      </c>
      <c r="B166" s="9" t="s">
        <v>19</v>
      </c>
      <c r="C166" s="4" t="s">
        <v>330</v>
      </c>
    </row>
    <row r="167" spans="1:3" x14ac:dyDescent="0.2">
      <c r="A167" s="9" t="s">
        <v>490</v>
      </c>
      <c r="B167" s="9" t="s">
        <v>13</v>
      </c>
      <c r="C167" s="4" t="s">
        <v>493</v>
      </c>
    </row>
    <row r="168" spans="1:3" x14ac:dyDescent="0.2">
      <c r="A168" s="9" t="s">
        <v>490</v>
      </c>
      <c r="B168" s="9" t="s">
        <v>14</v>
      </c>
      <c r="C168" s="4" t="s">
        <v>494</v>
      </c>
    </row>
    <row r="169" spans="1:3" x14ac:dyDescent="0.2">
      <c r="A169" s="9" t="s">
        <v>490</v>
      </c>
      <c r="B169" s="9" t="s">
        <v>17</v>
      </c>
      <c r="C169" s="4" t="s">
        <v>522</v>
      </c>
    </row>
    <row r="170" spans="1:3" x14ac:dyDescent="0.2">
      <c r="A170" s="9" t="s">
        <v>490</v>
      </c>
      <c r="B170" s="9" t="s">
        <v>15</v>
      </c>
      <c r="C170" s="4" t="s">
        <v>495</v>
      </c>
    </row>
    <row r="171" spans="1:3" x14ac:dyDescent="0.2">
      <c r="A171" s="9" t="s">
        <v>490</v>
      </c>
      <c r="B171" s="9" t="s">
        <v>19</v>
      </c>
      <c r="C171" s="4" t="s">
        <v>496</v>
      </c>
    </row>
    <row r="172" spans="1:3" x14ac:dyDescent="0.2">
      <c r="A172" s="9" t="s">
        <v>1027</v>
      </c>
      <c r="B172" s="9" t="s">
        <v>13</v>
      </c>
      <c r="C172" s="4" t="s">
        <v>1028</v>
      </c>
    </row>
    <row r="173" spans="1:3" x14ac:dyDescent="0.2">
      <c r="A173" s="9" t="s">
        <v>1027</v>
      </c>
      <c r="B173" s="9" t="s">
        <v>14</v>
      </c>
      <c r="C173" s="4" t="s">
        <v>1029</v>
      </c>
    </row>
    <row r="174" spans="1:3" x14ac:dyDescent="0.2">
      <c r="A174" s="9" t="s">
        <v>1027</v>
      </c>
      <c r="B174" s="9" t="s">
        <v>17</v>
      </c>
      <c r="C174" s="4" t="s">
        <v>1030</v>
      </c>
    </row>
    <row r="175" spans="1:3" x14ac:dyDescent="0.2">
      <c r="A175" s="9" t="s">
        <v>1027</v>
      </c>
      <c r="B175" s="9" t="s">
        <v>15</v>
      </c>
      <c r="C175" s="4" t="s">
        <v>1031</v>
      </c>
    </row>
    <row r="176" spans="1:3" x14ac:dyDescent="0.2">
      <c r="A176" s="9" t="s">
        <v>1027</v>
      </c>
      <c r="B176" s="9" t="s">
        <v>19</v>
      </c>
      <c r="C176" s="4" t="s">
        <v>1032</v>
      </c>
    </row>
    <row r="177" spans="1:3" x14ac:dyDescent="0.2">
      <c r="A177" s="9" t="s">
        <v>964</v>
      </c>
      <c r="B177" s="9" t="s">
        <v>13</v>
      </c>
      <c r="C177" s="4" t="s">
        <v>965</v>
      </c>
    </row>
    <row r="178" spans="1:3" x14ac:dyDescent="0.2">
      <c r="A178" s="9" t="s">
        <v>964</v>
      </c>
      <c r="B178" s="9" t="s">
        <v>14</v>
      </c>
      <c r="C178" s="4" t="s">
        <v>966</v>
      </c>
    </row>
    <row r="179" spans="1:3" x14ac:dyDescent="0.2">
      <c r="A179" s="9" t="s">
        <v>964</v>
      </c>
      <c r="B179" s="9" t="s">
        <v>17</v>
      </c>
      <c r="C179" s="4" t="s">
        <v>967</v>
      </c>
    </row>
    <row r="180" spans="1:3" x14ac:dyDescent="0.2">
      <c r="A180" s="9" t="s">
        <v>964</v>
      </c>
      <c r="B180" s="9" t="s">
        <v>15</v>
      </c>
      <c r="C180" s="4" t="s">
        <v>968</v>
      </c>
    </row>
    <row r="181" spans="1:3" x14ac:dyDescent="0.2">
      <c r="A181" s="9" t="s">
        <v>964</v>
      </c>
      <c r="B181" s="9" t="s">
        <v>19</v>
      </c>
      <c r="C181" s="4" t="s">
        <v>969</v>
      </c>
    </row>
    <row r="182" spans="1:3" x14ac:dyDescent="0.2">
      <c r="A182" s="9" t="s">
        <v>944</v>
      </c>
      <c r="B182" s="9" t="s">
        <v>13</v>
      </c>
      <c r="C182" s="4" t="s">
        <v>945</v>
      </c>
    </row>
    <row r="183" spans="1:3" x14ac:dyDescent="0.2">
      <c r="A183" s="9" t="s">
        <v>944</v>
      </c>
      <c r="B183" s="9" t="s">
        <v>14</v>
      </c>
      <c r="C183" s="4" t="s">
        <v>946</v>
      </c>
    </row>
    <row r="184" spans="1:3" x14ac:dyDescent="0.2">
      <c r="A184" s="9" t="s">
        <v>944</v>
      </c>
      <c r="B184" s="9" t="s">
        <v>17</v>
      </c>
      <c r="C184" s="4" t="s">
        <v>947</v>
      </c>
    </row>
    <row r="185" spans="1:3" x14ac:dyDescent="0.2">
      <c r="A185" s="9" t="s">
        <v>944</v>
      </c>
      <c r="B185" s="9" t="s">
        <v>15</v>
      </c>
      <c r="C185" s="4" t="s">
        <v>948</v>
      </c>
    </row>
    <row r="186" spans="1:3" x14ac:dyDescent="0.2">
      <c r="A186" s="9" t="s">
        <v>944</v>
      </c>
      <c r="B186" s="9" t="s">
        <v>19</v>
      </c>
      <c r="C186" s="4" t="s">
        <v>949</v>
      </c>
    </row>
    <row r="187" spans="1:3" x14ac:dyDescent="0.2">
      <c r="A187" s="9" t="s">
        <v>920</v>
      </c>
      <c r="B187" s="9" t="s">
        <v>13</v>
      </c>
      <c r="C187" s="4" t="s">
        <v>921</v>
      </c>
    </row>
    <row r="188" spans="1:3" x14ac:dyDescent="0.2">
      <c r="A188" s="9" t="s">
        <v>920</v>
      </c>
      <c r="B188" s="9" t="s">
        <v>14</v>
      </c>
      <c r="C188" s="4" t="s">
        <v>921</v>
      </c>
    </row>
    <row r="189" spans="1:3" x14ac:dyDescent="0.2">
      <c r="A189" s="9" t="s">
        <v>920</v>
      </c>
      <c r="B189" s="9" t="s">
        <v>17</v>
      </c>
      <c r="C189" s="4" t="s">
        <v>922</v>
      </c>
    </row>
    <row r="190" spans="1:3" x14ac:dyDescent="0.2">
      <c r="A190" s="9" t="s">
        <v>920</v>
      </c>
      <c r="B190" s="9" t="s">
        <v>15</v>
      </c>
      <c r="C190" s="4" t="s">
        <v>921</v>
      </c>
    </row>
    <row r="191" spans="1:3" x14ac:dyDescent="0.2">
      <c r="A191" s="9" t="s">
        <v>920</v>
      </c>
      <c r="B191" s="9" t="s">
        <v>19</v>
      </c>
      <c r="C191" s="4" t="s">
        <v>923</v>
      </c>
    </row>
    <row r="192" spans="1:3" x14ac:dyDescent="0.2">
      <c r="A192" s="9" t="s">
        <v>634</v>
      </c>
      <c r="B192" s="9" t="s">
        <v>13</v>
      </c>
      <c r="C192" s="4" t="s">
        <v>635</v>
      </c>
    </row>
    <row r="193" spans="1:3" x14ac:dyDescent="0.2">
      <c r="A193" s="9" t="s">
        <v>634</v>
      </c>
      <c r="B193" s="9" t="s">
        <v>14</v>
      </c>
      <c r="C193" s="4" t="s">
        <v>648</v>
      </c>
    </row>
    <row r="194" spans="1:3" x14ac:dyDescent="0.2">
      <c r="A194" s="9" t="s">
        <v>634</v>
      </c>
      <c r="B194" s="9" t="s">
        <v>17</v>
      </c>
      <c r="C194" s="4" t="s">
        <v>649</v>
      </c>
    </row>
    <row r="195" spans="1:3" x14ac:dyDescent="0.2">
      <c r="A195" s="9" t="s">
        <v>634</v>
      </c>
      <c r="B195" s="9" t="s">
        <v>15</v>
      </c>
      <c r="C195" s="4" t="s">
        <v>650</v>
      </c>
    </row>
    <row r="196" spans="1:3" x14ac:dyDescent="0.2">
      <c r="A196" s="9" t="s">
        <v>634</v>
      </c>
      <c r="B196" s="9" t="s">
        <v>19</v>
      </c>
      <c r="C196" s="4" t="s">
        <v>651</v>
      </c>
    </row>
    <row r="197" spans="1:3" x14ac:dyDescent="0.2">
      <c r="A197" s="9" t="s">
        <v>636</v>
      </c>
      <c r="B197" s="9" t="s">
        <v>13</v>
      </c>
      <c r="C197" s="4" t="s">
        <v>639</v>
      </c>
    </row>
    <row r="198" spans="1:3" x14ac:dyDescent="0.2">
      <c r="A198" s="9" t="s">
        <v>636</v>
      </c>
      <c r="B198" s="9" t="s">
        <v>14</v>
      </c>
      <c r="C198" s="4" t="s">
        <v>640</v>
      </c>
    </row>
    <row r="199" spans="1:3" x14ac:dyDescent="0.2">
      <c r="A199" s="9" t="s">
        <v>636</v>
      </c>
      <c r="B199" s="9" t="s">
        <v>17</v>
      </c>
      <c r="C199" s="4" t="s">
        <v>641</v>
      </c>
    </row>
    <row r="200" spans="1:3" x14ac:dyDescent="0.2">
      <c r="A200" s="9" t="s">
        <v>636</v>
      </c>
      <c r="B200" s="9" t="s">
        <v>15</v>
      </c>
      <c r="C200" s="4" t="s">
        <v>642</v>
      </c>
    </row>
    <row r="201" spans="1:3" x14ac:dyDescent="0.2">
      <c r="A201" s="4" t="s">
        <v>636</v>
      </c>
      <c r="B201" s="9" t="s">
        <v>19</v>
      </c>
      <c r="C201" s="4" t="s">
        <v>643</v>
      </c>
    </row>
    <row r="202" spans="1:3" x14ac:dyDescent="0.2">
      <c r="A202" s="9" t="s">
        <v>637</v>
      </c>
      <c r="B202" s="9" t="s">
        <v>13</v>
      </c>
      <c r="C202" s="4" t="s">
        <v>638</v>
      </c>
    </row>
    <row r="203" spans="1:3" x14ac:dyDescent="0.2">
      <c r="A203" s="9" t="s">
        <v>637</v>
      </c>
      <c r="B203" s="9" t="s">
        <v>14</v>
      </c>
      <c r="C203" s="4" t="s">
        <v>644</v>
      </c>
    </row>
    <row r="204" spans="1:3" x14ac:dyDescent="0.2">
      <c r="A204" s="9" t="s">
        <v>637</v>
      </c>
      <c r="B204" s="9" t="s">
        <v>17</v>
      </c>
      <c r="C204" s="4" t="s">
        <v>645</v>
      </c>
    </row>
    <row r="205" spans="1:3" x14ac:dyDescent="0.2">
      <c r="A205" s="9" t="s">
        <v>637</v>
      </c>
      <c r="B205" s="9" t="s">
        <v>15</v>
      </c>
      <c r="C205" s="4" t="s">
        <v>646</v>
      </c>
    </row>
    <row r="206" spans="1:3" x14ac:dyDescent="0.2">
      <c r="A206" s="9" t="s">
        <v>637</v>
      </c>
      <c r="B206" s="9" t="s">
        <v>19</v>
      </c>
      <c r="C206" s="4" t="s">
        <v>647</v>
      </c>
    </row>
    <row r="207" spans="1:3" x14ac:dyDescent="0.2">
      <c r="A207" s="9" t="s">
        <v>540</v>
      </c>
      <c r="B207" s="9" t="s">
        <v>13</v>
      </c>
      <c r="C207" s="4" t="s">
        <v>541</v>
      </c>
    </row>
    <row r="208" spans="1:3" x14ac:dyDescent="0.2">
      <c r="A208" s="9" t="s">
        <v>540</v>
      </c>
      <c r="B208" s="9" t="s">
        <v>14</v>
      </c>
      <c r="C208" s="4" t="s">
        <v>542</v>
      </c>
    </row>
    <row r="209" spans="1:3" x14ac:dyDescent="0.2">
      <c r="A209" s="9" t="s">
        <v>540</v>
      </c>
      <c r="B209" s="9" t="s">
        <v>17</v>
      </c>
      <c r="C209" s="4" t="s">
        <v>543</v>
      </c>
    </row>
    <row r="210" spans="1:3" x14ac:dyDescent="0.2">
      <c r="A210" s="9" t="s">
        <v>540</v>
      </c>
      <c r="B210" s="9" t="s">
        <v>15</v>
      </c>
      <c r="C210" s="4" t="s">
        <v>544</v>
      </c>
    </row>
    <row r="211" spans="1:3" x14ac:dyDescent="0.2">
      <c r="A211" s="9" t="s">
        <v>540</v>
      </c>
      <c r="B211" s="9" t="s">
        <v>19</v>
      </c>
      <c r="C211" s="4" t="s">
        <v>545</v>
      </c>
    </row>
    <row r="212" spans="1:3" x14ac:dyDescent="0.2">
      <c r="A212" s="9" t="s">
        <v>791</v>
      </c>
      <c r="B212" s="9" t="s">
        <v>13</v>
      </c>
      <c r="C212" s="4" t="s">
        <v>792</v>
      </c>
    </row>
    <row r="213" spans="1:3" x14ac:dyDescent="0.2">
      <c r="A213" s="9" t="s">
        <v>791</v>
      </c>
      <c r="B213" s="9" t="s">
        <v>14</v>
      </c>
      <c r="C213" s="4" t="s">
        <v>792</v>
      </c>
    </row>
    <row r="214" spans="1:3" x14ac:dyDescent="0.2">
      <c r="A214" s="9" t="s">
        <v>791</v>
      </c>
      <c r="B214" s="9" t="s">
        <v>17</v>
      </c>
      <c r="C214" s="4" t="s">
        <v>792</v>
      </c>
    </row>
    <row r="215" spans="1:3" x14ac:dyDescent="0.2">
      <c r="A215" s="9" t="s">
        <v>791</v>
      </c>
      <c r="B215" s="9" t="s">
        <v>15</v>
      </c>
      <c r="C215" s="4" t="s">
        <v>792</v>
      </c>
    </row>
    <row r="216" spans="1:3" x14ac:dyDescent="0.2">
      <c r="A216" s="9" t="s">
        <v>791</v>
      </c>
      <c r="B216" s="9" t="s">
        <v>19</v>
      </c>
      <c r="C216" s="4" t="s">
        <v>792</v>
      </c>
    </row>
    <row r="217" spans="1:3" x14ac:dyDescent="0.2">
      <c r="A217" s="9" t="s">
        <v>793</v>
      </c>
      <c r="B217" s="9" t="s">
        <v>13</v>
      </c>
      <c r="C217" s="4" t="s">
        <v>797</v>
      </c>
    </row>
    <row r="218" spans="1:3" x14ac:dyDescent="0.2">
      <c r="A218" s="9" t="s">
        <v>793</v>
      </c>
      <c r="B218" s="9" t="s">
        <v>14</v>
      </c>
      <c r="C218" s="4" t="s">
        <v>798</v>
      </c>
    </row>
    <row r="219" spans="1:3" x14ac:dyDescent="0.2">
      <c r="A219" s="9" t="s">
        <v>793</v>
      </c>
      <c r="B219" s="9" t="s">
        <v>17</v>
      </c>
      <c r="C219" s="4" t="s">
        <v>799</v>
      </c>
    </row>
    <row r="220" spans="1:3" x14ac:dyDescent="0.2">
      <c r="A220" s="9" t="s">
        <v>793</v>
      </c>
      <c r="B220" s="9" t="s">
        <v>15</v>
      </c>
      <c r="C220" s="4" t="s">
        <v>800</v>
      </c>
    </row>
    <row r="221" spans="1:3" x14ac:dyDescent="0.2">
      <c r="A221" s="9" t="s">
        <v>793</v>
      </c>
      <c r="B221" s="9" t="s">
        <v>19</v>
      </c>
      <c r="C221" s="4" t="s">
        <v>801</v>
      </c>
    </row>
    <row r="222" spans="1:3" x14ac:dyDescent="0.2">
      <c r="A222" s="9" t="s">
        <v>794</v>
      </c>
      <c r="B222" s="9" t="s">
        <v>13</v>
      </c>
      <c r="C222" s="4" t="s">
        <v>802</v>
      </c>
    </row>
    <row r="223" spans="1:3" x14ac:dyDescent="0.2">
      <c r="A223" s="9" t="s">
        <v>794</v>
      </c>
      <c r="B223" s="9" t="s">
        <v>14</v>
      </c>
      <c r="C223" s="4" t="s">
        <v>803</v>
      </c>
    </row>
    <row r="224" spans="1:3" x14ac:dyDescent="0.2">
      <c r="A224" s="9" t="s">
        <v>794</v>
      </c>
      <c r="B224" s="9" t="s">
        <v>17</v>
      </c>
      <c r="C224" s="4" t="s">
        <v>804</v>
      </c>
    </row>
    <row r="225" spans="1:3" x14ac:dyDescent="0.2">
      <c r="A225" s="9" t="s">
        <v>794</v>
      </c>
      <c r="B225" s="9" t="s">
        <v>15</v>
      </c>
      <c r="C225" s="4" t="s">
        <v>805</v>
      </c>
    </row>
    <row r="226" spans="1:3" x14ac:dyDescent="0.2">
      <c r="A226" s="9" t="s">
        <v>794</v>
      </c>
      <c r="B226" s="9" t="s">
        <v>19</v>
      </c>
      <c r="C226" s="4" t="s">
        <v>806</v>
      </c>
    </row>
    <row r="227" spans="1:3" x14ac:dyDescent="0.2">
      <c r="A227" s="9" t="s">
        <v>906</v>
      </c>
      <c r="B227" s="9" t="s">
        <v>13</v>
      </c>
      <c r="C227" s="4" t="s">
        <v>907</v>
      </c>
    </row>
    <row r="228" spans="1:3" x14ac:dyDescent="0.2">
      <c r="A228" s="9" t="s">
        <v>906</v>
      </c>
      <c r="B228" s="9" t="s">
        <v>14</v>
      </c>
      <c r="C228" s="4" t="s">
        <v>908</v>
      </c>
    </row>
    <row r="229" spans="1:3" x14ac:dyDescent="0.2">
      <c r="A229" s="9" t="s">
        <v>906</v>
      </c>
      <c r="B229" s="9" t="s">
        <v>17</v>
      </c>
      <c r="C229" s="4" t="s">
        <v>909</v>
      </c>
    </row>
    <row r="230" spans="1:3" x14ac:dyDescent="0.2">
      <c r="A230" s="9" t="s">
        <v>906</v>
      </c>
      <c r="B230" s="9" t="s">
        <v>15</v>
      </c>
      <c r="C230" s="4" t="s">
        <v>910</v>
      </c>
    </row>
    <row r="231" spans="1:3" x14ac:dyDescent="0.2">
      <c r="A231" s="9" t="s">
        <v>906</v>
      </c>
      <c r="B231" s="9" t="s">
        <v>19</v>
      </c>
      <c r="C231" s="4" t="s">
        <v>911</v>
      </c>
    </row>
    <row r="232" spans="1:3" x14ac:dyDescent="0.2">
      <c r="A232" s="9" t="s">
        <v>913</v>
      </c>
      <c r="B232" s="9" t="s">
        <v>13</v>
      </c>
      <c r="C232" s="4" t="s">
        <v>914</v>
      </c>
    </row>
    <row r="233" spans="1:3" x14ac:dyDescent="0.2">
      <c r="A233" s="9" t="s">
        <v>913</v>
      </c>
      <c r="B233" s="9" t="s">
        <v>14</v>
      </c>
      <c r="C233" s="4" t="s">
        <v>915</v>
      </c>
    </row>
    <row r="234" spans="1:3" x14ac:dyDescent="0.2">
      <c r="A234" s="9" t="s">
        <v>913</v>
      </c>
      <c r="B234" s="9" t="s">
        <v>17</v>
      </c>
      <c r="C234" s="4" t="s">
        <v>916</v>
      </c>
    </row>
    <row r="235" spans="1:3" x14ac:dyDescent="0.2">
      <c r="A235" s="9" t="s">
        <v>913</v>
      </c>
      <c r="B235" s="9" t="s">
        <v>15</v>
      </c>
      <c r="C235" s="4" t="s">
        <v>917</v>
      </c>
    </row>
    <row r="236" spans="1:3" x14ac:dyDescent="0.2">
      <c r="A236" s="9" t="s">
        <v>913</v>
      </c>
      <c r="B236" s="9" t="s">
        <v>19</v>
      </c>
      <c r="C236" s="4" t="s">
        <v>918</v>
      </c>
    </row>
    <row r="237" spans="1:3" x14ac:dyDescent="0.2">
      <c r="A237" s="9" t="s">
        <v>628</v>
      </c>
      <c r="B237" s="9" t="s">
        <v>13</v>
      </c>
      <c r="C237" s="4" t="s">
        <v>629</v>
      </c>
    </row>
    <row r="238" spans="1:3" x14ac:dyDescent="0.2">
      <c r="A238" s="9" t="s">
        <v>628</v>
      </c>
      <c r="B238" s="9" t="s">
        <v>14</v>
      </c>
      <c r="C238" s="4" t="s">
        <v>630</v>
      </c>
    </row>
    <row r="239" spans="1:3" x14ac:dyDescent="0.2">
      <c r="A239" s="9" t="s">
        <v>628</v>
      </c>
      <c r="B239" s="9" t="s">
        <v>17</v>
      </c>
      <c r="C239" s="4" t="s">
        <v>631</v>
      </c>
    </row>
    <row r="240" spans="1:3" x14ac:dyDescent="0.2">
      <c r="A240" s="9" t="s">
        <v>628</v>
      </c>
      <c r="B240" s="9" t="s">
        <v>15</v>
      </c>
      <c r="C240" s="4" t="s">
        <v>631</v>
      </c>
    </row>
    <row r="241" spans="1:3" x14ac:dyDescent="0.2">
      <c r="A241" s="9" t="s">
        <v>628</v>
      </c>
      <c r="B241" s="9" t="s">
        <v>19</v>
      </c>
      <c r="C241" s="4" t="s">
        <v>632</v>
      </c>
    </row>
    <row r="242" spans="1:3" x14ac:dyDescent="0.2">
      <c r="A242" s="9" t="s">
        <v>780</v>
      </c>
      <c r="B242" s="9" t="s">
        <v>13</v>
      </c>
      <c r="C242" s="4" t="s">
        <v>781</v>
      </c>
    </row>
    <row r="243" spans="1:3" x14ac:dyDescent="0.2">
      <c r="A243" s="9" t="s">
        <v>780</v>
      </c>
      <c r="B243" s="9" t="s">
        <v>14</v>
      </c>
      <c r="C243" s="4" t="s">
        <v>781</v>
      </c>
    </row>
    <row r="244" spans="1:3" x14ac:dyDescent="0.2">
      <c r="A244" s="9" t="s">
        <v>780</v>
      </c>
      <c r="B244" s="9" t="s">
        <v>17</v>
      </c>
      <c r="C244" s="4" t="s">
        <v>782</v>
      </c>
    </row>
    <row r="245" spans="1:3" x14ac:dyDescent="0.2">
      <c r="A245" s="9" t="s">
        <v>780</v>
      </c>
      <c r="B245" s="9" t="s">
        <v>15</v>
      </c>
      <c r="C245" s="4" t="s">
        <v>781</v>
      </c>
    </row>
    <row r="246" spans="1:3" x14ac:dyDescent="0.2">
      <c r="A246" s="9" t="s">
        <v>780</v>
      </c>
      <c r="B246" s="9" t="s">
        <v>19</v>
      </c>
      <c r="C246" s="4" t="s">
        <v>781</v>
      </c>
    </row>
    <row r="247" spans="1:3" x14ac:dyDescent="0.2">
      <c r="A247" s="9" t="s">
        <v>739</v>
      </c>
      <c r="B247" s="9" t="s">
        <v>13</v>
      </c>
      <c r="C247" s="4" t="s">
        <v>740</v>
      </c>
    </row>
    <row r="248" spans="1:3" x14ac:dyDescent="0.2">
      <c r="A248" s="9" t="s">
        <v>739</v>
      </c>
      <c r="B248" s="9" t="s">
        <v>14</v>
      </c>
      <c r="C248" s="4" t="s">
        <v>748</v>
      </c>
    </row>
    <row r="249" spans="1:3" x14ac:dyDescent="0.2">
      <c r="A249" s="9" t="s">
        <v>739</v>
      </c>
      <c r="B249" s="9" t="s">
        <v>17</v>
      </c>
      <c r="C249" s="4" t="s">
        <v>748</v>
      </c>
    </row>
    <row r="250" spans="1:3" x14ac:dyDescent="0.2">
      <c r="A250" s="9" t="s">
        <v>739</v>
      </c>
      <c r="B250" s="9" t="s">
        <v>15</v>
      </c>
      <c r="C250" s="4" t="s">
        <v>749</v>
      </c>
    </row>
    <row r="251" spans="1:3" x14ac:dyDescent="0.2">
      <c r="A251" s="9" t="s">
        <v>739</v>
      </c>
      <c r="B251" s="9" t="s">
        <v>19</v>
      </c>
      <c r="C251" s="4" t="s">
        <v>748</v>
      </c>
    </row>
    <row r="252" spans="1:3" x14ac:dyDescent="0.2">
      <c r="A252" s="9" t="s">
        <v>738</v>
      </c>
      <c r="B252" s="9" t="s">
        <v>13</v>
      </c>
      <c r="C252" s="4" t="s">
        <v>741</v>
      </c>
    </row>
    <row r="253" spans="1:3" x14ac:dyDescent="0.2">
      <c r="A253" s="9" t="s">
        <v>738</v>
      </c>
      <c r="B253" s="9" t="s">
        <v>14</v>
      </c>
      <c r="C253" s="4" t="s">
        <v>750</v>
      </c>
    </row>
    <row r="254" spans="1:3" x14ac:dyDescent="0.2">
      <c r="A254" s="9" t="s">
        <v>738</v>
      </c>
      <c r="B254" s="9" t="s">
        <v>17</v>
      </c>
      <c r="C254" s="4" t="s">
        <v>751</v>
      </c>
    </row>
    <row r="255" spans="1:3" x14ac:dyDescent="0.2">
      <c r="A255" s="9" t="s">
        <v>738</v>
      </c>
      <c r="B255" s="9" t="s">
        <v>15</v>
      </c>
      <c r="C255" s="4" t="s">
        <v>752</v>
      </c>
    </row>
    <row r="256" spans="1:3" x14ac:dyDescent="0.2">
      <c r="A256" s="9" t="s">
        <v>738</v>
      </c>
      <c r="B256" s="9" t="s">
        <v>19</v>
      </c>
      <c r="C256" s="4" t="s">
        <v>753</v>
      </c>
    </row>
    <row r="257" spans="1:3" x14ac:dyDescent="0.2">
      <c r="A257" s="9" t="s">
        <v>742</v>
      </c>
      <c r="B257" s="4" t="s">
        <v>13</v>
      </c>
      <c r="C257" s="4" t="s">
        <v>743</v>
      </c>
    </row>
    <row r="258" spans="1:3" x14ac:dyDescent="0.2">
      <c r="A258" s="9" t="s">
        <v>742</v>
      </c>
      <c r="B258" s="4" t="s">
        <v>14</v>
      </c>
      <c r="C258" s="4" t="s">
        <v>744</v>
      </c>
    </row>
    <row r="259" spans="1:3" x14ac:dyDescent="0.2">
      <c r="A259" s="9" t="s">
        <v>742</v>
      </c>
      <c r="B259" s="4" t="s">
        <v>17</v>
      </c>
      <c r="C259" s="4" t="s">
        <v>745</v>
      </c>
    </row>
    <row r="260" spans="1:3" x14ac:dyDescent="0.2">
      <c r="A260" s="9" t="s">
        <v>742</v>
      </c>
      <c r="B260" s="4" t="s">
        <v>15</v>
      </c>
      <c r="C260" s="4" t="s">
        <v>746</v>
      </c>
    </row>
    <row r="261" spans="1:3" x14ac:dyDescent="0.2">
      <c r="A261" s="9" t="s">
        <v>742</v>
      </c>
      <c r="B261" s="4" t="s">
        <v>19</v>
      </c>
      <c r="C261" s="4" t="s">
        <v>747</v>
      </c>
    </row>
    <row r="262" spans="1:3" x14ac:dyDescent="0.2">
      <c r="A262" s="9" t="s">
        <v>279</v>
      </c>
      <c r="B262" s="9" t="s">
        <v>13</v>
      </c>
      <c r="C262" s="1" t="s">
        <v>497</v>
      </c>
    </row>
    <row r="263" spans="1:3" x14ac:dyDescent="0.2">
      <c r="A263" s="9" t="s">
        <v>279</v>
      </c>
      <c r="B263" s="1" t="s">
        <v>14</v>
      </c>
      <c r="C263" s="1" t="s">
        <v>280</v>
      </c>
    </row>
    <row r="264" spans="1:3" x14ac:dyDescent="0.2">
      <c r="A264" s="9" t="s">
        <v>279</v>
      </c>
      <c r="B264" s="1" t="s">
        <v>17</v>
      </c>
      <c r="C264" s="1" t="s">
        <v>498</v>
      </c>
    </row>
    <row r="265" spans="1:3" x14ac:dyDescent="0.2">
      <c r="A265" s="9" t="s">
        <v>279</v>
      </c>
      <c r="B265" s="1" t="s">
        <v>15</v>
      </c>
      <c r="C265" s="1" t="s">
        <v>499</v>
      </c>
    </row>
    <row r="266" spans="1:3" x14ac:dyDescent="0.2">
      <c r="A266" s="9" t="s">
        <v>279</v>
      </c>
      <c r="B266" s="1" t="s">
        <v>19</v>
      </c>
      <c r="C266" s="1" t="s">
        <v>500</v>
      </c>
    </row>
    <row r="267" spans="1:3" x14ac:dyDescent="0.2">
      <c r="A267" s="9" t="s">
        <v>271</v>
      </c>
      <c r="B267" s="1" t="s">
        <v>13</v>
      </c>
      <c r="C267" s="1" t="s">
        <v>272</v>
      </c>
    </row>
    <row r="268" spans="1:3" x14ac:dyDescent="0.2">
      <c r="A268" s="9" t="s">
        <v>271</v>
      </c>
      <c r="B268" s="1" t="s">
        <v>14</v>
      </c>
      <c r="C268" s="1" t="s">
        <v>1120</v>
      </c>
    </row>
    <row r="269" spans="1:3" x14ac:dyDescent="0.2">
      <c r="A269" s="9" t="s">
        <v>271</v>
      </c>
      <c r="B269" s="1" t="s">
        <v>17</v>
      </c>
      <c r="C269" s="1" t="s">
        <v>501</v>
      </c>
    </row>
    <row r="270" spans="1:3" x14ac:dyDescent="0.2">
      <c r="A270" s="9" t="s">
        <v>271</v>
      </c>
      <c r="B270" s="1" t="s">
        <v>15</v>
      </c>
      <c r="C270" s="1" t="s">
        <v>278</v>
      </c>
    </row>
    <row r="271" spans="1:3" x14ac:dyDescent="0.2">
      <c r="A271" s="9" t="s">
        <v>271</v>
      </c>
      <c r="B271" s="1" t="s">
        <v>19</v>
      </c>
      <c r="C271" s="1" t="s">
        <v>502</v>
      </c>
    </row>
    <row r="272" spans="1:3" x14ac:dyDescent="0.2">
      <c r="A272" s="9" t="s">
        <v>836</v>
      </c>
      <c r="B272" s="1" t="s">
        <v>13</v>
      </c>
      <c r="C272" s="4" t="s">
        <v>837</v>
      </c>
    </row>
    <row r="273" spans="1:3" x14ac:dyDescent="0.2">
      <c r="A273" s="9" t="s">
        <v>836</v>
      </c>
      <c r="B273" s="1" t="s">
        <v>14</v>
      </c>
      <c r="C273" s="4" t="s">
        <v>837</v>
      </c>
    </row>
    <row r="274" spans="1:3" x14ac:dyDescent="0.2">
      <c r="A274" s="9" t="s">
        <v>836</v>
      </c>
      <c r="B274" s="1" t="s">
        <v>17</v>
      </c>
      <c r="C274" s="4" t="s">
        <v>837</v>
      </c>
    </row>
    <row r="275" spans="1:3" x14ac:dyDescent="0.2">
      <c r="A275" s="9" t="s">
        <v>836</v>
      </c>
      <c r="B275" s="1" t="s">
        <v>15</v>
      </c>
      <c r="C275" s="4" t="s">
        <v>838</v>
      </c>
    </row>
    <row r="276" spans="1:3" x14ac:dyDescent="0.2">
      <c r="A276" s="9" t="s">
        <v>836</v>
      </c>
      <c r="B276" s="1" t="s">
        <v>19</v>
      </c>
      <c r="C276" s="4" t="s">
        <v>839</v>
      </c>
    </row>
    <row r="277" spans="1:3" x14ac:dyDescent="0.2">
      <c r="A277" s="4" t="s">
        <v>623</v>
      </c>
      <c r="B277" s="1" t="s">
        <v>13</v>
      </c>
      <c r="C277" s="4" t="s">
        <v>624</v>
      </c>
    </row>
    <row r="278" spans="1:3" x14ac:dyDescent="0.2">
      <c r="A278" s="9" t="s">
        <v>623</v>
      </c>
      <c r="B278" s="1" t="s">
        <v>14</v>
      </c>
      <c r="C278" s="4" t="s">
        <v>625</v>
      </c>
    </row>
    <row r="279" spans="1:3" x14ac:dyDescent="0.2">
      <c r="A279" s="9" t="s">
        <v>623</v>
      </c>
      <c r="B279" s="1" t="s">
        <v>17</v>
      </c>
      <c r="C279" s="4" t="s">
        <v>625</v>
      </c>
    </row>
    <row r="280" spans="1:3" x14ac:dyDescent="0.2">
      <c r="A280" s="9" t="s">
        <v>623</v>
      </c>
      <c r="B280" s="1" t="s">
        <v>15</v>
      </c>
      <c r="C280" s="4" t="s">
        <v>625</v>
      </c>
    </row>
    <row r="281" spans="1:3" x14ac:dyDescent="0.2">
      <c r="A281" s="9" t="s">
        <v>623</v>
      </c>
      <c r="B281" s="1" t="s">
        <v>19</v>
      </c>
      <c r="C281" s="4" t="s">
        <v>626</v>
      </c>
    </row>
    <row r="282" spans="1:3" x14ac:dyDescent="0.2">
      <c r="A282" s="9" t="s">
        <v>340</v>
      </c>
      <c r="B282" s="1" t="s">
        <v>13</v>
      </c>
      <c r="C282" s="4" t="s">
        <v>341</v>
      </c>
    </row>
    <row r="283" spans="1:3" x14ac:dyDescent="0.2">
      <c r="A283" s="9" t="s">
        <v>340</v>
      </c>
      <c r="B283" s="1" t="s">
        <v>14</v>
      </c>
      <c r="C283" s="4" t="s">
        <v>342</v>
      </c>
    </row>
    <row r="284" spans="1:3" x14ac:dyDescent="0.2">
      <c r="A284" s="9" t="s">
        <v>340</v>
      </c>
      <c r="B284" s="1" t="s">
        <v>17</v>
      </c>
      <c r="C284" s="4" t="s">
        <v>343</v>
      </c>
    </row>
    <row r="285" spans="1:3" x14ac:dyDescent="0.2">
      <c r="A285" s="9" t="s">
        <v>340</v>
      </c>
      <c r="B285" s="1" t="s">
        <v>15</v>
      </c>
      <c r="C285" s="4" t="s">
        <v>344</v>
      </c>
    </row>
    <row r="286" spans="1:3" x14ac:dyDescent="0.2">
      <c r="A286" s="9" t="s">
        <v>340</v>
      </c>
      <c r="B286" s="1" t="s">
        <v>19</v>
      </c>
      <c r="C286" s="4" t="s">
        <v>345</v>
      </c>
    </row>
    <row r="287" spans="1:3" x14ac:dyDescent="0.2">
      <c r="A287" s="9" t="s">
        <v>925</v>
      </c>
      <c r="B287" s="1" t="s">
        <v>13</v>
      </c>
      <c r="C287" s="4" t="s">
        <v>926</v>
      </c>
    </row>
    <row r="288" spans="1:3" x14ac:dyDescent="0.2">
      <c r="A288" s="9" t="s">
        <v>925</v>
      </c>
      <c r="B288" s="1" t="s">
        <v>14</v>
      </c>
      <c r="C288" s="4" t="s">
        <v>926</v>
      </c>
    </row>
    <row r="289" spans="1:3" x14ac:dyDescent="0.2">
      <c r="A289" s="9" t="s">
        <v>925</v>
      </c>
      <c r="B289" s="1" t="s">
        <v>17</v>
      </c>
      <c r="C289" s="4" t="s">
        <v>927</v>
      </c>
    </row>
    <row r="290" spans="1:3" x14ac:dyDescent="0.2">
      <c r="A290" s="9" t="s">
        <v>925</v>
      </c>
      <c r="B290" s="1" t="s">
        <v>15</v>
      </c>
      <c r="C290" s="4" t="s">
        <v>926</v>
      </c>
    </row>
    <row r="291" spans="1:3" x14ac:dyDescent="0.2">
      <c r="A291" s="9" t="s">
        <v>925</v>
      </c>
      <c r="B291" s="1" t="s">
        <v>19</v>
      </c>
      <c r="C291" s="4" t="s">
        <v>928</v>
      </c>
    </row>
    <row r="292" spans="1:3" x14ac:dyDescent="0.2">
      <c r="A292" s="9" t="s">
        <v>930</v>
      </c>
      <c r="B292" s="1" t="s">
        <v>13</v>
      </c>
      <c r="C292" s="4" t="s">
        <v>931</v>
      </c>
    </row>
    <row r="293" spans="1:3" x14ac:dyDescent="0.2">
      <c r="A293" s="9" t="s">
        <v>930</v>
      </c>
      <c r="B293" s="1" t="s">
        <v>14</v>
      </c>
      <c r="C293" s="4" t="s">
        <v>932</v>
      </c>
    </row>
    <row r="294" spans="1:3" x14ac:dyDescent="0.2">
      <c r="A294" s="9" t="s">
        <v>930</v>
      </c>
      <c r="B294" s="1" t="s">
        <v>17</v>
      </c>
      <c r="C294" s="4" t="s">
        <v>933</v>
      </c>
    </row>
    <row r="295" spans="1:3" x14ac:dyDescent="0.2">
      <c r="A295" s="9" t="s">
        <v>930</v>
      </c>
      <c r="B295" s="1" t="s">
        <v>15</v>
      </c>
      <c r="C295" s="4" t="s">
        <v>934</v>
      </c>
    </row>
    <row r="296" spans="1:3" x14ac:dyDescent="0.2">
      <c r="A296" s="9" t="s">
        <v>930</v>
      </c>
      <c r="B296" s="1" t="s">
        <v>19</v>
      </c>
      <c r="C296" s="4" t="s">
        <v>935</v>
      </c>
    </row>
    <row r="297" spans="1:3" x14ac:dyDescent="0.2">
      <c r="A297" s="9" t="s">
        <v>434</v>
      </c>
      <c r="B297" s="1" t="s">
        <v>13</v>
      </c>
      <c r="C297" s="4" t="s">
        <v>435</v>
      </c>
    </row>
    <row r="298" spans="1:3" x14ac:dyDescent="0.2">
      <c r="A298" s="9" t="s">
        <v>434</v>
      </c>
      <c r="B298" s="1" t="s">
        <v>14</v>
      </c>
      <c r="C298" s="4" t="s">
        <v>436</v>
      </c>
    </row>
    <row r="299" spans="1:3" x14ac:dyDescent="0.2">
      <c r="A299" s="9" t="s">
        <v>434</v>
      </c>
      <c r="B299" s="1" t="s">
        <v>17</v>
      </c>
      <c r="C299" s="4" t="s">
        <v>521</v>
      </c>
    </row>
    <row r="300" spans="1:3" x14ac:dyDescent="0.2">
      <c r="A300" s="9" t="s">
        <v>434</v>
      </c>
      <c r="B300" s="1" t="s">
        <v>15</v>
      </c>
      <c r="C300" s="4" t="s">
        <v>437</v>
      </c>
    </row>
    <row r="301" spans="1:3" x14ac:dyDescent="0.2">
      <c r="A301" s="9" t="s">
        <v>434</v>
      </c>
      <c r="B301" s="1" t="s">
        <v>19</v>
      </c>
      <c r="C301" s="4" t="s">
        <v>438</v>
      </c>
    </row>
    <row r="302" spans="1:3" x14ac:dyDescent="0.2">
      <c r="A302" s="9" t="s">
        <v>828</v>
      </c>
      <c r="B302" s="1" t="s">
        <v>13</v>
      </c>
      <c r="C302" s="4" t="s">
        <v>829</v>
      </c>
    </row>
    <row r="303" spans="1:3" x14ac:dyDescent="0.2">
      <c r="A303" s="9" t="s">
        <v>828</v>
      </c>
      <c r="B303" s="1" t="s">
        <v>14</v>
      </c>
      <c r="C303" s="4" t="s">
        <v>830</v>
      </c>
    </row>
    <row r="304" spans="1:3" x14ac:dyDescent="0.2">
      <c r="A304" s="9" t="s">
        <v>828</v>
      </c>
      <c r="B304" s="1" t="s">
        <v>17</v>
      </c>
      <c r="C304" s="4" t="s">
        <v>831</v>
      </c>
    </row>
    <row r="305" spans="1:3" x14ac:dyDescent="0.2">
      <c r="A305" s="9" t="s">
        <v>828</v>
      </c>
      <c r="B305" s="1" t="s">
        <v>15</v>
      </c>
      <c r="C305" s="4" t="s">
        <v>832</v>
      </c>
    </row>
    <row r="306" spans="1:3" x14ac:dyDescent="0.2">
      <c r="A306" s="9" t="s">
        <v>828</v>
      </c>
      <c r="B306" s="1" t="s">
        <v>19</v>
      </c>
      <c r="C306" s="4" t="s">
        <v>833</v>
      </c>
    </row>
    <row r="307" spans="1:3" x14ac:dyDescent="0.2">
      <c r="A307" s="9" t="s">
        <v>573</v>
      </c>
      <c r="B307" s="1" t="s">
        <v>13</v>
      </c>
      <c r="C307" s="4" t="s">
        <v>574</v>
      </c>
    </row>
    <row r="308" spans="1:3" x14ac:dyDescent="0.2">
      <c r="A308" s="9" t="s">
        <v>573</v>
      </c>
      <c r="B308" s="1" t="s">
        <v>14</v>
      </c>
      <c r="C308" s="4" t="s">
        <v>575</v>
      </c>
    </row>
    <row r="309" spans="1:3" x14ac:dyDescent="0.2">
      <c r="A309" s="9" t="s">
        <v>573</v>
      </c>
      <c r="B309" s="1" t="s">
        <v>17</v>
      </c>
      <c r="C309" s="4" t="s">
        <v>576</v>
      </c>
    </row>
    <row r="310" spans="1:3" x14ac:dyDescent="0.2">
      <c r="A310" s="9" t="s">
        <v>573</v>
      </c>
      <c r="B310" s="1" t="s">
        <v>15</v>
      </c>
      <c r="C310" s="4" t="s">
        <v>577</v>
      </c>
    </row>
    <row r="311" spans="1:3" x14ac:dyDescent="0.2">
      <c r="A311" s="9" t="s">
        <v>573</v>
      </c>
      <c r="B311" s="1" t="s">
        <v>19</v>
      </c>
      <c r="C311" s="4" t="s">
        <v>578</v>
      </c>
    </row>
    <row r="312" spans="1:3" x14ac:dyDescent="0.2">
      <c r="A312" s="9" t="s">
        <v>756</v>
      </c>
      <c r="B312" s="1" t="s">
        <v>13</v>
      </c>
      <c r="C312" s="4" t="s">
        <v>757</v>
      </c>
    </row>
    <row r="313" spans="1:3" x14ac:dyDescent="0.2">
      <c r="A313" s="9" t="s">
        <v>756</v>
      </c>
      <c r="B313" s="1" t="s">
        <v>14</v>
      </c>
      <c r="C313" s="4" t="s">
        <v>758</v>
      </c>
    </row>
    <row r="314" spans="1:3" x14ac:dyDescent="0.2">
      <c r="A314" s="9" t="s">
        <v>756</v>
      </c>
      <c r="B314" s="1" t="s">
        <v>17</v>
      </c>
      <c r="C314" s="4" t="s">
        <v>757</v>
      </c>
    </row>
    <row r="315" spans="1:3" x14ac:dyDescent="0.2">
      <c r="A315" s="9" t="s">
        <v>756</v>
      </c>
      <c r="B315" s="1" t="s">
        <v>15</v>
      </c>
      <c r="C315" s="4" t="s">
        <v>757</v>
      </c>
    </row>
    <row r="316" spans="1:3" x14ac:dyDescent="0.2">
      <c r="A316" s="9" t="s">
        <v>756</v>
      </c>
      <c r="B316" s="1" t="s">
        <v>19</v>
      </c>
      <c r="C316" s="4" t="s">
        <v>757</v>
      </c>
    </row>
    <row r="317" spans="1:3" x14ac:dyDescent="0.2">
      <c r="A317" s="9" t="s">
        <v>841</v>
      </c>
      <c r="B317" s="1" t="s">
        <v>13</v>
      </c>
      <c r="C317" s="4" t="s">
        <v>842</v>
      </c>
    </row>
    <row r="318" spans="1:3" x14ac:dyDescent="0.2">
      <c r="A318" s="9" t="s">
        <v>841</v>
      </c>
      <c r="B318" s="1" t="s">
        <v>14</v>
      </c>
      <c r="C318" s="4" t="s">
        <v>843</v>
      </c>
    </row>
    <row r="319" spans="1:3" x14ac:dyDescent="0.2">
      <c r="A319" s="9" t="s">
        <v>841</v>
      </c>
      <c r="B319" s="1" t="s">
        <v>17</v>
      </c>
      <c r="C319" s="4" t="s">
        <v>844</v>
      </c>
    </row>
    <row r="320" spans="1:3" x14ac:dyDescent="0.2">
      <c r="A320" s="9" t="s">
        <v>841</v>
      </c>
      <c r="B320" s="1" t="s">
        <v>15</v>
      </c>
      <c r="C320" s="4" t="s">
        <v>845</v>
      </c>
    </row>
    <row r="321" spans="1:3" x14ac:dyDescent="0.2">
      <c r="A321" s="9" t="s">
        <v>841</v>
      </c>
      <c r="B321" s="1" t="s">
        <v>19</v>
      </c>
      <c r="C321" s="4" t="s">
        <v>846</v>
      </c>
    </row>
    <row r="322" spans="1:3" x14ac:dyDescent="0.2">
      <c r="A322" s="9" t="s">
        <v>937</v>
      </c>
      <c r="B322" s="1" t="s">
        <v>13</v>
      </c>
      <c r="C322" s="4" t="s">
        <v>938</v>
      </c>
    </row>
    <row r="323" spans="1:3" x14ac:dyDescent="0.2">
      <c r="A323" s="9" t="s">
        <v>937</v>
      </c>
      <c r="B323" s="1" t="s">
        <v>14</v>
      </c>
      <c r="C323" s="4" t="s">
        <v>939</v>
      </c>
    </row>
    <row r="324" spans="1:3" x14ac:dyDescent="0.2">
      <c r="A324" s="9" t="s">
        <v>937</v>
      </c>
      <c r="B324" s="1" t="s">
        <v>17</v>
      </c>
      <c r="C324" s="4" t="s">
        <v>940</v>
      </c>
    </row>
    <row r="325" spans="1:3" x14ac:dyDescent="0.2">
      <c r="A325" s="9" t="s">
        <v>937</v>
      </c>
      <c r="B325" s="1" t="s">
        <v>15</v>
      </c>
      <c r="C325" s="4" t="s">
        <v>941</v>
      </c>
    </row>
    <row r="326" spans="1:3" x14ac:dyDescent="0.2">
      <c r="A326" s="9" t="s">
        <v>937</v>
      </c>
      <c r="B326" s="1" t="s">
        <v>19</v>
      </c>
      <c r="C326" s="4" t="s">
        <v>942</v>
      </c>
    </row>
    <row r="327" spans="1:3" x14ac:dyDescent="0.2">
      <c r="A327" s="9" t="s">
        <v>701</v>
      </c>
      <c r="B327" s="1" t="s">
        <v>13</v>
      </c>
      <c r="C327" s="4" t="s">
        <v>702</v>
      </c>
    </row>
    <row r="328" spans="1:3" x14ac:dyDescent="0.2">
      <c r="A328" s="9" t="s">
        <v>701</v>
      </c>
      <c r="B328" s="1" t="s">
        <v>14</v>
      </c>
      <c r="C328" s="4" t="s">
        <v>703</v>
      </c>
    </row>
    <row r="329" spans="1:3" x14ac:dyDescent="0.2">
      <c r="A329" s="9" t="s">
        <v>701</v>
      </c>
      <c r="B329" s="1" t="s">
        <v>17</v>
      </c>
      <c r="C329" s="4" t="s">
        <v>704</v>
      </c>
    </row>
    <row r="330" spans="1:3" x14ac:dyDescent="0.2">
      <c r="A330" s="9" t="s">
        <v>701</v>
      </c>
      <c r="B330" s="1" t="s">
        <v>15</v>
      </c>
      <c r="C330" s="4" t="s">
        <v>705</v>
      </c>
    </row>
    <row r="331" spans="1:3" x14ac:dyDescent="0.2">
      <c r="A331" s="9" t="s">
        <v>701</v>
      </c>
      <c r="B331" s="1" t="s">
        <v>19</v>
      </c>
      <c r="C331" s="4" t="s">
        <v>706</v>
      </c>
    </row>
    <row r="332" spans="1:3" x14ac:dyDescent="0.2">
      <c r="A332" s="9" t="s">
        <v>467</v>
      </c>
      <c r="B332" s="1" t="s">
        <v>13</v>
      </c>
      <c r="C332" s="4" t="s">
        <v>469</v>
      </c>
    </row>
    <row r="333" spans="1:3" x14ac:dyDescent="0.2">
      <c r="A333" s="9" t="s">
        <v>467</v>
      </c>
      <c r="B333" s="1" t="s">
        <v>14</v>
      </c>
      <c r="C333" s="4" t="s">
        <v>469</v>
      </c>
    </row>
    <row r="334" spans="1:3" x14ac:dyDescent="0.2">
      <c r="A334" s="9" t="s">
        <v>467</v>
      </c>
      <c r="B334" s="1" t="s">
        <v>17</v>
      </c>
      <c r="C334" s="4" t="s">
        <v>470</v>
      </c>
    </row>
    <row r="335" spans="1:3" x14ac:dyDescent="0.2">
      <c r="A335" s="9" t="s">
        <v>467</v>
      </c>
      <c r="B335" s="1" t="s">
        <v>15</v>
      </c>
      <c r="C335" s="4" t="s">
        <v>520</v>
      </c>
    </row>
    <row r="336" spans="1:3" x14ac:dyDescent="0.2">
      <c r="A336" s="9" t="s">
        <v>467</v>
      </c>
      <c r="B336" s="1" t="s">
        <v>19</v>
      </c>
      <c r="C336" s="4" t="s">
        <v>471</v>
      </c>
    </row>
    <row r="337" spans="1:3" x14ac:dyDescent="0.2">
      <c r="A337" s="4" t="s">
        <v>687</v>
      </c>
      <c r="B337" s="1" t="s">
        <v>13</v>
      </c>
      <c r="C337" s="4" t="s">
        <v>688</v>
      </c>
    </row>
    <row r="338" spans="1:3" x14ac:dyDescent="0.2">
      <c r="A338" s="9" t="s">
        <v>687</v>
      </c>
      <c r="B338" s="1" t="s">
        <v>14</v>
      </c>
      <c r="C338" s="4" t="s">
        <v>689</v>
      </c>
    </row>
    <row r="339" spans="1:3" x14ac:dyDescent="0.2">
      <c r="A339" s="9" t="s">
        <v>687</v>
      </c>
      <c r="B339" s="1" t="s">
        <v>17</v>
      </c>
      <c r="C339" s="4" t="s">
        <v>690</v>
      </c>
    </row>
    <row r="340" spans="1:3" x14ac:dyDescent="0.2">
      <c r="A340" s="9" t="s">
        <v>687</v>
      </c>
      <c r="B340" s="1" t="s">
        <v>15</v>
      </c>
      <c r="C340" s="4" t="s">
        <v>691</v>
      </c>
    </row>
    <row r="341" spans="1:3" x14ac:dyDescent="0.2">
      <c r="A341" s="9" t="s">
        <v>687</v>
      </c>
      <c r="B341" s="1" t="s">
        <v>19</v>
      </c>
      <c r="C341" s="4" t="s">
        <v>692</v>
      </c>
    </row>
    <row r="342" spans="1:3" x14ac:dyDescent="0.2">
      <c r="A342" s="9" t="s">
        <v>117</v>
      </c>
      <c r="B342" s="4" t="s">
        <v>13</v>
      </c>
      <c r="C342" s="4" t="s">
        <v>148</v>
      </c>
    </row>
    <row r="343" spans="1:3" x14ac:dyDescent="0.2">
      <c r="A343" s="9" t="s">
        <v>117</v>
      </c>
      <c r="B343" s="4" t="s">
        <v>14</v>
      </c>
      <c r="C343" s="4" t="s">
        <v>149</v>
      </c>
    </row>
    <row r="344" spans="1:3" x14ac:dyDescent="0.2">
      <c r="A344" s="9" t="s">
        <v>117</v>
      </c>
      <c r="B344" s="4" t="s">
        <v>17</v>
      </c>
      <c r="C344" s="4" t="s">
        <v>150</v>
      </c>
    </row>
    <row r="345" spans="1:3" x14ac:dyDescent="0.2">
      <c r="A345" s="9" t="s">
        <v>117</v>
      </c>
      <c r="B345" s="4" t="s">
        <v>15</v>
      </c>
      <c r="C345" s="4" t="s">
        <v>151</v>
      </c>
    </row>
    <row r="346" spans="1:3" x14ac:dyDescent="0.2">
      <c r="A346" s="9" t="s">
        <v>117</v>
      </c>
      <c r="B346" s="4" t="s">
        <v>19</v>
      </c>
      <c r="C346" s="4" t="s">
        <v>152</v>
      </c>
    </row>
    <row r="347" spans="1:3" x14ac:dyDescent="0.2">
      <c r="A347" s="9" t="s">
        <v>7</v>
      </c>
      <c r="B347" s="4" t="s">
        <v>13</v>
      </c>
      <c r="C347" s="4" t="s">
        <v>8</v>
      </c>
    </row>
    <row r="348" spans="1:3" x14ac:dyDescent="0.2">
      <c r="A348" s="9" t="s">
        <v>7</v>
      </c>
      <c r="B348" s="4" t="s">
        <v>14</v>
      </c>
      <c r="C348" s="4" t="s">
        <v>8</v>
      </c>
    </row>
    <row r="349" spans="1:3" x14ac:dyDescent="0.2">
      <c r="A349" s="9" t="s">
        <v>7</v>
      </c>
      <c r="B349" s="4" t="s">
        <v>17</v>
      </c>
      <c r="C349" s="4" t="s">
        <v>18</v>
      </c>
    </row>
    <row r="350" spans="1:3" x14ac:dyDescent="0.2">
      <c r="A350" s="9" t="s">
        <v>7</v>
      </c>
      <c r="B350" s="4" t="s">
        <v>15</v>
      </c>
      <c r="C350" s="4" t="s">
        <v>16</v>
      </c>
    </row>
    <row r="351" spans="1:3" x14ac:dyDescent="0.2">
      <c r="A351" s="9" t="s">
        <v>7</v>
      </c>
      <c r="B351" s="4" t="s">
        <v>19</v>
      </c>
      <c r="C351" s="4" t="s">
        <v>20</v>
      </c>
    </row>
    <row r="352" spans="1:3" x14ac:dyDescent="0.2">
      <c r="A352" s="9" t="s">
        <v>346</v>
      </c>
      <c r="B352" s="4" t="s">
        <v>13</v>
      </c>
      <c r="C352" s="4" t="s">
        <v>347</v>
      </c>
    </row>
    <row r="353" spans="1:3" x14ac:dyDescent="0.2">
      <c r="A353" s="9" t="s">
        <v>346</v>
      </c>
      <c r="B353" s="4" t="s">
        <v>14</v>
      </c>
      <c r="C353" s="4" t="s">
        <v>348</v>
      </c>
    </row>
    <row r="354" spans="1:3" x14ac:dyDescent="0.2">
      <c r="A354" s="9" t="s">
        <v>346</v>
      </c>
      <c r="B354" s="4" t="s">
        <v>17</v>
      </c>
      <c r="C354" s="4" t="s">
        <v>509</v>
      </c>
    </row>
    <row r="355" spans="1:3" x14ac:dyDescent="0.2">
      <c r="A355" s="9" t="s">
        <v>346</v>
      </c>
      <c r="B355" s="4" t="s">
        <v>15</v>
      </c>
      <c r="C355" s="4" t="s">
        <v>349</v>
      </c>
    </row>
    <row r="356" spans="1:3" x14ac:dyDescent="0.2">
      <c r="A356" s="9" t="s">
        <v>346</v>
      </c>
      <c r="B356" s="4" t="s">
        <v>19</v>
      </c>
      <c r="C356" s="4" t="s">
        <v>510</v>
      </c>
    </row>
    <row r="357" spans="1:3" x14ac:dyDescent="0.2">
      <c r="A357" s="9" t="s">
        <v>354</v>
      </c>
      <c r="B357" s="4" t="s">
        <v>13</v>
      </c>
      <c r="C357" s="4" t="s">
        <v>511</v>
      </c>
    </row>
    <row r="358" spans="1:3" x14ac:dyDescent="0.2">
      <c r="A358" s="9" t="s">
        <v>354</v>
      </c>
      <c r="B358" s="4" t="s">
        <v>14</v>
      </c>
      <c r="C358" s="4" t="s">
        <v>356</v>
      </c>
    </row>
    <row r="359" spans="1:3" x14ac:dyDescent="0.2">
      <c r="A359" s="9" t="s">
        <v>354</v>
      </c>
      <c r="B359" s="4" t="s">
        <v>17</v>
      </c>
      <c r="C359" s="4" t="s">
        <v>512</v>
      </c>
    </row>
    <row r="360" spans="1:3" x14ac:dyDescent="0.2">
      <c r="A360" s="9" t="s">
        <v>354</v>
      </c>
      <c r="B360" s="4" t="s">
        <v>15</v>
      </c>
      <c r="C360" s="4" t="s">
        <v>357</v>
      </c>
    </row>
    <row r="361" spans="1:3" x14ac:dyDescent="0.2">
      <c r="A361" s="9" t="s">
        <v>354</v>
      </c>
      <c r="B361" s="4" t="s">
        <v>19</v>
      </c>
      <c r="C361" s="4" t="s">
        <v>513</v>
      </c>
    </row>
    <row r="362" spans="1:3" x14ac:dyDescent="0.2">
      <c r="A362" s="9" t="s">
        <v>350</v>
      </c>
      <c r="B362" s="4" t="s">
        <v>13</v>
      </c>
      <c r="C362" s="4" t="s">
        <v>353</v>
      </c>
    </row>
    <row r="363" spans="1:3" x14ac:dyDescent="0.2">
      <c r="A363" s="9" t="s">
        <v>350</v>
      </c>
      <c r="B363" s="4" t="s">
        <v>14</v>
      </c>
      <c r="C363" s="4" t="s">
        <v>518</v>
      </c>
    </row>
    <row r="364" spans="1:3" x14ac:dyDescent="0.2">
      <c r="A364" s="9" t="s">
        <v>350</v>
      </c>
      <c r="B364" s="4" t="s">
        <v>17</v>
      </c>
      <c r="C364" s="4" t="s">
        <v>517</v>
      </c>
    </row>
    <row r="365" spans="1:3" x14ac:dyDescent="0.2">
      <c r="A365" s="9" t="s">
        <v>350</v>
      </c>
      <c r="B365" s="4" t="s">
        <v>15</v>
      </c>
      <c r="C365" s="4" t="s">
        <v>1118</v>
      </c>
    </row>
    <row r="366" spans="1:3" x14ac:dyDescent="0.2">
      <c r="A366" s="9" t="s">
        <v>350</v>
      </c>
      <c r="B366" s="4" t="s">
        <v>19</v>
      </c>
      <c r="C366" s="4" t="s">
        <v>514</v>
      </c>
    </row>
    <row r="367" spans="1:3" x14ac:dyDescent="0.2">
      <c r="A367" s="9" t="s">
        <v>351</v>
      </c>
      <c r="B367" s="4" t="s">
        <v>13</v>
      </c>
      <c r="C367" s="4" t="s">
        <v>352</v>
      </c>
    </row>
    <row r="368" spans="1:3" x14ac:dyDescent="0.2">
      <c r="A368" s="9" t="s">
        <v>351</v>
      </c>
      <c r="B368" s="4" t="s">
        <v>14</v>
      </c>
      <c r="C368" s="4" t="s">
        <v>519</v>
      </c>
    </row>
    <row r="369" spans="1:3" x14ac:dyDescent="0.2">
      <c r="A369" s="9" t="s">
        <v>351</v>
      </c>
      <c r="B369" s="4" t="s">
        <v>17</v>
      </c>
      <c r="C369" s="4" t="s">
        <v>516</v>
      </c>
    </row>
    <row r="370" spans="1:3" x14ac:dyDescent="0.2">
      <c r="A370" s="9" t="s">
        <v>351</v>
      </c>
      <c r="B370" s="4" t="s">
        <v>15</v>
      </c>
      <c r="C370" s="4" t="s">
        <v>1119</v>
      </c>
    </row>
    <row r="371" spans="1:3" x14ac:dyDescent="0.2">
      <c r="A371" s="9" t="s">
        <v>351</v>
      </c>
      <c r="B371" s="4" t="s">
        <v>19</v>
      </c>
      <c r="C371" s="4" t="s">
        <v>515</v>
      </c>
    </row>
  </sheetData>
  <sheetProtection selectLockedCells="1" selectUnlockedCells="1"/>
  <phoneticPr fontId="2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04DC042-488E-AC48-A3E3-EC4B5D5EA13E}">
          <x14:formula1>
            <xm:f>PRODUCTS!$A$2:$A$75</xm:f>
          </x14:formula1>
          <xm:sqref>A2:A371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FBF3-9F85-ED41-A62E-D6AD247E28BC}">
  <dimension ref="A1:C16"/>
  <sheetViews>
    <sheetView zoomScale="120" zoomScaleNormal="120" workbookViewId="0">
      <selection activeCell="B8" sqref="B8"/>
    </sheetView>
  </sheetViews>
  <sheetFormatPr baseColWidth="10" defaultRowHeight="16" x14ac:dyDescent="0.2"/>
  <cols>
    <col min="1" max="1" width="19.33203125" style="4" bestFit="1" customWidth="1"/>
    <col min="2" max="2" width="13" style="2" customWidth="1"/>
    <col min="3" max="3" width="21.33203125" style="4" bestFit="1" customWidth="1"/>
    <col min="4" max="16384" width="10.83203125" style="4"/>
  </cols>
  <sheetData>
    <row r="1" spans="1:3" s="3" customFormat="1" x14ac:dyDescent="0.2">
      <c r="A1" s="3" t="s">
        <v>40</v>
      </c>
      <c r="B1" s="3" t="s">
        <v>6</v>
      </c>
      <c r="C1" s="6" t="s">
        <v>106</v>
      </c>
    </row>
    <row r="2" spans="1:3" x14ac:dyDescent="0.2">
      <c r="A2" s="4" t="s">
        <v>115</v>
      </c>
      <c r="B2" s="2">
        <v>1</v>
      </c>
      <c r="C2" s="2" t="s">
        <v>119</v>
      </c>
    </row>
    <row r="3" spans="1:3" x14ac:dyDescent="0.2">
      <c r="A3" s="4" t="s">
        <v>363</v>
      </c>
      <c r="B3" s="2">
        <v>2</v>
      </c>
      <c r="C3" s="2" t="s">
        <v>364</v>
      </c>
    </row>
    <row r="4" spans="1:3" x14ac:dyDescent="0.2">
      <c r="A4" s="4" t="s">
        <v>952</v>
      </c>
      <c r="B4" s="2">
        <v>3</v>
      </c>
      <c r="C4" s="2" t="s">
        <v>953</v>
      </c>
    </row>
    <row r="5" spans="1:3" x14ac:dyDescent="0.2">
      <c r="A5" s="4" t="s">
        <v>365</v>
      </c>
      <c r="B5" s="2">
        <v>4</v>
      </c>
      <c r="C5" s="2" t="s">
        <v>366</v>
      </c>
    </row>
    <row r="6" spans="1:3" x14ac:dyDescent="0.2">
      <c r="A6" s="4" t="s">
        <v>1033</v>
      </c>
      <c r="B6" s="2">
        <v>5</v>
      </c>
      <c r="C6" s="2" t="s">
        <v>1034</v>
      </c>
    </row>
    <row r="7" spans="1:3" x14ac:dyDescent="0.2">
      <c r="A7" s="4" t="s">
        <v>1035</v>
      </c>
      <c r="B7" s="2">
        <v>6</v>
      </c>
      <c r="C7" s="2" t="s">
        <v>1036</v>
      </c>
    </row>
    <row r="8" spans="1:3" x14ac:dyDescent="0.2">
      <c r="A8" s="4" t="s">
        <v>950</v>
      </c>
      <c r="B8" s="2">
        <v>7</v>
      </c>
      <c r="C8" s="2" t="s">
        <v>951</v>
      </c>
    </row>
    <row r="9" spans="1:3" x14ac:dyDescent="0.2">
      <c r="A9" s="4" t="s">
        <v>526</v>
      </c>
      <c r="B9" s="2">
        <v>8</v>
      </c>
      <c r="C9" s="2" t="s">
        <v>527</v>
      </c>
    </row>
    <row r="10" spans="1:3" x14ac:dyDescent="0.2">
      <c r="A10" s="4" t="s">
        <v>532</v>
      </c>
      <c r="B10" s="2">
        <v>9</v>
      </c>
      <c r="C10" s="2" t="s">
        <v>533</v>
      </c>
    </row>
    <row r="11" spans="1:3" x14ac:dyDescent="0.2">
      <c r="A11" s="4" t="s">
        <v>579</v>
      </c>
      <c r="B11" s="2">
        <v>10</v>
      </c>
      <c r="C11" s="2" t="s">
        <v>580</v>
      </c>
    </row>
    <row r="12" spans="1:3" x14ac:dyDescent="0.2">
      <c r="A12" s="4" t="s">
        <v>581</v>
      </c>
      <c r="B12" s="2">
        <v>11</v>
      </c>
      <c r="C12" s="2" t="s">
        <v>582</v>
      </c>
    </row>
    <row r="13" spans="1:3" x14ac:dyDescent="0.2">
      <c r="A13" s="1" t="s">
        <v>211</v>
      </c>
      <c r="B13" s="2">
        <v>12</v>
      </c>
      <c r="C13" s="1" t="s">
        <v>212</v>
      </c>
    </row>
    <row r="14" spans="1:3" x14ac:dyDescent="0.2">
      <c r="A14" s="1" t="s">
        <v>217</v>
      </c>
      <c r="B14" s="2">
        <v>13</v>
      </c>
      <c r="C14" s="1" t="s">
        <v>218</v>
      </c>
    </row>
    <row r="15" spans="1:3" x14ac:dyDescent="0.2">
      <c r="A15" s="1" t="s">
        <v>215</v>
      </c>
      <c r="B15" s="2">
        <v>14</v>
      </c>
      <c r="C15" s="1" t="s">
        <v>216</v>
      </c>
    </row>
    <row r="16" spans="1:3" x14ac:dyDescent="0.2">
      <c r="A16" s="1" t="s">
        <v>213</v>
      </c>
      <c r="B16" s="2">
        <v>15</v>
      </c>
      <c r="C16" s="1" t="s">
        <v>214</v>
      </c>
    </row>
  </sheetData>
  <sheetProtection sheet="1" objects="1" scenarios="1" selectLockedCells="1" selectUnlockedCells="1"/>
  <phoneticPr fontId="2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99963-F72B-C649-B826-405D761C8B53}">
  <dimension ref="A1:C76"/>
  <sheetViews>
    <sheetView zoomScale="120" zoomScaleNormal="120" workbookViewId="0">
      <selection activeCell="I18" sqref="I18"/>
    </sheetView>
  </sheetViews>
  <sheetFormatPr baseColWidth="10" defaultRowHeight="16" x14ac:dyDescent="0.2"/>
  <cols>
    <col min="1" max="1" width="19" style="4" customWidth="1"/>
    <col min="2" max="2" width="8.6640625" style="4" customWidth="1"/>
    <col min="3" max="3" width="26" style="4" bestFit="1" customWidth="1"/>
    <col min="4" max="16384" width="10.83203125" style="4"/>
  </cols>
  <sheetData>
    <row r="1" spans="1:3" s="3" customFormat="1" x14ac:dyDescent="0.2">
      <c r="A1" s="3" t="s">
        <v>40</v>
      </c>
      <c r="B1" s="3" t="s">
        <v>11</v>
      </c>
      <c r="C1" s="3" t="s">
        <v>12</v>
      </c>
    </row>
    <row r="2" spans="1:3" s="9" customFormat="1" x14ac:dyDescent="0.2">
      <c r="A2" s="9" t="s">
        <v>363</v>
      </c>
      <c r="B2" s="9" t="s">
        <v>13</v>
      </c>
      <c r="C2" s="9" t="s">
        <v>364</v>
      </c>
    </row>
    <row r="3" spans="1:3" x14ac:dyDescent="0.2">
      <c r="A3" s="9" t="s">
        <v>363</v>
      </c>
      <c r="B3" s="9" t="s">
        <v>14</v>
      </c>
      <c r="C3" s="9" t="s">
        <v>382</v>
      </c>
    </row>
    <row r="4" spans="1:3" x14ac:dyDescent="0.2">
      <c r="A4" s="9" t="s">
        <v>363</v>
      </c>
      <c r="B4" s="9" t="s">
        <v>17</v>
      </c>
      <c r="C4" s="4" t="s">
        <v>383</v>
      </c>
    </row>
    <row r="5" spans="1:3" x14ac:dyDescent="0.2">
      <c r="A5" s="9" t="s">
        <v>363</v>
      </c>
      <c r="B5" s="9" t="s">
        <v>15</v>
      </c>
      <c r="C5" s="4" t="s">
        <v>384</v>
      </c>
    </row>
    <row r="6" spans="1:3" x14ac:dyDescent="0.2">
      <c r="A6" s="9" t="s">
        <v>363</v>
      </c>
      <c r="B6" s="9" t="s">
        <v>19</v>
      </c>
      <c r="C6" s="4" t="s">
        <v>410</v>
      </c>
    </row>
    <row r="7" spans="1:3" x14ac:dyDescent="0.2">
      <c r="A7" s="9" t="s">
        <v>115</v>
      </c>
      <c r="B7" s="4" t="s">
        <v>13</v>
      </c>
      <c r="C7" s="4" t="s">
        <v>119</v>
      </c>
    </row>
    <row r="8" spans="1:3" x14ac:dyDescent="0.2">
      <c r="A8" s="9" t="s">
        <v>115</v>
      </c>
      <c r="B8" s="4" t="s">
        <v>14</v>
      </c>
      <c r="C8" s="4" t="s">
        <v>120</v>
      </c>
    </row>
    <row r="9" spans="1:3" x14ac:dyDescent="0.2">
      <c r="A9" s="9" t="s">
        <v>115</v>
      </c>
      <c r="B9" s="4" t="s">
        <v>17</v>
      </c>
      <c r="C9" s="4" t="s">
        <v>219</v>
      </c>
    </row>
    <row r="10" spans="1:3" x14ac:dyDescent="0.2">
      <c r="A10" s="9" t="s">
        <v>115</v>
      </c>
      <c r="B10" s="4" t="s">
        <v>15</v>
      </c>
      <c r="C10" s="4" t="s">
        <v>121</v>
      </c>
    </row>
    <row r="11" spans="1:3" x14ac:dyDescent="0.2">
      <c r="A11" s="9" t="s">
        <v>115</v>
      </c>
      <c r="B11" s="4" t="s">
        <v>19</v>
      </c>
      <c r="C11" s="4" t="s">
        <v>220</v>
      </c>
    </row>
    <row r="12" spans="1:3" x14ac:dyDescent="0.2">
      <c r="A12" s="9" t="s">
        <v>952</v>
      </c>
      <c r="B12" s="4" t="s">
        <v>13</v>
      </c>
      <c r="C12" s="4" t="s">
        <v>953</v>
      </c>
    </row>
    <row r="13" spans="1:3" x14ac:dyDescent="0.2">
      <c r="A13" s="9" t="s">
        <v>952</v>
      </c>
      <c r="B13" s="4" t="s">
        <v>14</v>
      </c>
      <c r="C13" s="4" t="s">
        <v>954</v>
      </c>
    </row>
    <row r="14" spans="1:3" x14ac:dyDescent="0.2">
      <c r="A14" s="9" t="s">
        <v>952</v>
      </c>
      <c r="B14" s="4" t="s">
        <v>17</v>
      </c>
      <c r="C14" s="4" t="s">
        <v>959</v>
      </c>
    </row>
    <row r="15" spans="1:3" x14ac:dyDescent="0.2">
      <c r="A15" s="9" t="s">
        <v>952</v>
      </c>
      <c r="B15" s="4" t="s">
        <v>15</v>
      </c>
      <c r="C15" s="4" t="s">
        <v>960</v>
      </c>
    </row>
    <row r="16" spans="1:3" x14ac:dyDescent="0.2">
      <c r="A16" s="9" t="s">
        <v>952</v>
      </c>
      <c r="B16" s="4" t="s">
        <v>19</v>
      </c>
      <c r="C16" s="4" t="s">
        <v>961</v>
      </c>
    </row>
    <row r="17" spans="1:3" x14ac:dyDescent="0.2">
      <c r="A17" s="9" t="s">
        <v>950</v>
      </c>
      <c r="B17" s="4" t="s">
        <v>13</v>
      </c>
      <c r="C17" s="4" t="s">
        <v>951</v>
      </c>
    </row>
    <row r="18" spans="1:3" x14ac:dyDescent="0.2">
      <c r="A18" s="9" t="s">
        <v>950</v>
      </c>
      <c r="B18" s="4" t="s">
        <v>14</v>
      </c>
      <c r="C18" s="4" t="s">
        <v>955</v>
      </c>
    </row>
    <row r="19" spans="1:3" x14ac:dyDescent="0.2">
      <c r="A19" s="9" t="s">
        <v>950</v>
      </c>
      <c r="B19" s="4" t="s">
        <v>17</v>
      </c>
      <c r="C19" s="4" t="s">
        <v>956</v>
      </c>
    </row>
    <row r="20" spans="1:3" x14ac:dyDescent="0.2">
      <c r="A20" s="9" t="s">
        <v>950</v>
      </c>
      <c r="B20" s="4" t="s">
        <v>15</v>
      </c>
      <c r="C20" s="4" t="s">
        <v>957</v>
      </c>
    </row>
    <row r="21" spans="1:3" x14ac:dyDescent="0.2">
      <c r="A21" s="9" t="s">
        <v>950</v>
      </c>
      <c r="B21" s="4" t="s">
        <v>19</v>
      </c>
      <c r="C21" s="4" t="s">
        <v>958</v>
      </c>
    </row>
    <row r="22" spans="1:3" x14ac:dyDescent="0.2">
      <c r="A22" s="9" t="s">
        <v>526</v>
      </c>
      <c r="B22" s="4" t="s">
        <v>13</v>
      </c>
      <c r="C22" s="4" t="s">
        <v>527</v>
      </c>
    </row>
    <row r="23" spans="1:3" x14ac:dyDescent="0.2">
      <c r="A23" s="9" t="s">
        <v>526</v>
      </c>
      <c r="B23" s="4" t="s">
        <v>14</v>
      </c>
      <c r="C23" s="4" t="s">
        <v>528</v>
      </c>
    </row>
    <row r="24" spans="1:3" x14ac:dyDescent="0.2">
      <c r="A24" s="9" t="s">
        <v>526</v>
      </c>
      <c r="B24" s="4" t="s">
        <v>17</v>
      </c>
      <c r="C24" s="4" t="s">
        <v>529</v>
      </c>
    </row>
    <row r="25" spans="1:3" x14ac:dyDescent="0.2">
      <c r="A25" s="9" t="s">
        <v>526</v>
      </c>
      <c r="B25" s="4" t="s">
        <v>15</v>
      </c>
      <c r="C25" s="4" t="s">
        <v>530</v>
      </c>
    </row>
    <row r="26" spans="1:3" x14ac:dyDescent="0.2">
      <c r="A26" s="9" t="s">
        <v>526</v>
      </c>
      <c r="B26" s="4" t="s">
        <v>19</v>
      </c>
      <c r="C26" s="4" t="s">
        <v>531</v>
      </c>
    </row>
    <row r="27" spans="1:3" x14ac:dyDescent="0.2">
      <c r="A27" s="9" t="s">
        <v>532</v>
      </c>
      <c r="B27" s="4" t="s">
        <v>13</v>
      </c>
      <c r="C27" s="4" t="s">
        <v>533</v>
      </c>
    </row>
    <row r="28" spans="1:3" x14ac:dyDescent="0.2">
      <c r="A28" s="9" t="s">
        <v>532</v>
      </c>
      <c r="B28" s="4" t="s">
        <v>14</v>
      </c>
      <c r="C28" s="4" t="s">
        <v>534</v>
      </c>
    </row>
    <row r="29" spans="1:3" x14ac:dyDescent="0.2">
      <c r="A29" s="9" t="s">
        <v>532</v>
      </c>
      <c r="B29" s="4" t="s">
        <v>17</v>
      </c>
      <c r="C29" s="4" t="s">
        <v>535</v>
      </c>
    </row>
    <row r="30" spans="1:3" x14ac:dyDescent="0.2">
      <c r="A30" s="9" t="s">
        <v>532</v>
      </c>
      <c r="B30" s="4" t="s">
        <v>15</v>
      </c>
      <c r="C30" s="4" t="s">
        <v>536</v>
      </c>
    </row>
    <row r="31" spans="1:3" x14ac:dyDescent="0.2">
      <c r="A31" s="9" t="s">
        <v>532</v>
      </c>
      <c r="B31" s="4" t="s">
        <v>19</v>
      </c>
      <c r="C31" s="4" t="s">
        <v>537</v>
      </c>
    </row>
    <row r="32" spans="1:3" x14ac:dyDescent="0.2">
      <c r="A32" s="9" t="s">
        <v>365</v>
      </c>
      <c r="B32" s="4" t="s">
        <v>13</v>
      </c>
      <c r="C32" s="4" t="s">
        <v>366</v>
      </c>
    </row>
    <row r="33" spans="1:3" x14ac:dyDescent="0.2">
      <c r="A33" s="9" t="s">
        <v>365</v>
      </c>
      <c r="B33" s="4" t="s">
        <v>14</v>
      </c>
      <c r="C33" s="4" t="s">
        <v>385</v>
      </c>
    </row>
    <row r="34" spans="1:3" x14ac:dyDescent="0.2">
      <c r="A34" s="9" t="s">
        <v>365</v>
      </c>
      <c r="B34" s="4" t="s">
        <v>17</v>
      </c>
      <c r="C34" s="4" t="s">
        <v>386</v>
      </c>
    </row>
    <row r="35" spans="1:3" x14ac:dyDescent="0.2">
      <c r="A35" s="9" t="s">
        <v>365</v>
      </c>
      <c r="B35" s="4" t="s">
        <v>15</v>
      </c>
      <c r="C35" s="4" t="s">
        <v>387</v>
      </c>
    </row>
    <row r="36" spans="1:3" x14ac:dyDescent="0.2">
      <c r="A36" s="9" t="s">
        <v>365</v>
      </c>
      <c r="B36" s="4" t="s">
        <v>19</v>
      </c>
      <c r="C36" s="4" t="s">
        <v>411</v>
      </c>
    </row>
    <row r="37" spans="1:3" x14ac:dyDescent="0.2">
      <c r="A37" s="9" t="s">
        <v>1033</v>
      </c>
      <c r="B37" s="4" t="s">
        <v>13</v>
      </c>
      <c r="C37" s="4" t="s">
        <v>1034</v>
      </c>
    </row>
    <row r="38" spans="1:3" x14ac:dyDescent="0.2">
      <c r="A38" s="9" t="s">
        <v>1033</v>
      </c>
      <c r="B38" s="4" t="s">
        <v>14</v>
      </c>
      <c r="C38" s="4" t="s">
        <v>1037</v>
      </c>
    </row>
    <row r="39" spans="1:3" x14ac:dyDescent="0.2">
      <c r="A39" s="9" t="s">
        <v>1033</v>
      </c>
      <c r="B39" s="4" t="s">
        <v>17</v>
      </c>
      <c r="C39" s="4" t="s">
        <v>1038</v>
      </c>
    </row>
    <row r="40" spans="1:3" x14ac:dyDescent="0.2">
      <c r="A40" s="9" t="s">
        <v>1033</v>
      </c>
      <c r="B40" s="4" t="s">
        <v>15</v>
      </c>
      <c r="C40" s="4" t="s">
        <v>1039</v>
      </c>
    </row>
    <row r="41" spans="1:3" x14ac:dyDescent="0.2">
      <c r="A41" s="9" t="s">
        <v>1033</v>
      </c>
      <c r="B41" s="4" t="s">
        <v>19</v>
      </c>
      <c r="C41" s="4" t="s">
        <v>1040</v>
      </c>
    </row>
    <row r="42" spans="1:3" x14ac:dyDescent="0.2">
      <c r="A42" s="9" t="s">
        <v>1035</v>
      </c>
      <c r="B42" s="4" t="s">
        <v>13</v>
      </c>
      <c r="C42" s="4" t="s">
        <v>1036</v>
      </c>
    </row>
    <row r="43" spans="1:3" x14ac:dyDescent="0.2">
      <c r="A43" s="9" t="s">
        <v>1035</v>
      </c>
      <c r="B43" s="4" t="s">
        <v>14</v>
      </c>
      <c r="C43" s="4" t="s">
        <v>1041</v>
      </c>
    </row>
    <row r="44" spans="1:3" x14ac:dyDescent="0.2">
      <c r="A44" s="9" t="s">
        <v>1035</v>
      </c>
      <c r="B44" s="4" t="s">
        <v>17</v>
      </c>
      <c r="C44" s="4" t="s">
        <v>1042</v>
      </c>
    </row>
    <row r="45" spans="1:3" x14ac:dyDescent="0.2">
      <c r="A45" s="9" t="s">
        <v>1035</v>
      </c>
      <c r="B45" s="4" t="s">
        <v>15</v>
      </c>
      <c r="C45" s="4" t="s">
        <v>1043</v>
      </c>
    </row>
    <row r="46" spans="1:3" x14ac:dyDescent="0.2">
      <c r="A46" s="9" t="s">
        <v>1035</v>
      </c>
      <c r="B46" s="4" t="s">
        <v>19</v>
      </c>
      <c r="C46" s="4" t="s">
        <v>1044</v>
      </c>
    </row>
    <row r="47" spans="1:3" x14ac:dyDescent="0.2">
      <c r="A47" s="9" t="s">
        <v>579</v>
      </c>
      <c r="B47" s="4" t="s">
        <v>13</v>
      </c>
      <c r="C47" s="4" t="s">
        <v>580</v>
      </c>
    </row>
    <row r="48" spans="1:3" x14ac:dyDescent="0.2">
      <c r="A48" s="9" t="s">
        <v>579</v>
      </c>
      <c r="B48" s="4" t="s">
        <v>14</v>
      </c>
      <c r="C48" s="4" t="s">
        <v>583</v>
      </c>
    </row>
    <row r="49" spans="1:3" x14ac:dyDescent="0.2">
      <c r="A49" s="9" t="s">
        <v>579</v>
      </c>
      <c r="B49" s="4" t="s">
        <v>17</v>
      </c>
      <c r="C49" s="4" t="s">
        <v>584</v>
      </c>
    </row>
    <row r="50" spans="1:3" x14ac:dyDescent="0.2">
      <c r="A50" s="9" t="s">
        <v>579</v>
      </c>
      <c r="B50" s="4" t="s">
        <v>15</v>
      </c>
      <c r="C50" s="4" t="s">
        <v>585</v>
      </c>
    </row>
    <row r="51" spans="1:3" x14ac:dyDescent="0.2">
      <c r="A51" s="9" t="s">
        <v>579</v>
      </c>
      <c r="B51" s="4" t="s">
        <v>19</v>
      </c>
      <c r="C51" s="4" t="s">
        <v>586</v>
      </c>
    </row>
    <row r="52" spans="1:3" x14ac:dyDescent="0.2">
      <c r="A52" s="9" t="s">
        <v>581</v>
      </c>
      <c r="B52" s="4" t="s">
        <v>13</v>
      </c>
      <c r="C52" s="4" t="s">
        <v>582</v>
      </c>
    </row>
    <row r="53" spans="1:3" x14ac:dyDescent="0.2">
      <c r="A53" s="9" t="s">
        <v>581</v>
      </c>
      <c r="B53" s="4" t="s">
        <v>14</v>
      </c>
      <c r="C53" s="4" t="s">
        <v>587</v>
      </c>
    </row>
    <row r="54" spans="1:3" x14ac:dyDescent="0.2">
      <c r="A54" s="9" t="s">
        <v>581</v>
      </c>
      <c r="B54" s="4" t="s">
        <v>17</v>
      </c>
      <c r="C54" s="4" t="s">
        <v>588</v>
      </c>
    </row>
    <row r="55" spans="1:3" x14ac:dyDescent="0.2">
      <c r="A55" s="9" t="s">
        <v>581</v>
      </c>
      <c r="B55" s="4" t="s">
        <v>15</v>
      </c>
      <c r="C55" s="4" t="s">
        <v>589</v>
      </c>
    </row>
    <row r="56" spans="1:3" x14ac:dyDescent="0.2">
      <c r="A56" s="9" t="s">
        <v>581</v>
      </c>
      <c r="B56" s="4" t="s">
        <v>19</v>
      </c>
      <c r="C56" s="4" t="s">
        <v>590</v>
      </c>
    </row>
    <row r="57" spans="1:3" x14ac:dyDescent="0.2">
      <c r="A57" s="9" t="s">
        <v>213</v>
      </c>
      <c r="B57" s="4" t="s">
        <v>13</v>
      </c>
      <c r="C57" s="4" t="s">
        <v>214</v>
      </c>
    </row>
    <row r="58" spans="1:3" x14ac:dyDescent="0.2">
      <c r="A58" s="9" t="s">
        <v>213</v>
      </c>
      <c r="B58" s="4" t="s">
        <v>14</v>
      </c>
      <c r="C58" s="4" t="s">
        <v>225</v>
      </c>
    </row>
    <row r="59" spans="1:3" x14ac:dyDescent="0.2">
      <c r="A59" s="9" t="s">
        <v>213</v>
      </c>
      <c r="B59" s="4" t="s">
        <v>17</v>
      </c>
      <c r="C59" s="4" t="s">
        <v>226</v>
      </c>
    </row>
    <row r="60" spans="1:3" x14ac:dyDescent="0.2">
      <c r="A60" s="9" t="s">
        <v>213</v>
      </c>
      <c r="B60" s="4" t="s">
        <v>15</v>
      </c>
      <c r="C60" s="4" t="s">
        <v>227</v>
      </c>
    </row>
    <row r="61" spans="1:3" x14ac:dyDescent="0.2">
      <c r="A61" s="9" t="s">
        <v>213</v>
      </c>
      <c r="B61" s="4" t="s">
        <v>19</v>
      </c>
      <c r="C61" s="4" t="s">
        <v>228</v>
      </c>
    </row>
    <row r="62" spans="1:3" x14ac:dyDescent="0.2">
      <c r="A62" s="9" t="s">
        <v>215</v>
      </c>
      <c r="B62" s="4" t="s">
        <v>13</v>
      </c>
      <c r="C62" s="4" t="s">
        <v>216</v>
      </c>
    </row>
    <row r="63" spans="1:3" x14ac:dyDescent="0.2">
      <c r="A63" s="9" t="s">
        <v>215</v>
      </c>
      <c r="B63" s="4" t="s">
        <v>14</v>
      </c>
      <c r="C63" s="4" t="s">
        <v>229</v>
      </c>
    </row>
    <row r="64" spans="1:3" x14ac:dyDescent="0.2">
      <c r="A64" s="9" t="s">
        <v>215</v>
      </c>
      <c r="B64" s="4" t="s">
        <v>17</v>
      </c>
      <c r="C64" s="4" t="s">
        <v>325</v>
      </c>
    </row>
    <row r="65" spans="1:3" x14ac:dyDescent="0.2">
      <c r="A65" s="9" t="s">
        <v>215</v>
      </c>
      <c r="B65" s="4" t="s">
        <v>15</v>
      </c>
      <c r="C65" s="4" t="s">
        <v>230</v>
      </c>
    </row>
    <row r="66" spans="1:3" x14ac:dyDescent="0.2">
      <c r="A66" s="9" t="s">
        <v>215</v>
      </c>
      <c r="B66" s="4" t="s">
        <v>19</v>
      </c>
      <c r="C66" s="4" t="s">
        <v>231</v>
      </c>
    </row>
    <row r="67" spans="1:3" x14ac:dyDescent="0.2">
      <c r="A67" s="9" t="s">
        <v>211</v>
      </c>
      <c r="B67" s="4" t="s">
        <v>13</v>
      </c>
      <c r="C67" s="4" t="s">
        <v>212</v>
      </c>
    </row>
    <row r="68" spans="1:3" x14ac:dyDescent="0.2">
      <c r="A68" s="9" t="s">
        <v>211</v>
      </c>
      <c r="B68" s="4" t="s">
        <v>14</v>
      </c>
      <c r="C68" s="4" t="s">
        <v>221</v>
      </c>
    </row>
    <row r="69" spans="1:3" x14ac:dyDescent="0.2">
      <c r="A69" s="9" t="s">
        <v>211</v>
      </c>
      <c r="B69" s="4" t="s">
        <v>17</v>
      </c>
      <c r="C69" s="4" t="s">
        <v>222</v>
      </c>
    </row>
    <row r="70" spans="1:3" x14ac:dyDescent="0.2">
      <c r="A70" s="9" t="s">
        <v>211</v>
      </c>
      <c r="B70" s="4" t="s">
        <v>15</v>
      </c>
      <c r="C70" s="4" t="s">
        <v>223</v>
      </c>
    </row>
    <row r="71" spans="1:3" x14ac:dyDescent="0.2">
      <c r="A71" s="9" t="s">
        <v>211</v>
      </c>
      <c r="B71" s="4" t="s">
        <v>19</v>
      </c>
      <c r="C71" s="4" t="s">
        <v>224</v>
      </c>
    </row>
    <row r="72" spans="1:3" x14ac:dyDescent="0.2">
      <c r="A72" s="9" t="s">
        <v>217</v>
      </c>
      <c r="B72" s="4" t="s">
        <v>13</v>
      </c>
      <c r="C72" s="4" t="s">
        <v>218</v>
      </c>
    </row>
    <row r="73" spans="1:3" x14ac:dyDescent="0.2">
      <c r="A73" s="9" t="s">
        <v>217</v>
      </c>
      <c r="B73" s="4" t="s">
        <v>14</v>
      </c>
      <c r="C73" s="4" t="s">
        <v>232</v>
      </c>
    </row>
    <row r="74" spans="1:3" x14ac:dyDescent="0.2">
      <c r="A74" s="9" t="s">
        <v>217</v>
      </c>
      <c r="B74" s="4" t="s">
        <v>17</v>
      </c>
      <c r="C74" s="4" t="s">
        <v>233</v>
      </c>
    </row>
    <row r="75" spans="1:3" x14ac:dyDescent="0.2">
      <c r="A75" s="9" t="s">
        <v>217</v>
      </c>
      <c r="B75" s="4" t="s">
        <v>15</v>
      </c>
      <c r="C75" s="4" t="s">
        <v>234</v>
      </c>
    </row>
    <row r="76" spans="1:3" x14ac:dyDescent="0.2">
      <c r="A76" s="9" t="s">
        <v>217</v>
      </c>
      <c r="B76" s="4" t="s">
        <v>19</v>
      </c>
      <c r="C76" s="4" t="s">
        <v>235</v>
      </c>
    </row>
  </sheetData>
  <sheetProtection sheet="1" objects="1" scenarios="1" selectLockedCells="1" selectUnlockedCells="1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E9E370-D9DB-4E47-96DA-14941C1C7ADA}">
          <x14:formula1>
            <xm:f>PREPARATIONS!$A$2:$A$16</xm:f>
          </x14:formula1>
          <xm:sqref>A2:A76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C4D7E-BD8B-884D-BB9A-F88EF1DD545B}">
  <dimension ref="A1:BA106"/>
  <sheetViews>
    <sheetView zoomScale="120" zoomScaleNormal="120" workbookViewId="0">
      <pane xSplit="2" topLeftCell="E1" activePane="topRight" state="frozen"/>
      <selection pane="topRight" activeCell="A5" sqref="A5"/>
    </sheetView>
  </sheetViews>
  <sheetFormatPr baseColWidth="10" defaultRowHeight="16" x14ac:dyDescent="0.2"/>
  <cols>
    <col min="1" max="1" width="32.33203125" style="4" bestFit="1" customWidth="1"/>
    <col min="2" max="2" width="18.6640625" style="4" bestFit="1" customWidth="1"/>
    <col min="3" max="3" width="18.83203125" style="19" bestFit="1" customWidth="1"/>
    <col min="4" max="4" width="37.33203125" style="19" bestFit="1" customWidth="1"/>
    <col min="5" max="5" width="16.1640625" style="53" customWidth="1"/>
    <col min="6" max="6" width="17" style="53" bestFit="1" customWidth="1"/>
    <col min="7" max="7" width="16.5" style="19" bestFit="1" customWidth="1"/>
    <col min="8" max="8" width="17.6640625" style="19" bestFit="1" customWidth="1"/>
    <col min="9" max="9" width="19" style="19" bestFit="1" customWidth="1"/>
    <col min="10" max="10" width="17.6640625" style="19" bestFit="1" customWidth="1"/>
    <col min="11" max="11" width="15.33203125" style="19" bestFit="1" customWidth="1"/>
    <col min="12" max="12" width="19.1640625" style="19" bestFit="1" customWidth="1"/>
    <col min="13" max="13" width="16.83203125" style="25" bestFit="1" customWidth="1"/>
    <col min="14" max="14" width="17.6640625" style="25" bestFit="1" customWidth="1"/>
    <col min="15" max="15" width="14.1640625" style="48" bestFit="1" customWidth="1"/>
    <col min="16" max="16" width="19.33203125" style="19" bestFit="1" customWidth="1"/>
    <col min="17" max="17" width="15.6640625" style="47" bestFit="1" customWidth="1"/>
    <col min="18" max="18" width="16.1640625" style="19" bestFit="1" customWidth="1"/>
    <col min="19" max="19" width="12.6640625" style="19" bestFit="1" customWidth="1"/>
    <col min="20" max="20" width="16.5" bestFit="1" customWidth="1"/>
    <col min="21" max="21" width="16" style="4" bestFit="1" customWidth="1"/>
    <col min="22" max="22" width="12.5" style="4" bestFit="1" customWidth="1"/>
    <col min="23" max="23" width="19.1640625" style="4" bestFit="1" customWidth="1"/>
    <col min="24" max="24" width="22" style="15" bestFit="1" customWidth="1"/>
    <col min="25" max="25" width="14.5" style="4" bestFit="1" customWidth="1"/>
    <col min="26" max="26" width="15.83203125" style="4" bestFit="1" customWidth="1"/>
    <col min="27" max="27" width="17" style="4" bestFit="1" customWidth="1"/>
    <col min="28" max="28" width="16.5" style="4" bestFit="1" customWidth="1"/>
    <col min="29" max="29" width="20.1640625" style="4" bestFit="1" customWidth="1"/>
    <col min="30" max="30" width="24.1640625" style="4" bestFit="1" customWidth="1"/>
    <col min="31" max="31" width="20.1640625" style="4" bestFit="1" customWidth="1"/>
    <col min="32" max="32" width="16" style="4" bestFit="1" customWidth="1"/>
    <col min="33" max="33" width="14" style="4" bestFit="1" customWidth="1"/>
    <col min="34" max="34" width="14.83203125" style="4" bestFit="1" customWidth="1"/>
    <col min="35" max="35" width="16.1640625" style="4" bestFit="1" customWidth="1"/>
    <col min="36" max="36" width="17.83203125" style="4" bestFit="1" customWidth="1"/>
    <col min="37" max="37" width="20.1640625" style="4" bestFit="1" customWidth="1"/>
    <col min="38" max="38" width="17.5" style="4" bestFit="1" customWidth="1"/>
    <col min="39" max="39" width="20.1640625" style="4" bestFit="1" customWidth="1"/>
    <col min="40" max="42" width="16.6640625" style="4" customWidth="1"/>
    <col min="43" max="43" width="26.33203125" style="4" bestFit="1" customWidth="1"/>
    <col min="44" max="44" width="25.83203125" style="4" customWidth="1"/>
    <col min="45" max="45" width="20" style="4" customWidth="1"/>
    <col min="46" max="46" width="25.83203125" style="4" customWidth="1"/>
    <col min="47" max="47" width="20" style="4" bestFit="1" customWidth="1"/>
    <col min="48" max="48" width="25.83203125" style="4" customWidth="1"/>
    <col min="49" max="49" width="19.83203125" style="4" customWidth="1"/>
    <col min="50" max="50" width="26.6640625" style="4" bestFit="1" customWidth="1"/>
    <col min="51" max="51" width="30.6640625" style="4" bestFit="1" customWidth="1"/>
    <col min="52" max="53" width="26.6640625" style="4" bestFit="1" customWidth="1"/>
    <col min="54" max="16384" width="10.83203125" style="4"/>
  </cols>
  <sheetData>
    <row r="1" spans="1:53" s="3" customFormat="1" x14ac:dyDescent="0.2">
      <c r="A1" s="3" t="s">
        <v>0</v>
      </c>
      <c r="B1" s="3" t="s">
        <v>40</v>
      </c>
      <c r="C1" s="6" t="s">
        <v>153</v>
      </c>
      <c r="D1" s="6" t="s">
        <v>48</v>
      </c>
      <c r="E1" s="51" t="s">
        <v>593</v>
      </c>
      <c r="F1" s="51" t="s">
        <v>604</v>
      </c>
      <c r="G1" s="17" t="s">
        <v>1</v>
      </c>
      <c r="H1" s="20" t="s">
        <v>41</v>
      </c>
      <c r="I1" s="20" t="s">
        <v>2</v>
      </c>
      <c r="J1" s="20" t="s">
        <v>3</v>
      </c>
      <c r="K1" s="20" t="s">
        <v>4</v>
      </c>
      <c r="L1" s="20" t="s">
        <v>270</v>
      </c>
      <c r="M1" s="17" t="s">
        <v>45</v>
      </c>
      <c r="N1" s="17" t="s">
        <v>44</v>
      </c>
      <c r="O1" s="45" t="s">
        <v>610</v>
      </c>
      <c r="P1" s="23" t="s">
        <v>281</v>
      </c>
      <c r="Q1" s="49" t="s">
        <v>612</v>
      </c>
      <c r="R1" s="26" t="s">
        <v>43</v>
      </c>
      <c r="S1" s="23" t="s">
        <v>611</v>
      </c>
      <c r="T1" s="17" t="s">
        <v>42</v>
      </c>
      <c r="U1" s="6" t="s">
        <v>264</v>
      </c>
      <c r="V1" s="20" t="s">
        <v>261</v>
      </c>
      <c r="W1" s="20" t="s">
        <v>262</v>
      </c>
      <c r="X1" s="6" t="s">
        <v>265</v>
      </c>
      <c r="Y1" s="6" t="s">
        <v>266</v>
      </c>
      <c r="Z1" s="6" t="s">
        <v>267</v>
      </c>
      <c r="AA1" s="13" t="s">
        <v>268</v>
      </c>
      <c r="AB1" s="6" t="s">
        <v>269</v>
      </c>
      <c r="AC1" s="6" t="s">
        <v>423</v>
      </c>
      <c r="AD1" s="6" t="s">
        <v>429</v>
      </c>
      <c r="AE1" s="6" t="s">
        <v>424</v>
      </c>
      <c r="AF1" s="6" t="s">
        <v>419</v>
      </c>
      <c r="AG1" s="6" t="s">
        <v>420</v>
      </c>
      <c r="AH1" s="6" t="s">
        <v>421</v>
      </c>
      <c r="AI1" s="6" t="s">
        <v>422</v>
      </c>
      <c r="AJ1" s="6" t="s">
        <v>425</v>
      </c>
      <c r="AK1" s="6" t="s">
        <v>416</v>
      </c>
      <c r="AL1" s="6" t="s">
        <v>417</v>
      </c>
      <c r="AM1" s="6" t="s">
        <v>418</v>
      </c>
      <c r="AN1" s="6" t="s">
        <v>426</v>
      </c>
      <c r="AO1" s="6" t="s">
        <v>427</v>
      </c>
      <c r="AP1" s="6" t="s">
        <v>428</v>
      </c>
      <c r="AQ1" s="6" t="s">
        <v>466</v>
      </c>
      <c r="AR1" s="6" t="s">
        <v>988</v>
      </c>
      <c r="AS1" s="6" t="s">
        <v>892</v>
      </c>
      <c r="AT1" s="6" t="s">
        <v>899</v>
      </c>
      <c r="AU1" s="6" t="s">
        <v>901</v>
      </c>
      <c r="AV1" s="6" t="s">
        <v>903</v>
      </c>
      <c r="AW1" s="6" t="s">
        <v>902</v>
      </c>
      <c r="AX1" s="6" t="s">
        <v>904</v>
      </c>
      <c r="AY1" s="6" t="s">
        <v>984</v>
      </c>
      <c r="AZ1" s="6" t="s">
        <v>985</v>
      </c>
      <c r="BA1" s="6" t="s">
        <v>986</v>
      </c>
    </row>
    <row r="2" spans="1:53" s="9" customFormat="1" x14ac:dyDescent="0.2">
      <c r="A2" s="33" t="s">
        <v>615</v>
      </c>
      <c r="B2" s="33" t="s">
        <v>579</v>
      </c>
      <c r="C2" s="33" t="s">
        <v>160</v>
      </c>
      <c r="D2" s="31" t="s">
        <v>621</v>
      </c>
      <c r="E2" s="52" t="str">
        <f>IF(tbl_product_preparations[[#This Row],[source_key]]="MANUFACTURER","MANUFACTURER",
IF(tbl_product_preparations[[#This Row],[source_key]]="CALCULATED","CALCULATED",
"REAL"))</f>
        <v>REAL</v>
      </c>
      <c r="F2" s="52" t="str">
        <f>IF(LEFT(tbl_product_preparations[[#This Row],[source_key]],4)="USDA","US","EU")</f>
        <v>EU</v>
      </c>
      <c r="G2" s="32">
        <v>56</v>
      </c>
      <c r="H2" s="18" t="str">
        <f>IF(
   ISNUMBER(tbl_product_preparations[[#This Row],[density_lookup]]),
   ROUND(tbl_product_preparations[[#This Row],[kcal_per_100g]]*tbl_product_preparations[[#This Row],[density_lookup]],1),
   ""
)</f>
        <v/>
      </c>
      <c r="I2" s="32">
        <v>0.3</v>
      </c>
      <c r="J2" s="32">
        <v>12</v>
      </c>
      <c r="K2" s="32">
        <v>0.2</v>
      </c>
      <c r="L2" s="32">
        <v>0</v>
      </c>
      <c r="M2" s="32">
        <v>2</v>
      </c>
      <c r="N2" s="32">
        <v>0</v>
      </c>
      <c r="O2" s="46">
        <f>IF(tbl_product_preparations[[#This Row],[sugar_per_100g]]=0,tbl_product_preparations[[#This Row],[carbs_per_100g]],tbl_product_preparations[[#This Row],[sugar_per_100g]])</f>
        <v>12</v>
      </c>
      <c r="P2" s="36">
        <v>1E-3</v>
      </c>
      <c r="Q2" s="50">
        <f>IF(tbl_product_preparations[[#This Row],[sodium_per_100g]]=0,
tbl_product_preparations[[#This Row],[salt_per_100g]]/2.5,
tbl_product_preparations[[#This Row],[sodium_per_100g]])</f>
        <v>1E-3</v>
      </c>
      <c r="R2" s="24">
        <f>ROUND(tbl_product_preparations[[#This Row],[sodium_per_100g]]*2.5,3)</f>
        <v>3.0000000000000001E-3</v>
      </c>
      <c r="S2" s="24">
        <f>IF(tbl_product_preparations[[#This Row],[salt_per_100g]]=0,
tbl_product_preparations[[#This Row],[sodium_per_100g]]*2.5,
tbl_product_preparations[[#This Row],[salt_per_100g]])</f>
        <v>3.0000000000000001E-3</v>
      </c>
      <c r="T2" s="32">
        <v>85.2</v>
      </c>
      <c r="U2" s="14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2" s="18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55</v>
      </c>
      <c r="W2" s="18">
        <f>IF(tbl_product_preparations[[#This Row],[kcal_per_100g]]=0,0,ABS((tbl_product_preparations[[#This Row],[kcal_per_100g]]-tbl_product_preparations[[#This Row],[kcal_calc]])/tbl_product_preparations[[#This Row],[kcal_per_100g]])*100)</f>
        <v>1.7857142857142856</v>
      </c>
      <c r="X2" s="18">
        <f>ROUND(tbl_product_preparations[[#This Row],[kcal_calc]],1)</f>
        <v>55</v>
      </c>
      <c r="Y2" s="18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99.701000000000008</v>
      </c>
      <c r="Z2" s="18" t="str">
        <f>IF(
  tbl_product_preparations[[#This Row],[macro_sum]] &lt;=
  100 + _xlfn.XLOOKUP("WATER_TOTAL_TOLERANCE",tbl_config[config_key],tbl_config[config_value]),
  "OK",
  "ERROR"
)</f>
        <v>OK</v>
      </c>
      <c r="AA2" s="14" t="str">
        <f>_xlfn.LET(
   _xlpm.d, _xlfn.XLOOKUP(tbl_product_preparations[[#This Row],[product_key]],tbl_products[product_key],tbl_products[density_g_per_ml]),
   IF(AND(ISNUMBER(_xlpm.d), _xlpm.d&gt;0), _xlpm.d, "")
)</f>
        <v/>
      </c>
      <c r="AB2" s="18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2" s="18" cm="1">
        <f t="array" ref="AC2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92.311634638663577</v>
      </c>
      <c r="AD2" s="18" cm="1">
        <f t="array" ref="AD2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86.742847318341077</v>
      </c>
      <c r="AE2" s="18" cm="1">
        <f t="array" ref="AE2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56.615414951719757</v>
      </c>
      <c r="AF2" s="18">
        <f>IF(tbl_product_preparations[[#This Row],[kcal_per_100g]]&lt;5,
 0,
 MAX(0,MIN(100,
  ((tbl_product_preparations[[#This Row],[protein_per_100g]]/tbl_product_preparations[[#This Row],[kcal_per_100g]]*100 - 1) / 7 * 100)
 ))
)</f>
        <v>0</v>
      </c>
      <c r="AG2" s="18">
        <f>IF(tbl_product_preparations[[#This Row],[kcal_per_100g]]&lt;5,
 0,
 MAX(0,MIN(100,(tbl_product_preparations[[#This Row],[fiber_per_100g]]/8*100)))
)</f>
        <v>25</v>
      </c>
      <c r="AH2" s="18">
        <f>MAX(0,MIN(100,100-(tbl_product_preparations[[#This Row],[sugar_per_100g]]/15*100)))</f>
        <v>100</v>
      </c>
      <c r="AI2" s="18">
        <f>MAX(0,100-(tbl_product_preparations[[#This Row],[alcohol_per_100g]]*50))</f>
        <v>100</v>
      </c>
      <c r="AJ2" s="18">
        <f>ROUND(tbl_product_preparations[[#This Row],[water_percent]],0)</f>
        <v>85</v>
      </c>
      <c r="AK2" s="18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69</v>
      </c>
      <c r="AL2" s="18">
        <f>MIN(100,
 MAX(0,
  ROUND(
   tbl_product_preparations[[#This Row],[energy_score_maintain]]*0.35 +
   tbl_product_preparations[[#This Row],[protein_score]]*0.2 +
   tbl_product_preparations[[#This Row],[fiber_score]]*0.15 +
   tbl_product_preparations[[#This Row],[sugar_score]]*0.1 +
   tbl_product_preparations[[#This Row],[alcohol_score]]*0.1 +
   tbl_product_preparations[[#This Row],[hydration_score]]*0.1 +
   tbl_product_preparations[[#This Row],[maintain_modifier]]+
   tbl_product_preparations[[#This Row],[maintain_preparation_modifier]],0)
))</f>
        <v>65</v>
      </c>
      <c r="AM2" s="18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48</v>
      </c>
      <c r="AN2" s="38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B</v>
      </c>
      <c r="AO2" s="38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B</v>
      </c>
      <c r="AP2" s="38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D</v>
      </c>
      <c r="AQ2" s="18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FRUITS</v>
      </c>
      <c r="AR2" s="18"/>
      <c r="AS2" s="18" t="str">
        <f>INDEX(tbl_products[lose_modifier_group],
MATCH(tbl_product_preparations[[#This Row],[product_key]],
tbl_products[product_key],0))</f>
        <v>FRUIT_WHOLE</v>
      </c>
      <c r="AT2" s="18">
        <f>INDEX(BONUS_MALUS_LOSE[Modifier],
MATCH(tbl_product_preparations[[#This Row],[lose_modifier_group]],
BONUS_MALUS_LOSE[Group],0))</f>
        <v>3</v>
      </c>
      <c r="AU2" s="18" t="str">
        <f>INDEX(tbl_products[maintain_modifier_group],
MATCH(tbl_product_preparations[[#This Row],[product_key]],
tbl_products[product_key],0))</f>
        <v>FRUIT_WHOLE</v>
      </c>
      <c r="AV2" s="18">
        <f>INDEX(BONUS_MALUS_MAINTAIN[Modifier],
MATCH(tbl_product_preparations[[#This Row],[maintain_modifier_group]],
BONUS_MALUS_MAINTAIN[Group],0))</f>
        <v>2</v>
      </c>
      <c r="AW2" s="18" t="str">
        <f>INDEX(tbl_products[gain_modifier_group],
MATCH(tbl_product_preparations[[#This Row],[product_key]],
tbl_products[product_key],0))</f>
        <v>FRUIT_WHOLE</v>
      </c>
      <c r="AX2" s="18">
        <f>INDEX(BONUS_MALUS_GAIN[Modifier],
MATCH(tbl_product_preparations[[#This Row],[gain_modifier_group]],
BONUS_MALUS_GAIN[Group],0))</f>
        <v>1</v>
      </c>
      <c r="AY2" s="18">
        <f>INDEX(PREPARATION_MODIFIERS[lose_preparation_modifier],
MATCH(tbl_product_preparations[[#This Row],[preparation_key]],
PREPARATION_MODIFIERS[preparation_key],0))</f>
        <v>0</v>
      </c>
      <c r="AZ2" s="18">
        <f>INDEX(PREPARATION_MODIFIERS[maintain_preparation_modifier],
MATCH(tbl_product_preparations[[#This Row],[preparation_key]],
PREPARATION_MODIFIERS[preparation_key],0))</f>
        <v>0</v>
      </c>
      <c r="BA2" s="18">
        <f>INDEX(PREPARATION_MODIFIERS[gain_preparation_modifier],
MATCH(tbl_product_preparations[[#This Row],[preparation_key]],
PREPARATION_MODIFIERS[preparation_key],0))</f>
        <v>0</v>
      </c>
    </row>
    <row r="3" spans="1:53" x14ac:dyDescent="0.2">
      <c r="A3" s="33" t="s">
        <v>615</v>
      </c>
      <c r="B3" s="33" t="s">
        <v>581</v>
      </c>
      <c r="C3" s="33" t="s">
        <v>160</v>
      </c>
      <c r="D3" s="31" t="s">
        <v>622</v>
      </c>
      <c r="E3" s="52" t="str">
        <f>IF(tbl_product_preparations[[#This Row],[source_key]]="MANUFACTURER","MANUFACTURER",
IF(tbl_product_preparations[[#This Row],[source_key]]="CALCULATED","CALCULATED",
"REAL"))</f>
        <v>REAL</v>
      </c>
      <c r="F3" s="52" t="str">
        <f>IF(LEFT(tbl_product_preparations[[#This Row],[source_key]],4)="USDA","US","EU")</f>
        <v>EU</v>
      </c>
      <c r="G3" s="32">
        <v>55</v>
      </c>
      <c r="H3" s="18" t="str">
        <f>IF(
   ISNUMBER(tbl_product_preparations[[#This Row],[density_lookup]]),
   ROUND(tbl_product_preparations[[#This Row],[kcal_per_100g]]*tbl_product_preparations[[#This Row],[density_lookup]],1),
   ""
)</f>
        <v/>
      </c>
      <c r="I3" s="32">
        <v>0.2</v>
      </c>
      <c r="J3" s="32">
        <v>12</v>
      </c>
      <c r="K3" s="32">
        <v>0.1</v>
      </c>
      <c r="L3" s="32">
        <v>0</v>
      </c>
      <c r="M3" s="32">
        <v>1.6</v>
      </c>
      <c r="N3" s="32">
        <v>0</v>
      </c>
      <c r="O3" s="46">
        <f>IF(tbl_product_preparations[[#This Row],[sugar_per_100g]]=0,tbl_product_preparations[[#This Row],[carbs_per_100g]],tbl_product_preparations[[#This Row],[sugar_per_100g]])</f>
        <v>12</v>
      </c>
      <c r="P3" s="36">
        <v>1E-3</v>
      </c>
      <c r="Q3" s="50">
        <f>IF(tbl_product_preparations[[#This Row],[sodium_per_100g]]=0,
tbl_product_preparations[[#This Row],[salt_per_100g]]/2.5,
tbl_product_preparations[[#This Row],[sodium_per_100g]])</f>
        <v>1E-3</v>
      </c>
      <c r="R3" s="24">
        <f>ROUND(tbl_product_preparations[[#This Row],[sodium_per_100g]]*2.5,3)</f>
        <v>3.0000000000000001E-3</v>
      </c>
      <c r="S3" s="24">
        <f>IF(tbl_product_preparations[[#This Row],[salt_per_100g]]=0,
tbl_product_preparations[[#This Row],[sodium_per_100g]]*2.5,
tbl_product_preparations[[#This Row],[salt_per_100g]])</f>
        <v>3.0000000000000001E-3</v>
      </c>
      <c r="T3" s="32">
        <v>85.8</v>
      </c>
      <c r="U3" s="14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3" s="18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52.9</v>
      </c>
      <c r="W3" s="18">
        <f>IF(tbl_product_preparations[[#This Row],[kcal_per_100g]]=0,0,ABS((tbl_product_preparations[[#This Row],[kcal_per_100g]]-tbl_product_preparations[[#This Row],[kcal_calc]])/tbl_product_preparations[[#This Row],[kcal_per_100g]])*100)</f>
        <v>3.8181818181818206</v>
      </c>
      <c r="X3" s="18">
        <f>ROUND(tbl_product_preparations[[#This Row],[kcal_calc]],1)</f>
        <v>52.9</v>
      </c>
      <c r="Y3" s="18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99.700999999999993</v>
      </c>
      <c r="Z3" s="18" t="str">
        <f>IF(
  tbl_product_preparations[[#This Row],[macro_sum]] &lt;=
  100 + _xlfn.XLOOKUP("WATER_TOTAL_TOLERANCE",tbl_config[config_key],tbl_config[config_value]),
  "OK",
  "ERROR"
)</f>
        <v>OK</v>
      </c>
      <c r="AA3" s="14" t="str">
        <f>_xlfn.LET(
   _xlpm.d, _xlfn.XLOOKUP(tbl_product_preparations[[#This Row],[product_key]],tbl_products[product_key],tbl_products[density_g_per_ml]),
   IF(AND(ISNUMBER(_xlpm.d), _xlpm.d&gt;0), _xlpm.d, "")
)</f>
        <v/>
      </c>
      <c r="AB3" s="18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3" s="18" cm="1">
        <f t="array" ref="AC3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91.225407682854524</v>
      </c>
      <c r="AD3" s="18" cm="1">
        <f t="array" ref="AD3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85.699689143527891</v>
      </c>
      <c r="AE3" s="18" cm="1">
        <f t="array" ref="AE3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55.610088377320864</v>
      </c>
      <c r="AF3" s="18">
        <f>IF(tbl_product_preparations[[#This Row],[kcal_per_100g]]&lt;5,
 0,
 MAX(0,MIN(100,
  ((tbl_product_preparations[[#This Row],[protein_per_100g]]/tbl_product_preparations[[#This Row],[kcal_per_100g]]*100 - 1) / 7 * 100)
 ))
)</f>
        <v>0</v>
      </c>
      <c r="AG3" s="18">
        <f>IF(tbl_product_preparations[[#This Row],[kcal_per_100g]]&lt;5,
 0,
 MAX(0,MIN(100,(tbl_product_preparations[[#This Row],[fiber_per_100g]]/8*100)))
)</f>
        <v>20</v>
      </c>
      <c r="AH3" s="18">
        <f>MAX(0,MIN(100,100-(tbl_product_preparations[[#This Row],[sugar_per_100g]]/15*100)))</f>
        <v>100</v>
      </c>
      <c r="AI3" s="18">
        <f>MAX(0,100-(tbl_product_preparations[[#This Row],[alcohol_per_100g]]*50))</f>
        <v>100</v>
      </c>
      <c r="AJ3" s="18">
        <f>ROUND(tbl_product_preparations[[#This Row],[water_percent]],0)</f>
        <v>86</v>
      </c>
      <c r="AK3" s="18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68</v>
      </c>
      <c r="AL3" s="18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62</v>
      </c>
      <c r="AM3" s="18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48</v>
      </c>
      <c r="AN3" s="38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B</v>
      </c>
      <c r="AO3" s="38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C</v>
      </c>
      <c r="AP3" s="38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D</v>
      </c>
      <c r="AQ3" s="18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FRUITS</v>
      </c>
      <c r="AR3" s="18"/>
      <c r="AS3" s="18" t="str">
        <f>INDEX(tbl_products[lose_modifier_group],
MATCH(tbl_product_preparations[[#This Row],[product_key]],
tbl_products[product_key],0))</f>
        <v>FRUIT_WHOLE</v>
      </c>
      <c r="AT3" s="18">
        <f>INDEX(BONUS_MALUS_LOSE[Modifier],
MATCH(tbl_product_preparations[[#This Row],[lose_modifier_group]],
BONUS_MALUS_LOSE[Group],0))</f>
        <v>3</v>
      </c>
      <c r="AU3" s="18" t="str">
        <f>INDEX(tbl_products[maintain_modifier_group],
MATCH(tbl_product_preparations[[#This Row],[product_key]],
tbl_products[product_key],0))</f>
        <v>FRUIT_WHOLE</v>
      </c>
      <c r="AV3" s="18">
        <f>INDEX(BONUS_MALUS_MAINTAIN[Modifier],
MATCH(tbl_product_preparations[[#This Row],[maintain_modifier_group]],
BONUS_MALUS_MAINTAIN[Group],0))</f>
        <v>2</v>
      </c>
      <c r="AW3" s="18" t="str">
        <f>INDEX(tbl_products[gain_modifier_group],
MATCH(tbl_product_preparations[[#This Row],[product_key]],
tbl_products[product_key],0))</f>
        <v>FRUIT_WHOLE</v>
      </c>
      <c r="AX3" s="18">
        <f>INDEX(BONUS_MALUS_GAIN[Modifier],
MATCH(tbl_product_preparations[[#This Row],[gain_modifier_group]],
BONUS_MALUS_GAIN[Group],0))</f>
        <v>1</v>
      </c>
      <c r="AY3" s="18">
        <f>INDEX(PREPARATION_MODIFIERS[lose_preparation_modifier],
MATCH(tbl_product_preparations[[#This Row],[preparation_key]],
PREPARATION_MODIFIERS[preparation_key],0))</f>
        <v>0</v>
      </c>
      <c r="AZ3" s="18">
        <f>INDEX(PREPARATION_MODIFIERS[maintain_preparation_modifier],
MATCH(tbl_product_preparations[[#This Row],[preparation_key]],
PREPARATION_MODIFIERS[preparation_key],0))</f>
        <v>0</v>
      </c>
      <c r="BA3" s="18">
        <f>INDEX(PREPARATION_MODIFIERS[gain_preparation_modifier],
MATCH(tbl_product_preparations[[#This Row],[preparation_key]],
PREPARATION_MODIFIERS[preparation_key],0))</f>
        <v>0</v>
      </c>
    </row>
    <row r="4" spans="1:53" x14ac:dyDescent="0.2">
      <c r="A4" s="33" t="s">
        <v>883</v>
      </c>
      <c r="B4" s="33" t="s">
        <v>115</v>
      </c>
      <c r="C4" s="33" t="s">
        <v>160</v>
      </c>
      <c r="D4" s="31" t="s">
        <v>889</v>
      </c>
      <c r="E4" s="52" t="str">
        <f>IF(tbl_product_preparations[[#This Row],[source_key]]="MANUFACTURER","MANUFACTURER",
IF(tbl_product_preparations[[#This Row],[source_key]]="CALCULATED","CALCULATED",
"REAL"))</f>
        <v>REAL</v>
      </c>
      <c r="F4" s="52" t="str">
        <f>IF(LEFT(tbl_product_preparations[[#This Row],[source_key]],4)="USDA","US","EU")</f>
        <v>EU</v>
      </c>
      <c r="G4" s="32">
        <v>44</v>
      </c>
      <c r="H4" s="18" t="str">
        <f>IF(
   ISNUMBER(tbl_product_preparations[[#This Row],[density_lookup]]),
   ROUND(tbl_product_preparations[[#This Row],[kcal_per_100g]]*tbl_product_preparations[[#This Row],[density_lookup]],1),
   ""
)</f>
        <v/>
      </c>
      <c r="I4" s="32">
        <v>0.9</v>
      </c>
      <c r="J4" s="32">
        <v>8</v>
      </c>
      <c r="K4" s="32">
        <v>0.1</v>
      </c>
      <c r="L4" s="32">
        <v>0</v>
      </c>
      <c r="M4" s="32">
        <v>1.7</v>
      </c>
      <c r="N4" s="32">
        <v>8</v>
      </c>
      <c r="O4" s="46">
        <f>IF(tbl_product_preparations[[#This Row],[sugar_per_100g]]=0,tbl_product_preparations[[#This Row],[carbs_per_100g]],tbl_product_preparations[[#This Row],[sugar_per_100g]])</f>
        <v>8</v>
      </c>
      <c r="P4" s="36">
        <v>0</v>
      </c>
      <c r="Q4" s="50">
        <f>IF(tbl_product_preparations[[#This Row],[sodium_per_100g]]=0,
tbl_product_preparations[[#This Row],[salt_per_100g]]/2.5,
tbl_product_preparations[[#This Row],[sodium_per_100g]])</f>
        <v>0</v>
      </c>
      <c r="R4" s="24">
        <f>ROUND(tbl_product_preparations[[#This Row],[sodium_per_100g]]*2.5,3)</f>
        <v>0</v>
      </c>
      <c r="S4" s="24">
        <f>IF(tbl_product_preparations[[#This Row],[salt_per_100g]]=0,
tbl_product_preparations[[#This Row],[sodium_per_100g]]*2.5,
tbl_product_preparations[[#This Row],[salt_per_100g]])</f>
        <v>0</v>
      </c>
      <c r="T4" s="32">
        <v>87.2</v>
      </c>
      <c r="U4" s="14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4" s="18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39.9</v>
      </c>
      <c r="W4" s="18">
        <f>IF(tbl_product_preparations[[#This Row],[kcal_per_100g]]=0,0,ABS((tbl_product_preparations[[#This Row],[kcal_per_100g]]-tbl_product_preparations[[#This Row],[kcal_calc]])/tbl_product_preparations[[#This Row],[kcal_per_100g]])*100)</f>
        <v>9.3181818181818219</v>
      </c>
      <c r="X4" s="18">
        <f>ROUND(tbl_product_preparations[[#This Row],[kcal_calc]],1)</f>
        <v>39.9</v>
      </c>
      <c r="Y4" s="18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97.9</v>
      </c>
      <c r="Z4" s="18" t="str">
        <f>IF(
  tbl_product_preparations[[#This Row],[macro_sum]] &lt;=
  100 + _xlfn.XLOOKUP("WATER_TOTAL_TOLERANCE",tbl_config[config_key],tbl_config[config_value]),
  "OK",
  "ERROR"
)</f>
        <v>OK</v>
      </c>
      <c r="AA4" s="14" t="str">
        <f>_xlfn.LET(
   _xlpm.d, _xlfn.XLOOKUP(tbl_product_preparations[[#This Row],[product_key]],tbl_products[product_key],tbl_products[density_g_per_ml]),
   IF(AND(ISNUMBER(_xlpm.d), _xlpm.d&gt;0), _xlpm.d, "")
)</f>
        <v/>
      </c>
      <c r="AB4" s="18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4" s="18" cm="1">
        <f t="array" ref="AC4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75.88748772023483</v>
      </c>
      <c r="AD4" s="18" cm="1">
        <f t="array" ref="AD4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72.614903707369095</v>
      </c>
      <c r="AE4" s="18" cm="1">
        <f t="array" ref="AE4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44.833156394094303</v>
      </c>
      <c r="AF4" s="18">
        <f>IF(tbl_product_preparations[[#This Row],[kcal_per_100g]]&lt;5,
 0,
 MAX(0,MIN(100,
  ((tbl_product_preparations[[#This Row],[protein_per_100g]]/tbl_product_preparations[[#This Row],[kcal_per_100g]]*100 - 1) / 7 * 100)
 ))
)</f>
        <v>14.935064935064934</v>
      </c>
      <c r="AG4" s="18">
        <f>IF(tbl_product_preparations[[#This Row],[kcal_per_100g]]&lt;5,
 0,
 MAX(0,MIN(100,(tbl_product_preparations[[#This Row],[fiber_per_100g]]/8*100)))
)</f>
        <v>21.25</v>
      </c>
      <c r="AH4" s="18">
        <f>MAX(0,MIN(100,100-(tbl_product_preparations[[#This Row],[sugar_per_100g]]/15*100)))</f>
        <v>46.666666666666664</v>
      </c>
      <c r="AI4" s="18">
        <f>MAX(0,100-(tbl_product_preparations[[#This Row],[alcohol_per_100g]]*50))</f>
        <v>100</v>
      </c>
      <c r="AJ4" s="18">
        <f>ROUND(tbl_product_preparations[[#This Row],[water_percent]],0)</f>
        <v>87</v>
      </c>
      <c r="AK4" s="18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59</v>
      </c>
      <c r="AL4" s="18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55</v>
      </c>
      <c r="AM4" s="18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40</v>
      </c>
      <c r="AN4" s="38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C</v>
      </c>
      <c r="AO4" s="38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C</v>
      </c>
      <c r="AP4" s="38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D</v>
      </c>
      <c r="AQ4" s="18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FRUITS</v>
      </c>
      <c r="AR4" s="18"/>
      <c r="AS4" s="18" t="str">
        <f>INDEX(tbl_products[lose_modifier_group],
MATCH(tbl_product_preparations[[#This Row],[product_key]],
tbl_products[product_key],0))</f>
        <v>FRUIT_WHOLE</v>
      </c>
      <c r="AT4" s="18">
        <f>INDEX(BONUS_MALUS_LOSE[Modifier],
MATCH(tbl_product_preparations[[#This Row],[lose_modifier_group]],
BONUS_MALUS_LOSE[Group],0))</f>
        <v>3</v>
      </c>
      <c r="AU4" s="18" t="str">
        <f>INDEX(tbl_products[maintain_modifier_group],
MATCH(tbl_product_preparations[[#This Row],[product_key]],
tbl_products[product_key],0))</f>
        <v>FRUIT_WHOLE</v>
      </c>
      <c r="AV4" s="18">
        <f>INDEX(BONUS_MALUS_MAINTAIN[Modifier],
MATCH(tbl_product_preparations[[#This Row],[maintain_modifier_group]],
BONUS_MALUS_MAINTAIN[Group],0))</f>
        <v>2</v>
      </c>
      <c r="AW4" s="18" t="str">
        <f>INDEX(tbl_products[gain_modifier_group],
MATCH(tbl_product_preparations[[#This Row],[product_key]],
tbl_products[product_key],0))</f>
        <v>FRUIT_WHOLE</v>
      </c>
      <c r="AX4" s="18">
        <f>INDEX(BONUS_MALUS_GAIN[Modifier],
MATCH(tbl_product_preparations[[#This Row],[gain_modifier_group]],
BONUS_MALUS_GAIN[Group],0))</f>
        <v>1</v>
      </c>
      <c r="AY4" s="18">
        <f>INDEX(PREPARATION_MODIFIERS[lose_preparation_modifier],
MATCH(tbl_product_preparations[[#This Row],[preparation_key]],
PREPARATION_MODIFIERS[preparation_key],0))</f>
        <v>0</v>
      </c>
      <c r="AZ4" s="18">
        <f>INDEX(PREPARATION_MODIFIERS[maintain_preparation_modifier],
MATCH(tbl_product_preparations[[#This Row],[preparation_key]],
PREPARATION_MODIFIERS[preparation_key],0))</f>
        <v>0</v>
      </c>
      <c r="BA4" s="18">
        <f>INDEX(PREPARATION_MODIFIERS[gain_preparation_modifier],
MATCH(tbl_product_preparations[[#This Row],[preparation_key]],
PREPARATION_MODIFIERS[preparation_key],0))</f>
        <v>0</v>
      </c>
    </row>
    <row r="5" spans="1:53" x14ac:dyDescent="0.2">
      <c r="A5" s="33" t="s">
        <v>1048</v>
      </c>
      <c r="B5" s="33" t="s">
        <v>365</v>
      </c>
      <c r="C5" s="33" t="s">
        <v>160</v>
      </c>
      <c r="D5" s="31" t="s">
        <v>1054</v>
      </c>
      <c r="E5" s="52" t="str">
        <f>IF(tbl_product_preparations[[#This Row],[source_key]]="MANUFACTURER","MANUFACTURER",
IF(tbl_product_preparations[[#This Row],[source_key]]="CALCULATED","CALCULATED",
"REAL"))</f>
        <v>REAL</v>
      </c>
      <c r="F5" s="52" t="str">
        <f>IF(LEFT(tbl_product_preparations[[#This Row],[source_key]],4)="USDA","US","EU")</f>
        <v>EU</v>
      </c>
      <c r="G5" s="32">
        <v>49</v>
      </c>
      <c r="H5" s="18" t="str">
        <f>IF(
   ISNUMBER(tbl_product_preparations[[#This Row],[density_lookup]]),
   ROUND(tbl_product_preparations[[#This Row],[kcal_per_100g]]*tbl_product_preparations[[#This Row],[density_lookup]],1),
   ""
)</f>
        <v/>
      </c>
      <c r="I5" s="32">
        <v>2</v>
      </c>
      <c r="J5" s="32">
        <v>9.5</v>
      </c>
      <c r="K5" s="32">
        <v>0</v>
      </c>
      <c r="L5" s="32">
        <v>0</v>
      </c>
      <c r="M5" s="32">
        <v>1.5</v>
      </c>
      <c r="N5" s="32">
        <v>9.5</v>
      </c>
      <c r="O5" s="46">
        <f>IF(tbl_product_preparations[[#This Row],[sugar_per_100g]]=0,tbl_product_preparations[[#This Row],[carbs_per_100g]],tbl_product_preparations[[#This Row],[sugar_per_100g]])</f>
        <v>9.5</v>
      </c>
      <c r="P5" s="36">
        <v>4.7E-2</v>
      </c>
      <c r="Q5" s="50">
        <f>IF(tbl_product_preparations[[#This Row],[sodium_per_100g]]=0,
tbl_product_preparations[[#This Row],[salt_per_100g]]/2.5,
tbl_product_preparations[[#This Row],[sodium_per_100g]])</f>
        <v>4.7E-2</v>
      </c>
      <c r="R5" s="24">
        <f>ROUND(tbl_product_preparations[[#This Row],[sodium_per_100g]]*2.5,3)</f>
        <v>0.11799999999999999</v>
      </c>
      <c r="S5" s="24">
        <f>IF(tbl_product_preparations[[#This Row],[salt_per_100g]]=0,
tbl_product_preparations[[#This Row],[sodium_per_100g]]*2.5,
tbl_product_preparations[[#This Row],[salt_per_100g]])</f>
        <v>0.11799999999999999</v>
      </c>
      <c r="T5" s="32">
        <v>82</v>
      </c>
      <c r="U5" s="14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5" s="18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49</v>
      </c>
      <c r="W5" s="18">
        <f>IF(tbl_product_preparations[[#This Row],[kcal_per_100g]]=0,0,ABS((tbl_product_preparations[[#This Row],[kcal_per_100g]]-tbl_product_preparations[[#This Row],[kcal_calc]])/tbl_product_preparations[[#This Row],[kcal_per_100g]])*100)</f>
        <v>0</v>
      </c>
      <c r="X5" s="18">
        <f>ROUND(tbl_product_preparations[[#This Row],[kcal_calc]],1)</f>
        <v>49</v>
      </c>
      <c r="Y5" s="18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95.046999999999997</v>
      </c>
      <c r="Z5" s="18" t="str">
        <f>IF(
  tbl_product_preparations[[#This Row],[macro_sum]] &lt;=
  100 + _xlfn.XLOOKUP("WATER_TOTAL_TOLERANCE",tbl_config[config_key],tbl_config[config_value]),
  "OK",
  "ERROR"
)</f>
        <v>OK</v>
      </c>
      <c r="AA5" s="14" t="str">
        <f>_xlfn.LET(
   _xlpm.d, _xlfn.XLOOKUP(tbl_product_preparations[[#This Row],[product_key]],tbl_products[product_key],tbl_products[density_g_per_ml]),
   IF(AND(ISNUMBER(_xlpm.d), _xlpm.d&gt;0), _xlpm.d, "")
)</f>
        <v/>
      </c>
      <c r="AB5" s="18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5" s="18" cm="1">
        <f t="array" ref="AC5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63.68316143717432</v>
      </c>
      <c r="AD5" s="18" cm="1">
        <f t="array" ref="AD5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93.725489561267779</v>
      </c>
      <c r="AE5" s="18" cm="1">
        <f t="array" ref="AE5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96.289346649136277</v>
      </c>
      <c r="AF5" s="18">
        <f>IF(tbl_product_preparations[[#This Row],[kcal_per_100g]]&lt;5,
 0,
 MAX(0,MIN(100,
  ((tbl_product_preparations[[#This Row],[protein_per_100g]]/tbl_product_preparations[[#This Row],[kcal_per_100g]]*100 - 1) / 7 * 100)
 ))
)</f>
        <v>44.023323615160351</v>
      </c>
      <c r="AG5" s="18">
        <f>IF(tbl_product_preparations[[#This Row],[kcal_per_100g]]&lt;5,
 0,
 MAX(0,MIN(100,(tbl_product_preparations[[#This Row],[fiber_per_100g]]/8*100)))
)</f>
        <v>18.75</v>
      </c>
      <c r="AH5" s="18">
        <f>MAX(0,MIN(100,100-(tbl_product_preparations[[#This Row],[sugar_per_100g]]/15*100)))</f>
        <v>36.666666666666671</v>
      </c>
      <c r="AI5" s="18">
        <f>MAX(0,100-(tbl_product_preparations[[#This Row],[alcohol_per_100g]]*50))</f>
        <v>100</v>
      </c>
      <c r="AJ5" s="18">
        <f>ROUND(tbl_product_preparations[[#This Row],[water_percent]],0)</f>
        <v>82</v>
      </c>
      <c r="AK5" s="18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60</v>
      </c>
      <c r="AL5" s="18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66</v>
      </c>
      <c r="AM5" s="18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72</v>
      </c>
      <c r="AN5" s="38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C</v>
      </c>
      <c r="AO5" s="38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B</v>
      </c>
      <c r="AP5" s="38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B</v>
      </c>
      <c r="AQ5" s="18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VEGETABLES</v>
      </c>
      <c r="AR5" s="18"/>
      <c r="AS5" s="18" t="str">
        <f>INDEX(tbl_products[lose_modifier_group],
MATCH(tbl_product_preparations[[#This Row],[product_key]],
tbl_products[product_key],0))</f>
        <v>VEGETABLES</v>
      </c>
      <c r="AT5" s="18">
        <f>INDEX(BONUS_MALUS_LOSE[Modifier],
MATCH(tbl_product_preparations[[#This Row],[lose_modifier_group]],
BONUS_MALUS_LOSE[Group],0))</f>
        <v>5</v>
      </c>
      <c r="AU5" s="18" t="str">
        <f>INDEX(tbl_products[maintain_modifier_group],
MATCH(tbl_product_preparations[[#This Row],[product_key]],
tbl_products[product_key],0))</f>
        <v>VEGETABLES</v>
      </c>
      <c r="AV5" s="18">
        <f>INDEX(BONUS_MALUS_MAINTAIN[Modifier],
MATCH(tbl_product_preparations[[#This Row],[maintain_modifier_group]],
BONUS_MALUS_MAINTAIN[Group],0))</f>
        <v>3</v>
      </c>
      <c r="AW5" s="18" t="str">
        <f>INDEX(tbl_products[gain_modifier_group],
MATCH(tbl_product_preparations[[#This Row],[product_key]],
tbl_products[product_key],0))</f>
        <v>VEGETABLES</v>
      </c>
      <c r="AX5" s="18">
        <f>INDEX(BONUS_MALUS_GAIN[Modifier],
MATCH(tbl_product_preparations[[#This Row],[gain_modifier_group]],
BONUS_MALUS_GAIN[Group],0))</f>
        <v>-2</v>
      </c>
      <c r="AY5" s="18">
        <f>INDEX(PREPARATION_MODIFIERS[lose_preparation_modifier],
MATCH(tbl_product_preparations[[#This Row],[preparation_key]],
PREPARATION_MODIFIERS[preparation_key],0))</f>
        <v>0</v>
      </c>
      <c r="AZ5" s="18">
        <f>INDEX(PREPARATION_MODIFIERS[maintain_preparation_modifier],
MATCH(tbl_product_preparations[[#This Row],[preparation_key]],
PREPARATION_MODIFIERS[preparation_key],0))</f>
        <v>0</v>
      </c>
      <c r="BA5" s="18">
        <f>INDEX(PREPARATION_MODIFIERS[gain_preparation_modifier],
MATCH(tbl_product_preparations[[#This Row],[preparation_key]],
PREPARATION_MODIFIERS[preparation_key],0))</f>
        <v>0</v>
      </c>
    </row>
    <row r="6" spans="1:53" x14ac:dyDescent="0.2">
      <c r="A6" s="33" t="s">
        <v>1055</v>
      </c>
      <c r="B6" s="33" t="s">
        <v>365</v>
      </c>
      <c r="C6" s="33" t="s">
        <v>160</v>
      </c>
      <c r="D6" s="31" t="s">
        <v>1060</v>
      </c>
      <c r="E6" s="52" t="str">
        <f>IF(tbl_product_preparations[[#This Row],[source_key]]="MANUFACTURER","MANUFACTURER",
IF(tbl_product_preparations[[#This Row],[source_key]]="CALCULATED","CALCULATED",
"REAL"))</f>
        <v>REAL</v>
      </c>
      <c r="F6" s="52" t="str">
        <f>IF(LEFT(tbl_product_preparations[[#This Row],[source_key]],4)="USDA","US","EU")</f>
        <v>EU</v>
      </c>
      <c r="G6" s="32">
        <v>22</v>
      </c>
      <c r="H6" s="18" t="str">
        <f>IF(
   ISNUMBER(tbl_product_preparations[[#This Row],[density_lookup]]),
   ROUND(tbl_product_preparations[[#This Row],[kcal_per_100g]]*tbl_product_preparations[[#This Row],[density_lookup]],1),
   ""
)</f>
        <v/>
      </c>
      <c r="I6" s="32">
        <v>3.6</v>
      </c>
      <c r="J6" s="32">
        <v>0</v>
      </c>
      <c r="K6" s="32">
        <v>0.4</v>
      </c>
      <c r="L6" s="32">
        <v>0</v>
      </c>
      <c r="M6" s="32">
        <v>1.9</v>
      </c>
      <c r="N6" s="32">
        <v>0</v>
      </c>
      <c r="O6" s="46">
        <f>IF(tbl_product_preparations[[#This Row],[sugar_per_100g]]=0,tbl_product_preparations[[#This Row],[carbs_per_100g]],tbl_product_preparations[[#This Row],[sugar_per_100g]])</f>
        <v>0</v>
      </c>
      <c r="P6" s="36">
        <v>3.3000000000000002E-2</v>
      </c>
      <c r="Q6" s="50">
        <f>IF(tbl_product_preparations[[#This Row],[sodium_per_100g]]=0,
tbl_product_preparations[[#This Row],[salt_per_100g]]/2.5,
tbl_product_preparations[[#This Row],[sodium_per_100g]])</f>
        <v>3.3000000000000002E-2</v>
      </c>
      <c r="R6" s="24">
        <f>ROUND(tbl_product_preparations[[#This Row],[sodium_per_100g]]*2.5,3)</f>
        <v>8.3000000000000004E-2</v>
      </c>
      <c r="S6" s="24">
        <f>IF(tbl_product_preparations[[#This Row],[salt_per_100g]]=0,
tbl_product_preparations[[#This Row],[sodium_per_100g]]*2.5,
tbl_product_preparations[[#This Row],[salt_per_100g]])</f>
        <v>8.3000000000000004E-2</v>
      </c>
      <c r="T6" s="32">
        <v>92.3</v>
      </c>
      <c r="U6" s="14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6" s="18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21.8</v>
      </c>
      <c r="W6" s="18">
        <f>IF(tbl_product_preparations[[#This Row],[kcal_per_100g]]=0,0,ABS((tbl_product_preparations[[#This Row],[kcal_per_100g]]-tbl_product_preparations[[#This Row],[kcal_calc]])/tbl_product_preparations[[#This Row],[kcal_per_100g]])*100)</f>
        <v>0.90909090909090595</v>
      </c>
      <c r="X6" s="18">
        <f>ROUND(tbl_product_preparations[[#This Row],[kcal_calc]],1)</f>
        <v>21.8</v>
      </c>
      <c r="Y6" s="18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98.233000000000004</v>
      </c>
      <c r="Z6" s="18" t="str">
        <f>IF(
  tbl_product_preparations[[#This Row],[macro_sum]] &lt;=
  100 + _xlfn.XLOOKUP("WATER_TOTAL_TOLERANCE",tbl_config[config_key],tbl_config[config_value]),
  "OK",
  "ERROR"
)</f>
        <v>OK</v>
      </c>
      <c r="AA6" s="14" t="str">
        <f>_xlfn.LET(
   _xlpm.d, _xlfn.XLOOKUP(tbl_product_preparations[[#This Row],[product_key]],tbl_products[product_key],tbl_products[density_g_per_ml]),
   IF(AND(ISNUMBER(_xlpm.d), _xlpm.d&gt;0), _xlpm.d, "")
)</f>
        <v/>
      </c>
      <c r="AB6" s="18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6" s="18" cm="1">
        <f t="array" ref="AC6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92.311634638663577</v>
      </c>
      <c r="AD6" s="18" cm="1">
        <f t="array" ref="AD6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77.166867387452626</v>
      </c>
      <c r="AE6" s="18" cm="1">
        <f t="array" ref="AE6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63.68316143717432</v>
      </c>
      <c r="AF6" s="18">
        <f>IF(tbl_product_preparations[[#This Row],[kcal_per_100g]]&lt;5,
 0,
 MAX(0,MIN(100,
  ((tbl_product_preparations[[#This Row],[protein_per_100g]]/tbl_product_preparations[[#This Row],[kcal_per_100g]]*100 - 1) / 7 * 100)
 ))
)</f>
        <v>100</v>
      </c>
      <c r="AG6" s="18">
        <f>IF(tbl_product_preparations[[#This Row],[kcal_per_100g]]&lt;5,
 0,
 MAX(0,MIN(100,(tbl_product_preparations[[#This Row],[fiber_per_100g]]/8*100)))
)</f>
        <v>23.75</v>
      </c>
      <c r="AH6" s="18">
        <f>MAX(0,MIN(100,100-(tbl_product_preparations[[#This Row],[sugar_per_100g]]/15*100)))</f>
        <v>100</v>
      </c>
      <c r="AI6" s="18">
        <f>MAX(0,100-(tbl_product_preparations[[#This Row],[alcohol_per_100g]]*50))</f>
        <v>100</v>
      </c>
      <c r="AJ6" s="18">
        <f>ROUND(tbl_product_preparations[[#This Row],[water_percent]],0)</f>
        <v>92</v>
      </c>
      <c r="AK6" s="18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86</v>
      </c>
      <c r="AL6" s="18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80</v>
      </c>
      <c r="AM6" s="18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74</v>
      </c>
      <c r="AN6" s="38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A</v>
      </c>
      <c r="AO6" s="38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A</v>
      </c>
      <c r="AP6" s="38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B</v>
      </c>
      <c r="AQ6" s="18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VEGETABLES</v>
      </c>
      <c r="AR6" s="18"/>
      <c r="AS6" s="18" t="str">
        <f>INDEX(tbl_products[lose_modifier_group],
MATCH(tbl_product_preparations[[#This Row],[product_key]],
tbl_products[product_key],0))</f>
        <v>VEGETABLES</v>
      </c>
      <c r="AT6" s="18">
        <f>INDEX(BONUS_MALUS_LOSE[Modifier],
MATCH(tbl_product_preparations[[#This Row],[lose_modifier_group]],
BONUS_MALUS_LOSE[Group],0))</f>
        <v>5</v>
      </c>
      <c r="AU6" s="18" t="str">
        <f>INDEX(tbl_products[maintain_modifier_group],
MATCH(tbl_product_preparations[[#This Row],[product_key]],
tbl_products[product_key],0))</f>
        <v>VEGETABLES</v>
      </c>
      <c r="AV6" s="18">
        <f>INDEX(BONUS_MALUS_MAINTAIN[Modifier],
MATCH(tbl_product_preparations[[#This Row],[maintain_modifier_group]],
BONUS_MALUS_MAINTAIN[Group],0))</f>
        <v>3</v>
      </c>
      <c r="AW6" s="18" t="str">
        <f>INDEX(tbl_products[gain_modifier_group],
MATCH(tbl_product_preparations[[#This Row],[product_key]],
tbl_products[product_key],0))</f>
        <v>VEGETABLES</v>
      </c>
      <c r="AX6" s="18">
        <f>INDEX(BONUS_MALUS_GAIN[Modifier],
MATCH(tbl_product_preparations[[#This Row],[gain_modifier_group]],
BONUS_MALUS_GAIN[Group],0))</f>
        <v>-2</v>
      </c>
      <c r="AY6" s="18">
        <f>INDEX(PREPARATION_MODIFIERS[lose_preparation_modifier],
MATCH(tbl_product_preparations[[#This Row],[preparation_key]],
PREPARATION_MODIFIERS[preparation_key],0))</f>
        <v>0</v>
      </c>
      <c r="AZ6" s="18">
        <f>INDEX(PREPARATION_MODIFIERS[maintain_preparation_modifier],
MATCH(tbl_product_preparations[[#This Row],[preparation_key]],
PREPARATION_MODIFIERS[preparation_key],0))</f>
        <v>0</v>
      </c>
      <c r="BA6" s="18">
        <f>INDEX(PREPARATION_MODIFIERS[gain_preparation_modifier],
MATCH(tbl_product_preparations[[#This Row],[preparation_key]],
PREPARATION_MODIFIERS[preparation_key],0))</f>
        <v>0</v>
      </c>
    </row>
    <row r="7" spans="1:53" x14ac:dyDescent="0.2">
      <c r="A7" s="33" t="s">
        <v>1061</v>
      </c>
      <c r="B7" s="33" t="s">
        <v>363</v>
      </c>
      <c r="C7" s="33" t="s">
        <v>245</v>
      </c>
      <c r="D7" s="31" t="s">
        <v>1079</v>
      </c>
      <c r="E7" s="52" t="str">
        <f>IF(tbl_product_preparations[[#This Row],[source_key]]="MANUFACTURER","MANUFACTURER",
IF(tbl_product_preparations[[#This Row],[source_key]]="CALCULATED","CALCULATED",
"REAL"))</f>
        <v>REAL</v>
      </c>
      <c r="F7" s="52" t="str">
        <f>IF(LEFT(tbl_product_preparations[[#This Row],[source_key]],4)="USDA","US","EU")</f>
        <v>US</v>
      </c>
      <c r="G7" s="32">
        <v>22</v>
      </c>
      <c r="H7" s="18" t="str">
        <f>IF(
   ISNUMBER(tbl_product_preparations[[#This Row],[density_lookup]]),
   ROUND(tbl_product_preparations[[#This Row],[kcal_per_100g]]*tbl_product_preparations[[#This Row],[density_lookup]],1),
   ""
)</f>
        <v/>
      </c>
      <c r="I7" s="32">
        <v>2.4</v>
      </c>
      <c r="J7" s="32">
        <v>4.0999999999999996</v>
      </c>
      <c r="K7" s="32">
        <v>0.2</v>
      </c>
      <c r="L7" s="32">
        <v>0</v>
      </c>
      <c r="M7" s="32">
        <v>2</v>
      </c>
      <c r="N7" s="32">
        <v>1.3</v>
      </c>
      <c r="O7" s="46">
        <f>IF(tbl_product_preparations[[#This Row],[sugar_per_100g]]=0,tbl_product_preparations[[#This Row],[carbs_per_100g]],tbl_product_preparations[[#This Row],[sugar_per_100g]])</f>
        <v>1.3</v>
      </c>
      <c r="P7" s="36">
        <v>1.4E-2</v>
      </c>
      <c r="Q7" s="50">
        <f>IF(tbl_product_preparations[[#This Row],[sodium_per_100g]]=0,
tbl_product_preparations[[#This Row],[salt_per_100g]]/2.5,
tbl_product_preparations[[#This Row],[sodium_per_100g]])</f>
        <v>1.4E-2</v>
      </c>
      <c r="R7" s="24">
        <f>ROUND(tbl_product_preparations[[#This Row],[sodium_per_100g]]*2.5,3)</f>
        <v>3.5000000000000003E-2</v>
      </c>
      <c r="S7" s="24">
        <f>IF(tbl_product_preparations[[#This Row],[salt_per_100g]]=0,
tbl_product_preparations[[#This Row],[sodium_per_100g]]*2.5,
tbl_product_preparations[[#This Row],[salt_per_100g]])</f>
        <v>3.5000000000000003E-2</v>
      </c>
      <c r="T7" s="32">
        <v>92.6</v>
      </c>
      <c r="U7" s="14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ERROR</v>
      </c>
      <c r="V7" s="18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31.8</v>
      </c>
      <c r="W7" s="18">
        <f>IF(tbl_product_preparations[[#This Row],[kcal_per_100g]]=0,0,ABS((tbl_product_preparations[[#This Row],[kcal_per_100g]]-tbl_product_preparations[[#This Row],[kcal_calc]])/tbl_product_preparations[[#This Row],[kcal_per_100g]])*100)</f>
        <v>44.545454545454547</v>
      </c>
      <c r="X7" s="18">
        <f>ROUND(tbl_product_preparations[[#This Row],[kcal_calc]],1)</f>
        <v>31.8</v>
      </c>
      <c r="Y7" s="18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101.31399999999999</v>
      </c>
      <c r="Z7" s="18" t="str">
        <f>IF(
  tbl_product_preparations[[#This Row],[macro_sum]] &lt;=
  100 + _xlfn.XLOOKUP("WATER_TOTAL_TOLERANCE",tbl_config[config_key],tbl_config[config_value]),
  "OK",
  "ERROR"
)</f>
        <v>OK</v>
      </c>
      <c r="AA7" s="14" t="str">
        <f>_xlfn.LET(
   _xlpm.d, _xlfn.XLOOKUP(tbl_product_preparations[[#This Row],[product_key]],tbl_products[product_key],tbl_products[density_g_per_ml]),
   IF(AND(ISNUMBER(_xlpm.d), _xlpm.d&gt;0), _xlpm.d, "")
)</f>
        <v/>
      </c>
      <c r="AB7" s="18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7" s="18" cm="1">
        <f t="array" ref="AC7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92.311634638663577</v>
      </c>
      <c r="AD7" s="18" cm="1">
        <f t="array" ref="AD7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77.166867387452626</v>
      </c>
      <c r="AE7" s="18" cm="1">
        <f t="array" ref="AE7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63.68316143717432</v>
      </c>
      <c r="AF7" s="18">
        <f>IF(tbl_product_preparations[[#This Row],[kcal_per_100g]]&lt;5,
 0,
 MAX(0,MIN(100,
  ((tbl_product_preparations[[#This Row],[protein_per_100g]]/tbl_product_preparations[[#This Row],[kcal_per_100g]]*100 - 1) / 7 * 100)
 ))
)</f>
        <v>100</v>
      </c>
      <c r="AG7" s="18">
        <f>IF(tbl_product_preparations[[#This Row],[kcal_per_100g]]&lt;5,
 0,
 MAX(0,MIN(100,(tbl_product_preparations[[#This Row],[fiber_per_100g]]/8*100)))
)</f>
        <v>25</v>
      </c>
      <c r="AH7" s="18">
        <f>MAX(0,MIN(100,100-(tbl_product_preparations[[#This Row],[sugar_per_100g]]/15*100)))</f>
        <v>91.333333333333329</v>
      </c>
      <c r="AI7" s="18">
        <f>MAX(0,100-(tbl_product_preparations[[#This Row],[alcohol_per_100g]]*50))</f>
        <v>100</v>
      </c>
      <c r="AJ7" s="18">
        <f>ROUND(tbl_product_preparations[[#This Row],[water_percent]],0)</f>
        <v>93</v>
      </c>
      <c r="AK7" s="18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86</v>
      </c>
      <c r="AL7" s="18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79</v>
      </c>
      <c r="AM7" s="18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73</v>
      </c>
      <c r="AN7" s="38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A</v>
      </c>
      <c r="AO7" s="38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B</v>
      </c>
      <c r="AP7" s="38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B</v>
      </c>
      <c r="AQ7" s="18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VEGETABLES</v>
      </c>
      <c r="AR7" s="18"/>
      <c r="AS7" s="18" t="str">
        <f>INDEX(tbl_products[lose_modifier_group],
MATCH(tbl_product_preparations[[#This Row],[product_key]],
tbl_products[product_key],0))</f>
        <v>VEGETABLES</v>
      </c>
      <c r="AT7" s="18">
        <f>INDEX(BONUS_MALUS_LOSE[Modifier],
MATCH(tbl_product_preparations[[#This Row],[lose_modifier_group]],
BONUS_MALUS_LOSE[Group],0))</f>
        <v>5</v>
      </c>
      <c r="AU7" s="18" t="str">
        <f>INDEX(tbl_products[maintain_modifier_group],
MATCH(tbl_product_preparations[[#This Row],[product_key]],
tbl_products[product_key],0))</f>
        <v>VEGETABLES</v>
      </c>
      <c r="AV7" s="18">
        <f>INDEX(BONUS_MALUS_MAINTAIN[Modifier],
MATCH(tbl_product_preparations[[#This Row],[maintain_modifier_group]],
BONUS_MALUS_MAINTAIN[Group],0))</f>
        <v>3</v>
      </c>
      <c r="AW7" s="18" t="str">
        <f>INDEX(tbl_products[gain_modifier_group],
MATCH(tbl_product_preparations[[#This Row],[product_key]],
tbl_products[product_key],0))</f>
        <v>VEGETABLES</v>
      </c>
      <c r="AX7" s="18">
        <f>INDEX(BONUS_MALUS_GAIN[Modifier],
MATCH(tbl_product_preparations[[#This Row],[gain_modifier_group]],
BONUS_MALUS_GAIN[Group],0))</f>
        <v>-2</v>
      </c>
      <c r="AY7" s="18">
        <f>INDEX(PREPARATION_MODIFIERS[lose_preparation_modifier],
MATCH(tbl_product_preparations[[#This Row],[preparation_key]],
PREPARATION_MODIFIERS[preparation_key],0))</f>
        <v>0</v>
      </c>
      <c r="AZ7" s="18">
        <f>INDEX(PREPARATION_MODIFIERS[maintain_preparation_modifier],
MATCH(tbl_product_preparations[[#This Row],[preparation_key]],
PREPARATION_MODIFIERS[preparation_key],0))</f>
        <v>0</v>
      </c>
      <c r="BA7" s="18">
        <f>INDEX(PREPARATION_MODIFIERS[gain_preparation_modifier],
MATCH(tbl_product_preparations[[#This Row],[preparation_key]],
PREPARATION_MODIFIERS[preparation_key],0))</f>
        <v>0</v>
      </c>
    </row>
    <row r="8" spans="1:53" x14ac:dyDescent="0.2">
      <c r="A8" s="33" t="s">
        <v>1061</v>
      </c>
      <c r="B8" s="33" t="s">
        <v>365</v>
      </c>
      <c r="C8" s="33" t="s">
        <v>245</v>
      </c>
      <c r="D8" s="31" t="s">
        <v>1078</v>
      </c>
      <c r="E8" s="52" t="str">
        <f>IF(tbl_product_preparations[[#This Row],[source_key]]="MANUFACTURER","MANUFACTURER",
IF(tbl_product_preparations[[#This Row],[source_key]]="CALCULATED","CALCULATED",
"REAL"))</f>
        <v>REAL</v>
      </c>
      <c r="F8" s="52" t="str">
        <f>IF(LEFT(tbl_product_preparations[[#This Row],[source_key]],4)="USDA","US","EU")</f>
        <v>US</v>
      </c>
      <c r="G8" s="32">
        <v>20</v>
      </c>
      <c r="H8" s="18" t="str">
        <f>IF(
   ISNUMBER(tbl_product_preparations[[#This Row],[density_lookup]]),
   ROUND(tbl_product_preparations[[#This Row],[kcal_per_100g]]*tbl_product_preparations[[#This Row],[density_lookup]],1),
   ""
)</f>
        <v/>
      </c>
      <c r="I8" s="32">
        <v>2.2000000000000002</v>
      </c>
      <c r="J8" s="32">
        <v>3.8</v>
      </c>
      <c r="K8" s="32">
        <v>0.1</v>
      </c>
      <c r="L8" s="32">
        <v>0</v>
      </c>
      <c r="M8" s="32">
        <v>2.1</v>
      </c>
      <c r="N8" s="32">
        <v>1.88</v>
      </c>
      <c r="O8" s="46">
        <f>IF(tbl_product_preparations[[#This Row],[sugar_per_100g]]=0,tbl_product_preparations[[#This Row],[carbs_per_100g]],tbl_product_preparations[[#This Row],[sugar_per_100g]])</f>
        <v>1.88</v>
      </c>
      <c r="P8" s="36">
        <v>2E-3</v>
      </c>
      <c r="Q8" s="50">
        <f>IF(tbl_product_preparations[[#This Row],[sodium_per_100g]]=0,
tbl_product_preparations[[#This Row],[salt_per_100g]]/2.5,
tbl_product_preparations[[#This Row],[sodium_per_100g]])</f>
        <v>2E-3</v>
      </c>
      <c r="R8" s="24">
        <f>ROUND(tbl_product_preparations[[#This Row],[sodium_per_100g]]*2.5,3)</f>
        <v>5.0000000000000001E-3</v>
      </c>
      <c r="S8" s="24">
        <f>IF(tbl_product_preparations[[#This Row],[salt_per_100g]]=0,
tbl_product_preparations[[#This Row],[sodium_per_100g]]*2.5,
tbl_product_preparations[[#This Row],[salt_per_100g]])</f>
        <v>5.0000000000000001E-3</v>
      </c>
      <c r="T8" s="32">
        <v>93.2</v>
      </c>
      <c r="U8" s="14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ERROR</v>
      </c>
      <c r="V8" s="18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29.099999999999998</v>
      </c>
      <c r="W8" s="18">
        <f>IF(tbl_product_preparations[[#This Row],[kcal_per_100g]]=0,0,ABS((tbl_product_preparations[[#This Row],[kcal_per_100g]]-tbl_product_preparations[[#This Row],[kcal_calc]])/tbl_product_preparations[[#This Row],[kcal_per_100g]])*100)</f>
        <v>45.499999999999993</v>
      </c>
      <c r="X8" s="18">
        <f>ROUND(tbl_product_preparations[[#This Row],[kcal_calc]],1)</f>
        <v>29.1</v>
      </c>
      <c r="Y8" s="18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101.402</v>
      </c>
      <c r="Z8" s="18" t="str">
        <f>IF(
  tbl_product_preparations[[#This Row],[macro_sum]] &lt;=
  100 + _xlfn.XLOOKUP("WATER_TOTAL_TOLERANCE",tbl_config[config_key],tbl_config[config_value]),
  "OK",
  "ERROR"
)</f>
        <v>OK</v>
      </c>
      <c r="AA8" s="14" t="str">
        <f>_xlfn.LET(
   _xlpm.d, _xlfn.XLOOKUP(tbl_product_preparations[[#This Row],[product_key]],tbl_products[product_key],tbl_products[density_g_per_ml]),
   IF(AND(ISNUMBER(_xlpm.d), _xlpm.d&gt;0), _xlpm.d, "")
)</f>
        <v/>
      </c>
      <c r="AB8" s="18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8" s="18" cm="1">
        <f t="array" ref="AC8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88.249690258459552</v>
      </c>
      <c r="AD8" s="18" cm="1">
        <f t="array" ref="AD8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72.614903707369095</v>
      </c>
      <c r="AE8" s="18" cm="1">
        <f t="array" ref="AE8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60.653065971263345</v>
      </c>
      <c r="AF8" s="18">
        <f>IF(tbl_product_preparations[[#This Row],[kcal_per_100g]]&lt;5,
 0,
 MAX(0,MIN(100,
  ((tbl_product_preparations[[#This Row],[protein_per_100g]]/tbl_product_preparations[[#This Row],[kcal_per_100g]]*100 - 1) / 7 * 100)
 ))
)</f>
        <v>100</v>
      </c>
      <c r="AG8" s="18">
        <f>IF(tbl_product_preparations[[#This Row],[kcal_per_100g]]&lt;5,
 0,
 MAX(0,MIN(100,(tbl_product_preparations[[#This Row],[fiber_per_100g]]/8*100)))
)</f>
        <v>26.25</v>
      </c>
      <c r="AH8" s="18">
        <f>MAX(0,MIN(100,100-(tbl_product_preparations[[#This Row],[sugar_per_100g]]/15*100)))</f>
        <v>87.466666666666669</v>
      </c>
      <c r="AI8" s="18">
        <f>MAX(0,100-(tbl_product_preparations[[#This Row],[alcohol_per_100g]]*50))</f>
        <v>100</v>
      </c>
      <c r="AJ8" s="18">
        <f>ROUND(tbl_product_preparations[[#This Row],[water_percent]],0)</f>
        <v>93</v>
      </c>
      <c r="AK8" s="18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84</v>
      </c>
      <c r="AL8" s="18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77</v>
      </c>
      <c r="AM8" s="18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71</v>
      </c>
      <c r="AN8" s="38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B</v>
      </c>
      <c r="AO8" s="38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B</v>
      </c>
      <c r="AP8" s="38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B</v>
      </c>
      <c r="AQ8" s="18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VEGETABLES</v>
      </c>
      <c r="AR8" s="18"/>
      <c r="AS8" s="18" t="str">
        <f>INDEX(tbl_products[lose_modifier_group],
MATCH(tbl_product_preparations[[#This Row],[product_key]],
tbl_products[product_key],0))</f>
        <v>VEGETABLES</v>
      </c>
      <c r="AT8" s="18">
        <f>INDEX(BONUS_MALUS_LOSE[Modifier],
MATCH(tbl_product_preparations[[#This Row],[lose_modifier_group]],
BONUS_MALUS_LOSE[Group],0))</f>
        <v>5</v>
      </c>
      <c r="AU8" s="18" t="str">
        <f>INDEX(tbl_products[maintain_modifier_group],
MATCH(tbl_product_preparations[[#This Row],[product_key]],
tbl_products[product_key],0))</f>
        <v>VEGETABLES</v>
      </c>
      <c r="AV8" s="18">
        <f>INDEX(BONUS_MALUS_MAINTAIN[Modifier],
MATCH(tbl_product_preparations[[#This Row],[maintain_modifier_group]],
BONUS_MALUS_MAINTAIN[Group],0))</f>
        <v>3</v>
      </c>
      <c r="AW8" s="18" t="str">
        <f>INDEX(tbl_products[gain_modifier_group],
MATCH(tbl_product_preparations[[#This Row],[product_key]],
tbl_products[product_key],0))</f>
        <v>VEGETABLES</v>
      </c>
      <c r="AX8" s="18">
        <f>INDEX(BONUS_MALUS_GAIN[Modifier],
MATCH(tbl_product_preparations[[#This Row],[gain_modifier_group]],
BONUS_MALUS_GAIN[Group],0))</f>
        <v>-2</v>
      </c>
      <c r="AY8" s="18">
        <f>INDEX(PREPARATION_MODIFIERS[lose_preparation_modifier],
MATCH(tbl_product_preparations[[#This Row],[preparation_key]],
PREPARATION_MODIFIERS[preparation_key],0))</f>
        <v>0</v>
      </c>
      <c r="AZ8" s="18">
        <f>INDEX(PREPARATION_MODIFIERS[maintain_preparation_modifier],
MATCH(tbl_product_preparations[[#This Row],[preparation_key]],
PREPARATION_MODIFIERS[preparation_key],0))</f>
        <v>0</v>
      </c>
      <c r="BA8" s="18">
        <f>INDEX(PREPARATION_MODIFIERS[gain_preparation_modifier],
MATCH(tbl_product_preparations[[#This Row],[preparation_key]],
PREPARATION_MODIFIERS[preparation_key],0))</f>
        <v>0</v>
      </c>
    </row>
    <row r="9" spans="1:53" x14ac:dyDescent="0.2">
      <c r="A9" s="33" t="s">
        <v>1063</v>
      </c>
      <c r="B9" s="33" t="s">
        <v>363</v>
      </c>
      <c r="C9" s="33" t="s">
        <v>160</v>
      </c>
      <c r="D9" s="31" t="s">
        <v>1080</v>
      </c>
      <c r="E9" s="52" t="str">
        <f>IF(tbl_product_preparations[[#This Row],[source_key]]="MANUFACTURER","MANUFACTURER",
IF(tbl_product_preparations[[#This Row],[source_key]]="CALCULATED","CALCULATED",
"REAL"))</f>
        <v>REAL</v>
      </c>
      <c r="F9" s="52" t="str">
        <f>IF(LEFT(tbl_product_preparations[[#This Row],[source_key]],4)="USDA","US","EU")</f>
        <v>EU</v>
      </c>
      <c r="G9" s="32">
        <v>27</v>
      </c>
      <c r="H9" s="18" t="str">
        <f>IF(
   ISNUMBER(tbl_product_preparations[[#This Row],[density_lookup]]),
   ROUND(tbl_product_preparations[[#This Row],[kcal_per_100g]]*tbl_product_preparations[[#This Row],[density_lookup]],1),
   ""
)</f>
        <v/>
      </c>
      <c r="I9" s="32">
        <v>2.7</v>
      </c>
      <c r="J9" s="32">
        <v>1.7</v>
      </c>
      <c r="K9" s="32">
        <v>0.3</v>
      </c>
      <c r="L9" s="32">
        <v>0</v>
      </c>
      <c r="M9" s="32">
        <v>2.2000000000000002</v>
      </c>
      <c r="N9" s="32">
        <v>1.3</v>
      </c>
      <c r="O9" s="46">
        <f>IF(tbl_product_preparations[[#This Row],[sugar_per_100g]]=0,tbl_product_preparations[[#This Row],[carbs_per_100g]],tbl_product_preparations[[#This Row],[sugar_per_100g]])</f>
        <v>1.3</v>
      </c>
      <c r="P9" s="36">
        <v>3.0000000000000001E-3</v>
      </c>
      <c r="Q9" s="50">
        <f>IF(tbl_product_preparations[[#This Row],[sodium_per_100g]]=0,
tbl_product_preparations[[#This Row],[salt_per_100g]]/2.5,
tbl_product_preparations[[#This Row],[sodium_per_100g]])</f>
        <v>3.0000000000000001E-3</v>
      </c>
      <c r="R9" s="24">
        <f>ROUND(tbl_product_preparations[[#This Row],[sodium_per_100g]]*2.5,3)</f>
        <v>8.0000000000000002E-3</v>
      </c>
      <c r="S9" s="24">
        <f>IF(tbl_product_preparations[[#This Row],[salt_per_100g]]=0,
tbl_product_preparations[[#This Row],[sodium_per_100g]]*2.5,
tbl_product_preparations[[#This Row],[salt_per_100g]])</f>
        <v>8.0000000000000002E-3</v>
      </c>
      <c r="T9" s="32">
        <v>92.7</v>
      </c>
      <c r="U9" s="14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9" s="18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24.700000000000003</v>
      </c>
      <c r="W9" s="18">
        <f>IF(tbl_product_preparations[[#This Row],[kcal_per_100g]]=0,0,ABS((tbl_product_preparations[[#This Row],[kcal_per_100g]]-tbl_product_preparations[[#This Row],[kcal_calc]])/tbl_product_preparations[[#This Row],[kcal_per_100g]])*100)</f>
        <v>8.5185185185185084</v>
      </c>
      <c r="X9" s="18">
        <f>ROUND(tbl_product_preparations[[#This Row],[kcal_calc]],1)</f>
        <v>24.7</v>
      </c>
      <c r="Y9" s="18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99.603000000000009</v>
      </c>
      <c r="Z9" s="18" t="str">
        <f>IF(
  tbl_product_preparations[[#This Row],[macro_sum]] &lt;=
  100 + _xlfn.XLOOKUP("WATER_TOTAL_TOLERANCE",tbl_config[config_key],tbl_config[config_value]),
  "OK",
  "ERROR"
)</f>
        <v>OK</v>
      </c>
      <c r="AA9" s="14" t="str">
        <f>_xlfn.LET(
   _xlpm.d, _xlfn.XLOOKUP(tbl_product_preparations[[#This Row],[product_key]],tbl_products[product_key],tbl_products[density_g_per_ml]),
   IF(AND(ISNUMBER(_xlpm.d), _xlpm.d&gt;0), _xlpm.d, "")
)</f>
        <v/>
      </c>
      <c r="AB9" s="18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9" s="18" cm="1">
        <f t="array" ref="AC9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98.881304461123307</v>
      </c>
      <c r="AD9" s="18" cm="1">
        <f t="array" ref="AD9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87.354118597885019</v>
      </c>
      <c r="AE9" s="18" cm="1">
        <f t="array" ref="AE9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71.154792928753679</v>
      </c>
      <c r="AF9" s="18">
        <f>IF(tbl_product_preparations[[#This Row],[kcal_per_100g]]&lt;5,
 0,
 MAX(0,MIN(100,
  ((tbl_product_preparations[[#This Row],[protein_per_100g]]/tbl_product_preparations[[#This Row],[kcal_per_100g]]*100 - 1) / 7 * 100)
 ))
)</f>
        <v>100</v>
      </c>
      <c r="AG9" s="18">
        <f>IF(tbl_product_preparations[[#This Row],[kcal_per_100g]]&lt;5,
 0,
 MAX(0,MIN(100,(tbl_product_preparations[[#This Row],[fiber_per_100g]]/8*100)))
)</f>
        <v>27.500000000000004</v>
      </c>
      <c r="AH9" s="18">
        <f>MAX(0,MIN(100,100-(tbl_product_preparations[[#This Row],[sugar_per_100g]]/15*100)))</f>
        <v>91.333333333333329</v>
      </c>
      <c r="AI9" s="18">
        <f>MAX(0,100-(tbl_product_preparations[[#This Row],[alcohol_per_100g]]*50))</f>
        <v>100</v>
      </c>
      <c r="AJ9" s="18">
        <f>ROUND(tbl_product_preparations[[#This Row],[water_percent]],0)</f>
        <v>93</v>
      </c>
      <c r="AK9" s="18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89</v>
      </c>
      <c r="AL9" s="18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83</v>
      </c>
      <c r="AM9" s="18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78</v>
      </c>
      <c r="AN9" s="38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A</v>
      </c>
      <c r="AO9" s="38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A</v>
      </c>
      <c r="AP9" s="38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B</v>
      </c>
      <c r="AQ9" s="18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VEGETABLES</v>
      </c>
      <c r="AR9" s="18"/>
      <c r="AS9" s="18" t="str">
        <f>INDEX(tbl_products[lose_modifier_group],
MATCH(tbl_product_preparations[[#This Row],[product_key]],
tbl_products[product_key],0))</f>
        <v>VEGETABLES</v>
      </c>
      <c r="AT9" s="18">
        <f>INDEX(BONUS_MALUS_LOSE[Modifier],
MATCH(tbl_product_preparations[[#This Row],[lose_modifier_group]],
BONUS_MALUS_LOSE[Group],0))</f>
        <v>5</v>
      </c>
      <c r="AU9" s="18" t="str">
        <f>INDEX(tbl_products[maintain_modifier_group],
MATCH(tbl_product_preparations[[#This Row],[product_key]],
tbl_products[product_key],0))</f>
        <v>VEGETABLES</v>
      </c>
      <c r="AV9" s="18">
        <f>INDEX(BONUS_MALUS_MAINTAIN[Modifier],
MATCH(tbl_product_preparations[[#This Row],[maintain_modifier_group]],
BONUS_MALUS_MAINTAIN[Group],0))</f>
        <v>3</v>
      </c>
      <c r="AW9" s="18" t="str">
        <f>INDEX(tbl_products[gain_modifier_group],
MATCH(tbl_product_preparations[[#This Row],[product_key]],
tbl_products[product_key],0))</f>
        <v>VEGETABLES</v>
      </c>
      <c r="AX9" s="18">
        <f>INDEX(BONUS_MALUS_GAIN[Modifier],
MATCH(tbl_product_preparations[[#This Row],[gain_modifier_group]],
BONUS_MALUS_GAIN[Group],0))</f>
        <v>-2</v>
      </c>
      <c r="AY9" s="18">
        <f>INDEX(PREPARATION_MODIFIERS[lose_preparation_modifier],
MATCH(tbl_product_preparations[[#This Row],[preparation_key]],
PREPARATION_MODIFIERS[preparation_key],0))</f>
        <v>0</v>
      </c>
      <c r="AZ9" s="18">
        <f>INDEX(PREPARATION_MODIFIERS[maintain_preparation_modifier],
MATCH(tbl_product_preparations[[#This Row],[preparation_key]],
PREPARATION_MODIFIERS[preparation_key],0))</f>
        <v>0</v>
      </c>
      <c r="BA9" s="18">
        <f>INDEX(PREPARATION_MODIFIERS[gain_preparation_modifier],
MATCH(tbl_product_preparations[[#This Row],[preparation_key]],
PREPARATION_MODIFIERS[preparation_key],0))</f>
        <v>0</v>
      </c>
    </row>
    <row r="10" spans="1:53" x14ac:dyDescent="0.2">
      <c r="A10" s="33" t="s">
        <v>1063</v>
      </c>
      <c r="B10" s="33" t="s">
        <v>365</v>
      </c>
      <c r="C10" s="33" t="s">
        <v>160</v>
      </c>
      <c r="D10" s="31" t="s">
        <v>1081</v>
      </c>
      <c r="E10" s="52" t="str">
        <f>IF(tbl_product_preparations[[#This Row],[source_key]]="MANUFACTURER","MANUFACTURER",
IF(tbl_product_preparations[[#This Row],[source_key]]="CALCULATED","CALCULATED",
"REAL"))</f>
        <v>REAL</v>
      </c>
      <c r="F10" s="52" t="str">
        <f>IF(LEFT(tbl_product_preparations[[#This Row],[source_key]],4)="USDA","US","EU")</f>
        <v>EU</v>
      </c>
      <c r="G10" s="32">
        <v>28</v>
      </c>
      <c r="H10" s="18" t="str">
        <f>IF(
   ISNUMBER(tbl_product_preparations[[#This Row],[density_lookup]]),
   ROUND(tbl_product_preparations[[#This Row],[kcal_per_100g]]*tbl_product_preparations[[#This Row],[density_lookup]],1),
   ""
)</f>
        <v/>
      </c>
      <c r="I10" s="32">
        <v>3</v>
      </c>
      <c r="J10" s="32">
        <v>2.8</v>
      </c>
      <c r="K10" s="32">
        <v>0.1</v>
      </c>
      <c r="L10" s="32">
        <v>0</v>
      </c>
      <c r="M10" s="32">
        <v>2.1</v>
      </c>
      <c r="N10" s="32">
        <v>2.8</v>
      </c>
      <c r="O10" s="46">
        <f>IF(tbl_product_preparations[[#This Row],[sugar_per_100g]]=0,tbl_product_preparations[[#This Row],[carbs_per_100g]],tbl_product_preparations[[#This Row],[sugar_per_100g]])</f>
        <v>2.8</v>
      </c>
      <c r="P10" s="36">
        <v>2E-3</v>
      </c>
      <c r="Q10" s="50">
        <f>IF(tbl_product_preparations[[#This Row],[sodium_per_100g]]=0,
tbl_product_preparations[[#This Row],[salt_per_100g]]/2.5,
tbl_product_preparations[[#This Row],[sodium_per_100g]])</f>
        <v>2E-3</v>
      </c>
      <c r="R10" s="24">
        <f>ROUND(tbl_product_preparations[[#This Row],[sodium_per_100g]]*2.5,3)</f>
        <v>5.0000000000000001E-3</v>
      </c>
      <c r="S10" s="24">
        <f>IF(tbl_product_preparations[[#This Row],[salt_per_100g]]=0,
tbl_product_preparations[[#This Row],[sodium_per_100g]]*2.5,
tbl_product_preparations[[#This Row],[salt_per_100g]])</f>
        <v>5.0000000000000001E-3</v>
      </c>
      <c r="T10" s="32">
        <v>92</v>
      </c>
      <c r="U10" s="14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10" s="18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28.299999999999997</v>
      </c>
      <c r="W10" s="18">
        <f>IF(tbl_product_preparations[[#This Row],[kcal_per_100g]]=0,0,ABS((tbl_product_preparations[[#This Row],[kcal_per_100g]]-tbl_product_preparations[[#This Row],[kcal_calc]])/tbl_product_preparations[[#This Row],[kcal_per_100g]])*100)</f>
        <v>1.0714285714285612</v>
      </c>
      <c r="X10" s="18">
        <f>ROUND(tbl_product_preparations[[#This Row],[kcal_calc]],1)</f>
        <v>28.3</v>
      </c>
      <c r="Y10" s="18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100.002</v>
      </c>
      <c r="Z10" s="18" t="str">
        <f>IF(
  tbl_product_preparations[[#This Row],[macro_sum]] &lt;=
  100 + _xlfn.XLOOKUP("WATER_TOTAL_TOLERANCE",tbl_config[config_key],tbl_config[config_value]),
  "OK",
  "ERROR"
)</f>
        <v>OK</v>
      </c>
      <c r="AA10" s="14" t="str">
        <f>_xlfn.LET(
   _xlpm.d, _xlfn.XLOOKUP(tbl_product_preparations[[#This Row],[product_key]],tbl_products[product_key],tbl_products[density_g_per_ml]),
   IF(AND(ISNUMBER(_xlpm.d), _xlpm.d&gt;0), _xlpm.d, "")
)</f>
        <v/>
      </c>
      <c r="AB10" s="18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10" s="18" cm="1">
        <f t="array" ref="AC10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99.501247919268238</v>
      </c>
      <c r="AD10" s="18" cm="1">
        <f t="array" ref="AD10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89.11878885041844</v>
      </c>
      <c r="AE10" s="18" cm="1">
        <f t="array" ref="AE10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72.614903707369095</v>
      </c>
      <c r="AF10" s="18">
        <f>IF(tbl_product_preparations[[#This Row],[kcal_per_100g]]&lt;5,
 0,
 MAX(0,MIN(100,
  ((tbl_product_preparations[[#This Row],[protein_per_100g]]/tbl_product_preparations[[#This Row],[kcal_per_100g]]*100 - 1) / 7 * 100)
 ))
)</f>
        <v>100</v>
      </c>
      <c r="AG10" s="18">
        <f>IF(tbl_product_preparations[[#This Row],[kcal_per_100g]]&lt;5,
 0,
 MAX(0,MIN(100,(tbl_product_preparations[[#This Row],[fiber_per_100g]]/8*100)))
)</f>
        <v>26.25</v>
      </c>
      <c r="AH10" s="18">
        <f>MAX(0,MIN(100,100-(tbl_product_preparations[[#This Row],[sugar_per_100g]]/15*100)))</f>
        <v>81.333333333333343</v>
      </c>
      <c r="AI10" s="18">
        <f>MAX(0,100-(tbl_product_preparations[[#This Row],[alcohol_per_100g]]*50))</f>
        <v>100</v>
      </c>
      <c r="AJ10" s="18">
        <f>ROUND(tbl_product_preparations[[#This Row],[water_percent]],0)</f>
        <v>92</v>
      </c>
      <c r="AK10" s="18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87</v>
      </c>
      <c r="AL10" s="18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82</v>
      </c>
      <c r="AM10" s="18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77</v>
      </c>
      <c r="AN10" s="38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A</v>
      </c>
      <c r="AO10" s="38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A</v>
      </c>
      <c r="AP10" s="38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B</v>
      </c>
      <c r="AQ10" s="18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VEGETABLES</v>
      </c>
      <c r="AR10" s="18"/>
      <c r="AS10" s="18" t="str">
        <f>INDEX(tbl_products[lose_modifier_group],
MATCH(tbl_product_preparations[[#This Row],[product_key]],
tbl_products[product_key],0))</f>
        <v>VEGETABLES</v>
      </c>
      <c r="AT10" s="18">
        <f>INDEX(BONUS_MALUS_LOSE[Modifier],
MATCH(tbl_product_preparations[[#This Row],[lose_modifier_group]],
BONUS_MALUS_LOSE[Group],0))</f>
        <v>5</v>
      </c>
      <c r="AU10" s="18" t="str">
        <f>INDEX(tbl_products[maintain_modifier_group],
MATCH(tbl_product_preparations[[#This Row],[product_key]],
tbl_products[product_key],0))</f>
        <v>VEGETABLES</v>
      </c>
      <c r="AV10" s="18">
        <f>INDEX(BONUS_MALUS_MAINTAIN[Modifier],
MATCH(tbl_product_preparations[[#This Row],[maintain_modifier_group]],
BONUS_MALUS_MAINTAIN[Group],0))</f>
        <v>3</v>
      </c>
      <c r="AW10" s="18" t="str">
        <f>INDEX(tbl_products[gain_modifier_group],
MATCH(tbl_product_preparations[[#This Row],[product_key]],
tbl_products[product_key],0))</f>
        <v>VEGETABLES</v>
      </c>
      <c r="AX10" s="18">
        <f>INDEX(BONUS_MALUS_GAIN[Modifier],
MATCH(tbl_product_preparations[[#This Row],[gain_modifier_group]],
BONUS_MALUS_GAIN[Group],0))</f>
        <v>-2</v>
      </c>
      <c r="AY10" s="18">
        <f>INDEX(PREPARATION_MODIFIERS[lose_preparation_modifier],
MATCH(tbl_product_preparations[[#This Row],[preparation_key]],
PREPARATION_MODIFIERS[preparation_key],0))</f>
        <v>0</v>
      </c>
      <c r="AZ10" s="18">
        <f>INDEX(PREPARATION_MODIFIERS[maintain_preparation_modifier],
MATCH(tbl_product_preparations[[#This Row],[preparation_key]],
PREPARATION_MODIFIERS[preparation_key],0))</f>
        <v>0</v>
      </c>
      <c r="BA10" s="18">
        <f>INDEX(PREPARATION_MODIFIERS[gain_preparation_modifier],
MATCH(tbl_product_preparations[[#This Row],[preparation_key]],
PREPARATION_MODIFIERS[preparation_key],0))</f>
        <v>0</v>
      </c>
    </row>
    <row r="11" spans="1:53" x14ac:dyDescent="0.2">
      <c r="A11" s="33" t="s">
        <v>1064</v>
      </c>
      <c r="B11" s="33" t="s">
        <v>363</v>
      </c>
      <c r="C11" s="33" t="s">
        <v>160</v>
      </c>
      <c r="D11" s="31" t="s">
        <v>1082</v>
      </c>
      <c r="E11" s="52" t="str">
        <f>IF(tbl_product_preparations[[#This Row],[source_key]]="MANUFACTURER","MANUFACTURER",
IF(tbl_product_preparations[[#This Row],[source_key]]="CALCULATED","CALCULATED",
"REAL"))</f>
        <v>REAL</v>
      </c>
      <c r="F11" s="52" t="str">
        <f>IF(LEFT(tbl_product_preparations[[#This Row],[source_key]],4)="USDA","US","EU")</f>
        <v>EU</v>
      </c>
      <c r="G11" s="32">
        <v>21</v>
      </c>
      <c r="H11" s="18" t="str">
        <f>IF(
   ISNUMBER(tbl_product_preparations[[#This Row],[density_lookup]]),
   ROUND(tbl_product_preparations[[#This Row],[kcal_per_100g]]*tbl_product_preparations[[#This Row],[density_lookup]],1),
   ""
)</f>
        <v/>
      </c>
      <c r="I11" s="32">
        <v>1</v>
      </c>
      <c r="J11" s="32">
        <v>3</v>
      </c>
      <c r="K11" s="32">
        <v>0.3</v>
      </c>
      <c r="L11" s="32">
        <v>0</v>
      </c>
      <c r="M11" s="32">
        <v>1.2</v>
      </c>
      <c r="N11" s="32">
        <v>1</v>
      </c>
      <c r="O11" s="46">
        <f>IF(tbl_product_preparations[[#This Row],[sugar_per_100g]]=0,tbl_product_preparations[[#This Row],[carbs_per_100g]],tbl_product_preparations[[#This Row],[sugar_per_100g]])</f>
        <v>1</v>
      </c>
      <c r="P11" s="36">
        <v>5.0000000000000001E-3</v>
      </c>
      <c r="Q11" s="50">
        <f>IF(tbl_product_preparations[[#This Row],[sodium_per_100g]]=0,
tbl_product_preparations[[#This Row],[salt_per_100g]]/2.5,
tbl_product_preparations[[#This Row],[sodium_per_100g]])</f>
        <v>5.0000000000000001E-3</v>
      </c>
      <c r="R11" s="24">
        <f>ROUND(tbl_product_preparations[[#This Row],[sodium_per_100g]]*2.5,3)</f>
        <v>1.2999999999999999E-2</v>
      </c>
      <c r="S11" s="24">
        <f>IF(tbl_product_preparations[[#This Row],[salt_per_100g]]=0,
tbl_product_preparations[[#This Row],[sodium_per_100g]]*2.5,
tbl_product_preparations[[#This Row],[salt_per_100g]])</f>
        <v>1.2999999999999999E-2</v>
      </c>
      <c r="T11" s="32">
        <v>94</v>
      </c>
      <c r="U11" s="14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11" s="18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21.099999999999998</v>
      </c>
      <c r="W11" s="18">
        <f>IF(tbl_product_preparations[[#This Row],[kcal_per_100g]]=0,0,ABS((tbl_product_preparations[[#This Row],[kcal_per_100g]]-tbl_product_preparations[[#This Row],[kcal_calc]])/tbl_product_preparations[[#This Row],[kcal_per_100g]])*100)</f>
        <v>0.47619047619046601</v>
      </c>
      <c r="X11" s="18">
        <f>ROUND(tbl_product_preparations[[#This Row],[kcal_calc]],1)</f>
        <v>21.1</v>
      </c>
      <c r="Y11" s="18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99.504999999999995</v>
      </c>
      <c r="Z11" s="18" t="str">
        <f>IF(
  tbl_product_preparations[[#This Row],[macro_sum]] &lt;=
  100 + _xlfn.XLOOKUP("WATER_TOTAL_TOLERANCE",tbl_config[config_key],tbl_config[config_value]),
  "OK",
  "ERROR"
)</f>
        <v>OK</v>
      </c>
      <c r="AA11" s="14" t="str">
        <f>_xlfn.LET(
   _xlpm.d, _xlfn.XLOOKUP(tbl_product_preparations[[#This Row],[product_key]],tbl_products[product_key],tbl_products[density_g_per_ml]),
   IF(AND(ISNUMBER(_xlpm.d), _xlpm.d&gt;0), _xlpm.d, "")
)</f>
        <v/>
      </c>
      <c r="AB11" s="18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11" s="18" cm="1">
        <f t="array" ref="AC11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90.370707787319603</v>
      </c>
      <c r="AD11" s="18" cm="1">
        <f t="array" ref="AD11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74.91620228249927</v>
      </c>
      <c r="AE11" s="18" cm="1">
        <f t="array" ref="AE11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62.169074774719327</v>
      </c>
      <c r="AF11" s="18">
        <f>IF(tbl_product_preparations[[#This Row],[kcal_per_100g]]&lt;5,
 0,
 MAX(0,MIN(100,
  ((tbl_product_preparations[[#This Row],[protein_per_100g]]/tbl_product_preparations[[#This Row],[kcal_per_100g]]*100 - 1) / 7 * 100)
 ))
)</f>
        <v>53.741496598639458</v>
      </c>
      <c r="AG11" s="18">
        <f>IF(tbl_product_preparations[[#This Row],[kcal_per_100g]]&lt;5,
 0,
 MAX(0,MIN(100,(tbl_product_preparations[[#This Row],[fiber_per_100g]]/8*100)))
)</f>
        <v>15</v>
      </c>
      <c r="AH11" s="18">
        <f>MAX(0,MIN(100,100-(tbl_product_preparations[[#This Row],[sugar_per_100g]]/15*100)))</f>
        <v>93.333333333333329</v>
      </c>
      <c r="AI11" s="18">
        <f>MAX(0,100-(tbl_product_preparations[[#This Row],[alcohol_per_100g]]*50))</f>
        <v>100</v>
      </c>
      <c r="AJ11" s="18">
        <f>ROUND(tbl_product_preparations[[#This Row],[water_percent]],0)</f>
        <v>94</v>
      </c>
      <c r="AK11" s="18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76</v>
      </c>
      <c r="AL11" s="18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68</v>
      </c>
      <c r="AM11" s="18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61</v>
      </c>
      <c r="AN11" s="38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B</v>
      </c>
      <c r="AO11" s="38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B</v>
      </c>
      <c r="AP11" s="38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C</v>
      </c>
      <c r="AQ11" s="18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VEGETABLES</v>
      </c>
      <c r="AR11" s="18"/>
      <c r="AS11" s="18" t="str">
        <f>INDEX(tbl_products[lose_modifier_group],
MATCH(tbl_product_preparations[[#This Row],[product_key]],
tbl_products[product_key],0))</f>
        <v>VEGETABLES</v>
      </c>
      <c r="AT11" s="18">
        <f>INDEX(BONUS_MALUS_LOSE[Modifier],
MATCH(tbl_product_preparations[[#This Row],[lose_modifier_group]],
BONUS_MALUS_LOSE[Group],0))</f>
        <v>5</v>
      </c>
      <c r="AU11" s="18" t="str">
        <f>INDEX(tbl_products[maintain_modifier_group],
MATCH(tbl_product_preparations[[#This Row],[product_key]],
tbl_products[product_key],0))</f>
        <v>VEGETABLES</v>
      </c>
      <c r="AV11" s="18">
        <f>INDEX(BONUS_MALUS_MAINTAIN[Modifier],
MATCH(tbl_product_preparations[[#This Row],[maintain_modifier_group]],
BONUS_MALUS_MAINTAIN[Group],0))</f>
        <v>3</v>
      </c>
      <c r="AW11" s="18" t="str">
        <f>INDEX(tbl_products[gain_modifier_group],
MATCH(tbl_product_preparations[[#This Row],[product_key]],
tbl_products[product_key],0))</f>
        <v>VEGETABLES</v>
      </c>
      <c r="AX11" s="18">
        <f>INDEX(BONUS_MALUS_GAIN[Modifier],
MATCH(tbl_product_preparations[[#This Row],[gain_modifier_group]],
BONUS_MALUS_GAIN[Group],0))</f>
        <v>-2</v>
      </c>
      <c r="AY11" s="18">
        <f>INDEX(PREPARATION_MODIFIERS[lose_preparation_modifier],
MATCH(tbl_product_preparations[[#This Row],[preparation_key]],
PREPARATION_MODIFIERS[preparation_key],0))</f>
        <v>0</v>
      </c>
      <c r="AZ11" s="18">
        <f>INDEX(PREPARATION_MODIFIERS[maintain_preparation_modifier],
MATCH(tbl_product_preparations[[#This Row],[preparation_key]],
PREPARATION_MODIFIERS[preparation_key],0))</f>
        <v>0</v>
      </c>
      <c r="BA11" s="18">
        <f>INDEX(PREPARATION_MODIFIERS[gain_preparation_modifier],
MATCH(tbl_product_preparations[[#This Row],[preparation_key]],
PREPARATION_MODIFIERS[preparation_key],0))</f>
        <v>0</v>
      </c>
    </row>
    <row r="12" spans="1:53" x14ac:dyDescent="0.2">
      <c r="A12" s="33" t="s">
        <v>1064</v>
      </c>
      <c r="B12" s="33" t="s">
        <v>365</v>
      </c>
      <c r="C12" s="33" t="s">
        <v>160</v>
      </c>
      <c r="D12" s="31" t="s">
        <v>1083</v>
      </c>
      <c r="E12" s="52" t="str">
        <f>IF(tbl_product_preparations[[#This Row],[source_key]]="MANUFACTURER","MANUFACTURER",
IF(tbl_product_preparations[[#This Row],[source_key]]="CALCULATED","CALCULATED",
"REAL"))</f>
        <v>REAL</v>
      </c>
      <c r="F12" s="52" t="str">
        <f>IF(LEFT(tbl_product_preparations[[#This Row],[source_key]],4)="USDA","US","EU")</f>
        <v>EU</v>
      </c>
      <c r="G12" s="32">
        <v>22</v>
      </c>
      <c r="H12" s="18" t="str">
        <f>IF(
   ISNUMBER(tbl_product_preparations[[#This Row],[density_lookup]]),
   ROUND(tbl_product_preparations[[#This Row],[kcal_per_100g]]*tbl_product_preparations[[#This Row],[density_lookup]],1),
   ""
)</f>
        <v/>
      </c>
      <c r="I12" s="32">
        <v>1</v>
      </c>
      <c r="J12" s="32">
        <v>3</v>
      </c>
      <c r="K12" s="32">
        <v>0.3</v>
      </c>
      <c r="L12" s="32">
        <v>0</v>
      </c>
      <c r="M12" s="32">
        <v>1.7</v>
      </c>
      <c r="N12" s="32">
        <v>1</v>
      </c>
      <c r="O12" s="46">
        <f>IF(tbl_product_preparations[[#This Row],[sugar_per_100g]]=0,tbl_product_preparations[[#This Row],[carbs_per_100g]],tbl_product_preparations[[#This Row],[sugar_per_100g]])</f>
        <v>1</v>
      </c>
      <c r="P12" s="36">
        <v>1E-3</v>
      </c>
      <c r="Q12" s="50">
        <f>IF(tbl_product_preparations[[#This Row],[sodium_per_100g]]=0,
tbl_product_preparations[[#This Row],[salt_per_100g]]/2.5,
tbl_product_preparations[[#This Row],[sodium_per_100g]])</f>
        <v>1E-3</v>
      </c>
      <c r="R12" s="24">
        <f>ROUND(tbl_product_preparations[[#This Row],[sodium_per_100g]]*2.5,3)</f>
        <v>3.0000000000000001E-3</v>
      </c>
      <c r="S12" s="24">
        <f>IF(tbl_product_preparations[[#This Row],[salt_per_100g]]=0,
tbl_product_preparations[[#This Row],[sodium_per_100g]]*2.5,
tbl_product_preparations[[#This Row],[salt_per_100g]])</f>
        <v>3.0000000000000001E-3</v>
      </c>
      <c r="T12" s="32">
        <v>94</v>
      </c>
      <c r="U12" s="14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12" s="18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22.099999999999998</v>
      </c>
      <c r="W12" s="18">
        <f>IF(tbl_product_preparations[[#This Row],[kcal_per_100g]]=0,0,ABS((tbl_product_preparations[[#This Row],[kcal_per_100g]]-tbl_product_preparations[[#This Row],[kcal_calc]])/tbl_product_preparations[[#This Row],[kcal_per_100g]])*100)</f>
        <v>0.45454545454544487</v>
      </c>
      <c r="X12" s="18">
        <f>ROUND(tbl_product_preparations[[#This Row],[kcal_calc]],1)</f>
        <v>22.1</v>
      </c>
      <c r="Y12" s="18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100.001</v>
      </c>
      <c r="Z12" s="18" t="str">
        <f>IF(
  tbl_product_preparations[[#This Row],[macro_sum]] &lt;=
  100 + _xlfn.XLOOKUP("WATER_TOTAL_TOLERANCE",tbl_config[config_key],tbl_config[config_value]),
  "OK",
  "ERROR"
)</f>
        <v>OK</v>
      </c>
      <c r="AA12" s="14" t="str">
        <f>_xlfn.LET(
   _xlpm.d, _xlfn.XLOOKUP(tbl_product_preparations[[#This Row],[product_key]],tbl_products[product_key],tbl_products[density_g_per_ml]),
   IF(AND(ISNUMBER(_xlpm.d), _xlpm.d&gt;0), _xlpm.d, "")
)</f>
        <v/>
      </c>
      <c r="AB12" s="18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12" s="18" cm="1">
        <f t="array" ref="AC12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92.311634638663577</v>
      </c>
      <c r="AD12" s="18" cm="1">
        <f t="array" ref="AD12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77.166867387452626</v>
      </c>
      <c r="AE12" s="18" cm="1">
        <f t="array" ref="AE12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63.68316143717432</v>
      </c>
      <c r="AF12" s="18">
        <f>IF(tbl_product_preparations[[#This Row],[kcal_per_100g]]&lt;5,
 0,
 MAX(0,MIN(100,
  ((tbl_product_preparations[[#This Row],[protein_per_100g]]/tbl_product_preparations[[#This Row],[kcal_per_100g]]*100 - 1) / 7 * 100)
 ))
)</f>
        <v>50.649350649350652</v>
      </c>
      <c r="AG12" s="18">
        <f>IF(tbl_product_preparations[[#This Row],[kcal_per_100g]]&lt;5,
 0,
 MAX(0,MIN(100,(tbl_product_preparations[[#This Row],[fiber_per_100g]]/8*100)))
)</f>
        <v>21.25</v>
      </c>
      <c r="AH12" s="18">
        <f>MAX(0,MIN(100,100-(tbl_product_preparations[[#This Row],[sugar_per_100g]]/15*100)))</f>
        <v>93.333333333333329</v>
      </c>
      <c r="AI12" s="18">
        <f>MAX(0,100-(tbl_product_preparations[[#This Row],[alcohol_per_100g]]*50))</f>
        <v>100</v>
      </c>
      <c r="AJ12" s="18">
        <f>ROUND(tbl_product_preparations[[#This Row],[water_percent]],0)</f>
        <v>94</v>
      </c>
      <c r="AK12" s="18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78</v>
      </c>
      <c r="AL12" s="18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69</v>
      </c>
      <c r="AM12" s="18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61</v>
      </c>
      <c r="AN12" s="38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B</v>
      </c>
      <c r="AO12" s="38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B</v>
      </c>
      <c r="AP12" s="38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C</v>
      </c>
      <c r="AQ12" s="18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VEGETABLES</v>
      </c>
      <c r="AR12" s="18"/>
      <c r="AS12" s="18" t="str">
        <f>INDEX(tbl_products[lose_modifier_group],
MATCH(tbl_product_preparations[[#This Row],[product_key]],
tbl_products[product_key],0))</f>
        <v>VEGETABLES</v>
      </c>
      <c r="AT12" s="18">
        <f>INDEX(BONUS_MALUS_LOSE[Modifier],
MATCH(tbl_product_preparations[[#This Row],[lose_modifier_group]],
BONUS_MALUS_LOSE[Group],0))</f>
        <v>5</v>
      </c>
      <c r="AU12" s="18" t="str">
        <f>INDEX(tbl_products[maintain_modifier_group],
MATCH(tbl_product_preparations[[#This Row],[product_key]],
tbl_products[product_key],0))</f>
        <v>VEGETABLES</v>
      </c>
      <c r="AV12" s="18">
        <f>INDEX(BONUS_MALUS_MAINTAIN[Modifier],
MATCH(tbl_product_preparations[[#This Row],[maintain_modifier_group]],
BONUS_MALUS_MAINTAIN[Group],0))</f>
        <v>3</v>
      </c>
      <c r="AW12" s="18" t="str">
        <f>INDEX(tbl_products[gain_modifier_group],
MATCH(tbl_product_preparations[[#This Row],[product_key]],
tbl_products[product_key],0))</f>
        <v>VEGETABLES</v>
      </c>
      <c r="AX12" s="18">
        <f>INDEX(BONUS_MALUS_GAIN[Modifier],
MATCH(tbl_product_preparations[[#This Row],[gain_modifier_group]],
BONUS_MALUS_GAIN[Group],0))</f>
        <v>-2</v>
      </c>
      <c r="AY12" s="18">
        <f>INDEX(PREPARATION_MODIFIERS[lose_preparation_modifier],
MATCH(tbl_product_preparations[[#This Row],[preparation_key]],
PREPARATION_MODIFIERS[preparation_key],0))</f>
        <v>0</v>
      </c>
      <c r="AZ12" s="18">
        <f>INDEX(PREPARATION_MODIFIERS[maintain_preparation_modifier],
MATCH(tbl_product_preparations[[#This Row],[preparation_key]],
PREPARATION_MODIFIERS[preparation_key],0))</f>
        <v>0</v>
      </c>
      <c r="BA12" s="18">
        <f>INDEX(PREPARATION_MODIFIERS[gain_preparation_modifier],
MATCH(tbl_product_preparations[[#This Row],[preparation_key]],
PREPARATION_MODIFIERS[preparation_key],0))</f>
        <v>0</v>
      </c>
    </row>
    <row r="13" spans="1:53" x14ac:dyDescent="0.2">
      <c r="A13" s="31" t="s">
        <v>452</v>
      </c>
      <c r="B13" s="31" t="s">
        <v>115</v>
      </c>
      <c r="C13" s="33" t="s">
        <v>160</v>
      </c>
      <c r="D13" s="31" t="s">
        <v>456</v>
      </c>
      <c r="E13" s="53" t="str">
        <f>IF(tbl_product_preparations[[#This Row],[source_key]]="MANUFACTURER","MANUFACTURER",
IF(tbl_product_preparations[[#This Row],[source_key]]="CALCULATED","CALCULATED",
"REAL"))</f>
        <v>REAL</v>
      </c>
      <c r="F13" s="53" t="str">
        <f>IF(LEFT(tbl_product_preparations[[#This Row],[source_key]],4)="USDA","US","EU")</f>
        <v>EU</v>
      </c>
      <c r="G13" s="32">
        <v>186</v>
      </c>
      <c r="H13" s="18" t="str">
        <f>IF(
   ISNUMBER(tbl_product_preparations[[#This Row],[density_lookup]]),
   ROUND(tbl_product_preparations[[#This Row],[kcal_per_100g]]*tbl_product_preparations[[#This Row],[density_lookup]],1),
   ""
)</f>
        <v/>
      </c>
      <c r="I13" s="32">
        <v>2</v>
      </c>
      <c r="J13" s="32">
        <v>1.8</v>
      </c>
      <c r="K13" s="32">
        <v>18.399999999999999</v>
      </c>
      <c r="L13" s="32">
        <v>0</v>
      </c>
      <c r="M13" s="32">
        <v>7</v>
      </c>
      <c r="N13" s="32">
        <v>0</v>
      </c>
      <c r="O13" s="46">
        <f>IF(tbl_product_preparations[[#This Row],[sugar_per_100g]]=0,tbl_product_preparations[[#This Row],[carbs_per_100g]],tbl_product_preparations[[#This Row],[sugar_per_100g]])</f>
        <v>1.8</v>
      </c>
      <c r="P13" s="36">
        <v>5.0000000000000001E-3</v>
      </c>
      <c r="Q13" s="50">
        <f>IF(tbl_product_preparations[[#This Row],[sodium_per_100g]]=0,
tbl_product_preparations[[#This Row],[salt_per_100g]]/2.5,
tbl_product_preparations[[#This Row],[sodium_per_100g]])</f>
        <v>5.0000000000000001E-3</v>
      </c>
      <c r="R13" s="24">
        <f>ROUND(tbl_product_preparations[[#This Row],[sodium_per_100g]]*2.5,3)</f>
        <v>1.2999999999999999E-2</v>
      </c>
      <c r="S13" s="24">
        <f>IF(tbl_product_preparations[[#This Row],[salt_per_100g]]=0,
tbl_product_preparations[[#This Row],[sodium_per_100g]]*2.5,
tbl_product_preparations[[#This Row],[salt_per_100g]])</f>
        <v>1.2999999999999999E-2</v>
      </c>
      <c r="T13" s="32">
        <v>72.3</v>
      </c>
      <c r="U13" s="14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13" s="18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194.79999999999998</v>
      </c>
      <c r="W13" s="18">
        <f>IF(tbl_product_preparations[[#This Row],[kcal_per_100g]]=0,0,ABS((tbl_product_preparations[[#This Row],[kcal_per_100g]]-tbl_product_preparations[[#This Row],[kcal_calc]])/tbl_product_preparations[[#This Row],[kcal_per_100g]])*100)</f>
        <v>4.7311827956989152</v>
      </c>
      <c r="X13" s="18">
        <f>ROUND(tbl_product_preparations[[#This Row],[kcal_calc]],1)</f>
        <v>194.8</v>
      </c>
      <c r="Y13" s="18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101.505</v>
      </c>
      <c r="Z13" s="18" t="str">
        <f>IF(
  tbl_product_preparations[[#This Row],[macro_sum]] &lt;=
  100 + _xlfn.XLOOKUP("WATER_TOTAL_TOLERANCE",tbl_config[config_key],tbl_config[config_value]),
  "OK",
  "ERROR"
)</f>
        <v>OK</v>
      </c>
      <c r="AA13" s="14" t="str">
        <f>_xlfn.LET(
   _xlpm.d, _xlfn.XLOOKUP(tbl_product_preparations[[#This Row],[product_key]],tbl_products[product_key],tbl_products[density_g_per_ml]),
   IF(AND(ISNUMBER(_xlpm.d), _xlpm.d&gt;0), _xlpm.d, "")
)</f>
        <v/>
      </c>
      <c r="AB13" s="18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13" s="18" cm="1">
        <f t="array" ref="AC13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0.41185879787872476</v>
      </c>
      <c r="AD13" s="18" cm="1">
        <f t="array" ref="AD13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6.2391827130701332</v>
      </c>
      <c r="AE13" s="18" cm="1">
        <f t="array" ref="AE13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54.607442663970943</v>
      </c>
      <c r="AF13" s="18">
        <f>IF(tbl_product_preparations[[#This Row],[kcal_per_100g]]&lt;5,
 0,
 MAX(0,MIN(100,
  ((tbl_product_preparations[[#This Row],[protein_per_100g]]/tbl_product_preparations[[#This Row],[kcal_per_100g]]*100 - 1) / 7 * 100)
 ))
)</f>
        <v>1.0752688172043032</v>
      </c>
      <c r="AG13" s="18">
        <f>IF(tbl_product_preparations[[#This Row],[kcal_per_100g]]&lt;5,
 0,
 MAX(0,MIN(100,(tbl_product_preparations[[#This Row],[fiber_per_100g]]/8*100)))
)</f>
        <v>87.5</v>
      </c>
      <c r="AH13" s="18">
        <f>MAX(0,MIN(100,100-(tbl_product_preparations[[#This Row],[sugar_per_100g]]/15*100)))</f>
        <v>100</v>
      </c>
      <c r="AI13" s="18">
        <f>MAX(0,100-(tbl_product_preparations[[#This Row],[alcohol_per_100g]]*50))</f>
        <v>100</v>
      </c>
      <c r="AJ13" s="18">
        <f>ROUND(tbl_product_preparations[[#This Row],[water_percent]],0)</f>
        <v>72</v>
      </c>
      <c r="AK13" s="18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48</v>
      </c>
      <c r="AL13" s="18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43</v>
      </c>
      <c r="AM13" s="18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51</v>
      </c>
      <c r="AN13" s="38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D</v>
      </c>
      <c r="AO13" s="38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D</v>
      </c>
      <c r="AP13" s="38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C</v>
      </c>
      <c r="AQ13" s="18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FRUITS</v>
      </c>
      <c r="AR13" s="18"/>
      <c r="AS13" s="18" t="str">
        <f>INDEX(tbl_products[lose_modifier_group],
MATCH(tbl_product_preparations[[#This Row],[product_key]],
tbl_products[product_key],0))</f>
        <v>FRUIT_WHOLE</v>
      </c>
      <c r="AT13" s="18">
        <f>INDEX(BONUS_MALUS_LOSE[Modifier],
MATCH(tbl_product_preparations[[#This Row],[lose_modifier_group]],
BONUS_MALUS_LOSE[Group],0))</f>
        <v>3</v>
      </c>
      <c r="AU13" s="18" t="str">
        <f>INDEX(tbl_products[maintain_modifier_group],
MATCH(tbl_product_preparations[[#This Row],[product_key]],
tbl_products[product_key],0))</f>
        <v>FRUIT_WHOLE</v>
      </c>
      <c r="AV13" s="18">
        <f>INDEX(BONUS_MALUS_MAINTAIN[Modifier],
MATCH(tbl_product_preparations[[#This Row],[maintain_modifier_group]],
BONUS_MALUS_MAINTAIN[Group],0))</f>
        <v>2</v>
      </c>
      <c r="AW13" s="18" t="str">
        <f>INDEX(tbl_products[gain_modifier_group],
MATCH(tbl_product_preparations[[#This Row],[product_key]],
tbl_products[product_key],0))</f>
        <v>FRUIT_WHOLE</v>
      </c>
      <c r="AX13" s="18">
        <f>INDEX(BONUS_MALUS_GAIN[Modifier],
MATCH(tbl_product_preparations[[#This Row],[gain_modifier_group]],
BONUS_MALUS_GAIN[Group],0))</f>
        <v>1</v>
      </c>
      <c r="AY13" s="18">
        <f>INDEX(PREPARATION_MODIFIERS[lose_preparation_modifier],
MATCH(tbl_product_preparations[[#This Row],[preparation_key]],
PREPARATION_MODIFIERS[preparation_key],0))</f>
        <v>0</v>
      </c>
      <c r="AZ13" s="18">
        <f>INDEX(PREPARATION_MODIFIERS[maintain_preparation_modifier],
MATCH(tbl_product_preparations[[#This Row],[preparation_key]],
PREPARATION_MODIFIERS[preparation_key],0))</f>
        <v>0</v>
      </c>
      <c r="BA13" s="18">
        <f>INDEX(PREPARATION_MODIFIERS[gain_preparation_modifier],
MATCH(tbl_product_preparations[[#This Row],[preparation_key]],
PREPARATION_MODIFIERS[preparation_key],0))</f>
        <v>0</v>
      </c>
    </row>
    <row r="14" spans="1:53" x14ac:dyDescent="0.2">
      <c r="A14" s="31" t="s">
        <v>1084</v>
      </c>
      <c r="B14" s="31" t="s">
        <v>363</v>
      </c>
      <c r="C14" s="33" t="s">
        <v>160</v>
      </c>
      <c r="D14" s="31" t="s">
        <v>1090</v>
      </c>
      <c r="E14" s="53" t="str">
        <f>IF(tbl_product_preparations[[#This Row],[source_key]]="MANUFACTURER","MANUFACTURER",
IF(tbl_product_preparations[[#This Row],[source_key]]="CALCULATED","CALCULATED",
"REAL"))</f>
        <v>REAL</v>
      </c>
      <c r="F14" s="53" t="str">
        <f>IF(LEFT(tbl_product_preparations[[#This Row],[source_key]],4)="USDA","US","EU")</f>
        <v>EU</v>
      </c>
      <c r="G14" s="32">
        <v>30</v>
      </c>
      <c r="H14" s="18" t="str">
        <f>IF(
   ISNUMBER(tbl_product_preparations[[#This Row],[density_lookup]]),
   ROUND(tbl_product_preparations[[#This Row],[kcal_per_100g]]*tbl_product_preparations[[#This Row],[density_lookup]],1),
   ""
)</f>
        <v/>
      </c>
      <c r="I14" s="32">
        <v>1.2</v>
      </c>
      <c r="J14" s="32">
        <v>4.5999999999999996</v>
      </c>
      <c r="K14" s="32">
        <v>0.1</v>
      </c>
      <c r="L14" s="32">
        <v>0</v>
      </c>
      <c r="M14" s="32">
        <v>2.9</v>
      </c>
      <c r="N14" s="32">
        <v>4.5999999999999996</v>
      </c>
      <c r="O14" s="46">
        <f>IF(tbl_product_preparations[[#This Row],[sugar_per_100g]]=0,tbl_product_preparations[[#This Row],[carbs_per_100g]],tbl_product_preparations[[#This Row],[sugar_per_100g]])</f>
        <v>4.5999999999999996</v>
      </c>
      <c r="P14" s="36">
        <v>6.2E-2</v>
      </c>
      <c r="Q14" s="50">
        <f>IF(tbl_product_preparations[[#This Row],[sodium_per_100g]]=0,
tbl_product_preparations[[#This Row],[salt_per_100g]]/2.5,
tbl_product_preparations[[#This Row],[sodium_per_100g]])</f>
        <v>6.2E-2</v>
      </c>
      <c r="R14" s="24">
        <f>ROUND(tbl_product_preparations[[#This Row],[sodium_per_100g]]*2.5,3)</f>
        <v>0.155</v>
      </c>
      <c r="S14" s="24">
        <f>IF(tbl_product_preparations[[#This Row],[salt_per_100g]]=0,
tbl_product_preparations[[#This Row],[sodium_per_100g]]*2.5,
tbl_product_preparations[[#This Row],[salt_per_100g]])</f>
        <v>0.155</v>
      </c>
      <c r="T14" s="32">
        <v>88.5</v>
      </c>
      <c r="U14" s="14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14" s="18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29.9</v>
      </c>
      <c r="W14" s="18">
        <f>IF(tbl_product_preparations[[#This Row],[kcal_per_100g]]=0,0,ABS((tbl_product_preparations[[#This Row],[kcal_per_100g]]-tbl_product_preparations[[#This Row],[kcal_calc]])/tbl_product_preparations[[#This Row],[kcal_per_100g]])*100)</f>
        <v>0.33333333333333809</v>
      </c>
      <c r="X14" s="18">
        <f>ROUND(tbl_product_preparations[[#This Row],[kcal_calc]],1)</f>
        <v>29.9</v>
      </c>
      <c r="Y14" s="18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97.361999999999995</v>
      </c>
      <c r="Z14" s="18" t="str">
        <f>IF(
  tbl_product_preparations[[#This Row],[macro_sum]] &lt;=
  100 + _xlfn.XLOOKUP("WATER_TOTAL_TOLERANCE",tbl_config[config_key],tbl_config[config_value]),
  "OK",
  "ERROR"
)</f>
        <v>OK</v>
      </c>
      <c r="AA14" s="14" t="str">
        <f>_xlfn.LET(
   _xlpm.d, _xlfn.XLOOKUP(tbl_product_preparations[[#This Row],[product_key]],tbl_products[product_key],tbl_products[density_g_per_ml]),
   IF(AND(ISNUMBER(_xlpm.d), _xlpm.d&gt;0), _xlpm.d, "")
)</f>
        <v/>
      </c>
      <c r="AB14" s="18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14" s="18" cm="1">
        <f t="array" ref="AC14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100</v>
      </c>
      <c r="AD14" s="18" cm="1">
        <f t="array" ref="AD14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92.311634638663577</v>
      </c>
      <c r="AE14" s="18" cm="1">
        <f t="array" ref="AE14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75.483960198900732</v>
      </c>
      <c r="AF14" s="18">
        <f>IF(tbl_product_preparations[[#This Row],[kcal_per_100g]]&lt;5,
 0,
 MAX(0,MIN(100,
  ((tbl_product_preparations[[#This Row],[protein_per_100g]]/tbl_product_preparations[[#This Row],[kcal_per_100g]]*100 - 1) / 7 * 100)
 ))
)</f>
        <v>42.857142857142854</v>
      </c>
      <c r="AG14" s="18">
        <f>IF(tbl_product_preparations[[#This Row],[kcal_per_100g]]&lt;5,
 0,
 MAX(0,MIN(100,(tbl_product_preparations[[#This Row],[fiber_per_100g]]/8*100)))
)</f>
        <v>36.25</v>
      </c>
      <c r="AH14" s="18">
        <f>MAX(0,MIN(100,100-(tbl_product_preparations[[#This Row],[sugar_per_100g]]/15*100)))</f>
        <v>69.333333333333343</v>
      </c>
      <c r="AI14" s="18">
        <f>MAX(0,100-(tbl_product_preparations[[#This Row],[alcohol_per_100g]]*50))</f>
        <v>100</v>
      </c>
      <c r="AJ14" s="18">
        <f>ROUND(tbl_product_preparations[[#This Row],[water_percent]],0)</f>
        <v>89</v>
      </c>
      <c r="AK14" s="18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80</v>
      </c>
      <c r="AL14" s="18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72</v>
      </c>
      <c r="AM14" s="18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64</v>
      </c>
      <c r="AN14" s="38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B</v>
      </c>
      <c r="AO14" s="38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B</v>
      </c>
      <c r="AP14" s="38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C</v>
      </c>
      <c r="AQ14" s="18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VEGETABLES</v>
      </c>
      <c r="AR14" s="18"/>
      <c r="AS14" s="18" t="str">
        <f>INDEX(tbl_products[lose_modifier_group],
MATCH(tbl_product_preparations[[#This Row],[product_key]],
tbl_products[product_key],0))</f>
        <v>VEGETABLES</v>
      </c>
      <c r="AT14" s="18">
        <f>INDEX(BONUS_MALUS_LOSE[Modifier],
MATCH(tbl_product_preparations[[#This Row],[lose_modifier_group]],
BONUS_MALUS_LOSE[Group],0))</f>
        <v>5</v>
      </c>
      <c r="AU14" s="18" t="str">
        <f>INDEX(tbl_products[maintain_modifier_group],
MATCH(tbl_product_preparations[[#This Row],[product_key]],
tbl_products[product_key],0))</f>
        <v>VEGETABLES</v>
      </c>
      <c r="AV14" s="18">
        <f>INDEX(BONUS_MALUS_MAINTAIN[Modifier],
MATCH(tbl_product_preparations[[#This Row],[maintain_modifier_group]],
BONUS_MALUS_MAINTAIN[Group],0))</f>
        <v>3</v>
      </c>
      <c r="AW14" s="18" t="str">
        <f>INDEX(tbl_products[gain_modifier_group],
MATCH(tbl_product_preparations[[#This Row],[product_key]],
tbl_products[product_key],0))</f>
        <v>VEGETABLES</v>
      </c>
      <c r="AX14" s="18">
        <f>INDEX(BONUS_MALUS_GAIN[Modifier],
MATCH(tbl_product_preparations[[#This Row],[gain_modifier_group]],
BONUS_MALUS_GAIN[Group],0))</f>
        <v>-2</v>
      </c>
      <c r="AY14" s="18">
        <f>INDEX(PREPARATION_MODIFIERS[lose_preparation_modifier],
MATCH(tbl_product_preparations[[#This Row],[preparation_key]],
PREPARATION_MODIFIERS[preparation_key],0))</f>
        <v>0</v>
      </c>
      <c r="AZ14" s="18">
        <f>INDEX(PREPARATION_MODIFIERS[maintain_preparation_modifier],
MATCH(tbl_product_preparations[[#This Row],[preparation_key]],
PREPARATION_MODIFIERS[preparation_key],0))</f>
        <v>0</v>
      </c>
      <c r="BA14" s="18">
        <f>INDEX(PREPARATION_MODIFIERS[gain_preparation_modifier],
MATCH(tbl_product_preparations[[#This Row],[preparation_key]],
PREPARATION_MODIFIERS[preparation_key],0))</f>
        <v>0</v>
      </c>
    </row>
    <row r="15" spans="1:53" x14ac:dyDescent="0.2">
      <c r="A15" s="31" t="s">
        <v>1084</v>
      </c>
      <c r="B15" s="31" t="s">
        <v>365</v>
      </c>
      <c r="C15" s="33" t="s">
        <v>160</v>
      </c>
      <c r="D15" s="31" t="s">
        <v>1091</v>
      </c>
      <c r="E15" s="53" t="str">
        <f>IF(tbl_product_preparations[[#This Row],[source_key]]="MANUFACTURER","MANUFACTURER",
IF(tbl_product_preparations[[#This Row],[source_key]]="CALCULATED","CALCULATED",
"REAL"))</f>
        <v>REAL</v>
      </c>
      <c r="F15" s="53" t="str">
        <f>IF(LEFT(tbl_product_preparations[[#This Row],[source_key]],4)="USDA","US","EU")</f>
        <v>EU</v>
      </c>
      <c r="G15" s="32">
        <v>38</v>
      </c>
      <c r="H15" s="18" t="str">
        <f>IF(
   ISNUMBER(tbl_product_preparations[[#This Row],[density_lookup]]),
   ROUND(tbl_product_preparations[[#This Row],[kcal_per_100g]]*tbl_product_preparations[[#This Row],[density_lookup]],1),
   ""
)</f>
        <v/>
      </c>
      <c r="I15" s="32">
        <v>1.7</v>
      </c>
      <c r="J15" s="32">
        <v>6</v>
      </c>
      <c r="K15" s="32">
        <v>0.1</v>
      </c>
      <c r="L15" s="32">
        <v>0</v>
      </c>
      <c r="M15" s="32">
        <v>2.9</v>
      </c>
      <c r="N15" s="32">
        <v>6</v>
      </c>
      <c r="O15" s="46">
        <f>IF(tbl_product_preparations[[#This Row],[sugar_per_100g]]=0,tbl_product_preparations[[#This Row],[carbs_per_100g]],tbl_product_preparations[[#This Row],[sugar_per_100g]])</f>
        <v>6</v>
      </c>
      <c r="P15" s="36">
        <v>7.0000000000000007E-2</v>
      </c>
      <c r="Q15" s="50">
        <f>IF(tbl_product_preparations[[#This Row],[sodium_per_100g]]=0,
tbl_product_preparations[[#This Row],[salt_per_100g]]/2.5,
tbl_product_preparations[[#This Row],[sodium_per_100g]])</f>
        <v>7.0000000000000007E-2</v>
      </c>
      <c r="R15" s="24">
        <f>ROUND(tbl_product_preparations[[#This Row],[sodium_per_100g]]*2.5,3)</f>
        <v>0.17499999999999999</v>
      </c>
      <c r="S15" s="24">
        <f>IF(tbl_product_preparations[[#This Row],[salt_per_100g]]=0,
tbl_product_preparations[[#This Row],[sodium_per_100g]]*2.5,
tbl_product_preparations[[#This Row],[salt_per_100g]])</f>
        <v>0.17499999999999999</v>
      </c>
      <c r="T15" s="32">
        <v>89</v>
      </c>
      <c r="U15" s="14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15" s="18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37.5</v>
      </c>
      <c r="W15" s="18">
        <f>IF(tbl_product_preparations[[#This Row],[kcal_per_100g]]=0,0,ABS((tbl_product_preparations[[#This Row],[kcal_per_100g]]-tbl_product_preparations[[#This Row],[kcal_calc]])/tbl_product_preparations[[#This Row],[kcal_per_100g]])*100)</f>
        <v>1.3157894736842104</v>
      </c>
      <c r="X15" s="18">
        <f>ROUND(tbl_product_preparations[[#This Row],[kcal_calc]],1)</f>
        <v>37.5</v>
      </c>
      <c r="Y15" s="18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99.77</v>
      </c>
      <c r="Z15" s="18" t="str">
        <f>IF(
  tbl_product_preparations[[#This Row],[macro_sum]] &lt;=
  100 + _xlfn.XLOOKUP("WATER_TOTAL_TOLERANCE",tbl_config[config_key],tbl_config[config_value]),
  "OK",
  "ERROR"
)</f>
        <v>OK</v>
      </c>
      <c r="AA15" s="14" t="str">
        <f>_xlfn.LET(
   _xlpm.d, _xlfn.XLOOKUP(tbl_product_preparations[[#This Row],[product_key]],tbl_products[product_key],tbl_products[density_g_per_ml]),
   IF(AND(ISNUMBER(_xlpm.d), _xlpm.d&gt;0), _xlpm.d, "")
)</f>
        <v/>
      </c>
      <c r="AB15" s="18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15" s="18" cm="1">
        <f t="array" ref="AC15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92.311634638663577</v>
      </c>
      <c r="AD15" s="18" cm="1">
        <f t="array" ref="AD15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99.680511454303286</v>
      </c>
      <c r="AE15" s="18" cm="1">
        <f t="array" ref="AE15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85.963276360254227</v>
      </c>
      <c r="AF15" s="18">
        <f>IF(tbl_product_preparations[[#This Row],[kcal_per_100g]]&lt;5,
 0,
 MAX(0,MIN(100,
  ((tbl_product_preparations[[#This Row],[protein_per_100g]]/tbl_product_preparations[[#This Row],[kcal_per_100g]]*100 - 1) / 7 * 100)
 ))
)</f>
        <v>49.624060150375939</v>
      </c>
      <c r="AG15" s="18">
        <f>IF(tbl_product_preparations[[#This Row],[kcal_per_100g]]&lt;5,
 0,
 MAX(0,MIN(100,(tbl_product_preparations[[#This Row],[fiber_per_100g]]/8*100)))
)</f>
        <v>36.25</v>
      </c>
      <c r="AH15" s="18">
        <f>MAX(0,MIN(100,100-(tbl_product_preparations[[#This Row],[sugar_per_100g]]/15*100)))</f>
        <v>60</v>
      </c>
      <c r="AI15" s="18">
        <f>MAX(0,100-(tbl_product_preparations[[#This Row],[alcohol_per_100g]]*50))</f>
        <v>100</v>
      </c>
      <c r="AJ15" s="18">
        <f>ROUND(tbl_product_preparations[[#This Row],[water_percent]],0)</f>
        <v>89</v>
      </c>
      <c r="AK15" s="18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77</v>
      </c>
      <c r="AL15" s="18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75</v>
      </c>
      <c r="AM15" s="18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70</v>
      </c>
      <c r="AN15" s="38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B</v>
      </c>
      <c r="AO15" s="38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B</v>
      </c>
      <c r="AP15" s="38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B</v>
      </c>
      <c r="AQ15" s="18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VEGETABLES</v>
      </c>
      <c r="AR15" s="18"/>
      <c r="AS15" s="18" t="str">
        <f>INDEX(tbl_products[lose_modifier_group],
MATCH(tbl_product_preparations[[#This Row],[product_key]],
tbl_products[product_key],0))</f>
        <v>VEGETABLES</v>
      </c>
      <c r="AT15" s="18">
        <f>INDEX(BONUS_MALUS_LOSE[Modifier],
MATCH(tbl_product_preparations[[#This Row],[lose_modifier_group]],
BONUS_MALUS_LOSE[Group],0))</f>
        <v>5</v>
      </c>
      <c r="AU15" s="18" t="str">
        <f>INDEX(tbl_products[maintain_modifier_group],
MATCH(tbl_product_preparations[[#This Row],[product_key]],
tbl_products[product_key],0))</f>
        <v>VEGETABLES</v>
      </c>
      <c r="AV15" s="18">
        <f>INDEX(BONUS_MALUS_MAINTAIN[Modifier],
MATCH(tbl_product_preparations[[#This Row],[maintain_modifier_group]],
BONUS_MALUS_MAINTAIN[Group],0))</f>
        <v>3</v>
      </c>
      <c r="AW15" s="18" t="str">
        <f>INDEX(tbl_products[gain_modifier_group],
MATCH(tbl_product_preparations[[#This Row],[product_key]],
tbl_products[product_key],0))</f>
        <v>VEGETABLES</v>
      </c>
      <c r="AX15" s="18">
        <f>INDEX(BONUS_MALUS_GAIN[Modifier],
MATCH(tbl_product_preparations[[#This Row],[gain_modifier_group]],
BONUS_MALUS_GAIN[Group],0))</f>
        <v>-2</v>
      </c>
      <c r="AY15" s="18">
        <f>INDEX(PREPARATION_MODIFIERS[lose_preparation_modifier],
MATCH(tbl_product_preparations[[#This Row],[preparation_key]],
PREPARATION_MODIFIERS[preparation_key],0))</f>
        <v>0</v>
      </c>
      <c r="AZ15" s="18">
        <f>INDEX(PREPARATION_MODIFIERS[maintain_preparation_modifier],
MATCH(tbl_product_preparations[[#This Row],[preparation_key]],
PREPARATION_MODIFIERS[preparation_key],0))</f>
        <v>0</v>
      </c>
      <c r="BA15" s="18">
        <f>INDEX(PREPARATION_MODIFIERS[gain_preparation_modifier],
MATCH(tbl_product_preparations[[#This Row],[preparation_key]],
PREPARATION_MODIFIERS[preparation_key],0))</f>
        <v>0</v>
      </c>
    </row>
    <row r="16" spans="1:53" x14ac:dyDescent="0.2">
      <c r="A16" s="31" t="s">
        <v>282</v>
      </c>
      <c r="B16" s="31" t="s">
        <v>115</v>
      </c>
      <c r="C16" s="31" t="s">
        <v>160</v>
      </c>
      <c r="D16" s="31" t="s">
        <v>367</v>
      </c>
      <c r="E16" s="53" t="str">
        <f>IF(tbl_product_preparations[[#This Row],[source_key]]="MANUFACTURER","MANUFACTURER",
IF(tbl_product_preparations[[#This Row],[source_key]]="CALCULATED","CALCULATED",
"REAL"))</f>
        <v>REAL</v>
      </c>
      <c r="F16" s="53" t="str">
        <f>IF(LEFT(tbl_product_preparations[[#This Row],[source_key]],4)="USDA","US","EU")</f>
        <v>EU</v>
      </c>
      <c r="G16" s="32">
        <v>44</v>
      </c>
      <c r="H16" s="18">
        <f>IF(
   ISNUMBER(tbl_product_preparations[[#This Row],[density_lookup]]),
   ROUND(tbl_product_preparations[[#This Row],[kcal_per_100g]]*tbl_product_preparations[[#This Row],[density_lookup]],1),
   ""
)</f>
        <v>44.4</v>
      </c>
      <c r="I16" s="32">
        <v>0.4</v>
      </c>
      <c r="J16" s="32">
        <v>3</v>
      </c>
      <c r="K16" s="32">
        <v>0</v>
      </c>
      <c r="L16" s="32">
        <v>4.3</v>
      </c>
      <c r="M16" s="32">
        <v>0</v>
      </c>
      <c r="N16" s="32">
        <v>0</v>
      </c>
      <c r="O16" s="46">
        <f>IF(tbl_product_preparations[[#This Row],[sugar_per_100g]]=0,tbl_product_preparations[[#This Row],[carbs_per_100g]],tbl_product_preparations[[#This Row],[sugar_per_100g]])</f>
        <v>3</v>
      </c>
      <c r="P16" s="36">
        <v>3.0000000000000001E-3</v>
      </c>
      <c r="Q16" s="50">
        <f>IF(tbl_product_preparations[[#This Row],[sodium_per_100g]]=0,
tbl_product_preparations[[#This Row],[salt_per_100g]]/2.5,
tbl_product_preparations[[#This Row],[sodium_per_100g]])</f>
        <v>3.0000000000000001E-3</v>
      </c>
      <c r="R16" s="24">
        <f>ROUND(tbl_product_preparations[[#This Row],[sodium_per_100g]]*2.5,3)</f>
        <v>8.0000000000000002E-3</v>
      </c>
      <c r="S16" s="24">
        <f>IF(tbl_product_preparations[[#This Row],[salt_per_100g]]=0,
tbl_product_preparations[[#This Row],[sodium_per_100g]]*2.5,
tbl_product_preparations[[#This Row],[salt_per_100g]])</f>
        <v>8.0000000000000002E-3</v>
      </c>
      <c r="T16" s="32">
        <v>92</v>
      </c>
      <c r="U16" s="14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16" s="18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43.699999999999996</v>
      </c>
      <c r="W16" s="18">
        <f>IF(tbl_product_preparations[[#This Row],[kcal_per_100g]]=0,0,ABS((tbl_product_preparations[[#This Row],[kcal_per_100g]]-tbl_product_preparations[[#This Row],[kcal_calc]])/tbl_product_preparations[[#This Row],[kcal_per_100g]])*100)</f>
        <v>0.68181818181819154</v>
      </c>
      <c r="X16" s="18">
        <f>ROUND(tbl_product_preparations[[#This Row],[kcal_calc]],1)</f>
        <v>43.7</v>
      </c>
      <c r="Y16" s="18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99.703000000000003</v>
      </c>
      <c r="Z16" s="18" t="str">
        <f>IF(
  tbl_product_preparations[[#This Row],[macro_sum]] &lt;=
  100 + _xlfn.XLOOKUP("WATER_TOTAL_TOLERANCE",tbl_config[config_key],tbl_config[config_value]),
  "OK",
  "ERROR"
)</f>
        <v>OK</v>
      </c>
      <c r="AA16" s="14">
        <f>_xlfn.LET(
   _xlpm.d, _xlfn.XLOOKUP(tbl_product_preparations[[#This Row],[product_key]],tbl_products[product_key],tbl_products[density_g_per_ml]),
   IF(AND(ISNUMBER(_xlpm.d), _xlpm.d&gt;0), _xlpm.d, "")
)</f>
        <v>1.01</v>
      </c>
      <c r="AB16" s="18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>OK</v>
      </c>
      <c r="AC16" s="18" cm="1">
        <f t="array" ref="AC16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26.666666666666671</v>
      </c>
      <c r="AD16" s="18" cm="1">
        <f t="array" ref="AD16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44.999999999999993</v>
      </c>
      <c r="AE16" s="18" cm="1">
        <f t="array" ref="AE16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63.333333333333336</v>
      </c>
      <c r="AF16" s="18">
        <f>IF(tbl_product_preparations[[#This Row],[kcal_per_100g]]&lt;5,
 0,
 MAX(0,MIN(100,
  ((tbl_product_preparations[[#This Row],[protein_per_100g]]/tbl_product_preparations[[#This Row],[kcal_per_100g]]*100 - 1) / 7 * 100)
 ))
)</f>
        <v>0</v>
      </c>
      <c r="AG16" s="18">
        <f>IF(tbl_product_preparations[[#This Row],[kcal_per_100g]]&lt;5,
 0,
 MAX(0,MIN(100,(tbl_product_preparations[[#This Row],[fiber_per_100g]]/8*100)))
)</f>
        <v>0</v>
      </c>
      <c r="AH16" s="18">
        <f>MAX(0,MIN(100,100-(tbl_product_preparations[[#This Row],[sugar_per_100g]]/15*100)))</f>
        <v>100</v>
      </c>
      <c r="AI16" s="18">
        <f>MAX(0,100-(tbl_product_preparations[[#This Row],[alcohol_per_100g]]*50))</f>
        <v>0</v>
      </c>
      <c r="AJ16" s="18">
        <f>ROUND(tbl_product_preparations[[#This Row],[water_percent]],0)</f>
        <v>92</v>
      </c>
      <c r="AK16" s="18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19</v>
      </c>
      <c r="AL16" s="18">
        <f>ROUND(
 tbl_product_preparations[[#This Row],[energy_score_maintain]]*0.25 +
 tbl_product_preparations[[#This Row],[protein_score]]*0.25 +
 tbl_product_preparations[[#This Row],[fiber_score]]*0.15 +
 tbl_product_preparations[[#This Row],[sugar_score]]*0.15 +
 tbl_product_preparations[[#This Row],[alcohol_score]]*0.15 +
 tbl_product_preparations[[#This Row],[hydration_score]]*0.05,0)</f>
        <v>31</v>
      </c>
      <c r="AM16" s="18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38</v>
      </c>
      <c r="AN16" s="38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E</v>
      </c>
      <c r="AO16" s="38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E</v>
      </c>
      <c r="AP16" s="38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D</v>
      </c>
      <c r="AQ16" s="18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BEVERAGES</v>
      </c>
      <c r="AR16" s="18"/>
      <c r="AS16" s="18" t="str">
        <f>INDEX(tbl_products[lose_modifier_group],
MATCH(tbl_product_preparations[[#This Row],[product_key]],
tbl_products[product_key],0))</f>
        <v>ALCOHOL</v>
      </c>
      <c r="AT16" s="18">
        <f>INDEX(BONUS_MALUS_LOSE[Modifier],
MATCH(tbl_product_preparations[[#This Row],[lose_modifier_group]],
BONUS_MALUS_LOSE[Group],0))</f>
        <v>-10</v>
      </c>
      <c r="AU16" s="18" t="str">
        <f>INDEX(tbl_products[maintain_modifier_group],
MATCH(tbl_product_preparations[[#This Row],[product_key]],
tbl_products[product_key],0))</f>
        <v>ALCOHOL</v>
      </c>
      <c r="AV16" s="18">
        <f>INDEX(BONUS_MALUS_MAINTAIN[Modifier],
MATCH(tbl_product_preparations[[#This Row],[maintain_modifier_group]],
BONUS_MALUS_MAINTAIN[Group],0))</f>
        <v>-8</v>
      </c>
      <c r="AW16" s="18" t="str">
        <f>INDEX(tbl_products[gain_modifier_group],
MATCH(tbl_product_preparations[[#This Row],[product_key]],
tbl_products[product_key],0))</f>
        <v>ALCOHOL</v>
      </c>
      <c r="AX16" s="18">
        <f>INDEX(BONUS_MALUS_GAIN[Modifier],
MATCH(tbl_product_preparations[[#This Row],[gain_modifier_group]],
BONUS_MALUS_GAIN[Group],0))</f>
        <v>-7</v>
      </c>
      <c r="AY16" s="18">
        <f>INDEX(PREPARATION_MODIFIERS[lose_preparation_modifier],
MATCH(tbl_product_preparations[[#This Row],[preparation_key]],
PREPARATION_MODIFIERS[preparation_key],0))</f>
        <v>0</v>
      </c>
      <c r="AZ16" s="18">
        <f>INDEX(PREPARATION_MODIFIERS[maintain_preparation_modifier],
MATCH(tbl_product_preparations[[#This Row],[preparation_key]],
PREPARATION_MODIFIERS[preparation_key],0))</f>
        <v>0</v>
      </c>
      <c r="BA16" s="18">
        <f>INDEX(PREPARATION_MODIFIERS[gain_preparation_modifier],
MATCH(tbl_product_preparations[[#This Row],[preparation_key]],
PREPARATION_MODIFIERS[preparation_key],0))</f>
        <v>0</v>
      </c>
    </row>
    <row r="17" spans="1:53" x14ac:dyDescent="0.2">
      <c r="A17" s="31" t="s">
        <v>547</v>
      </c>
      <c r="B17" s="31" t="s">
        <v>115</v>
      </c>
      <c r="C17" s="31" t="s">
        <v>160</v>
      </c>
      <c r="D17" s="31" t="s">
        <v>552</v>
      </c>
      <c r="E17" s="53" t="str">
        <f>IF(tbl_product_preparations[[#This Row],[source_key]]="MANUFACTURER","MANUFACTURER",
IF(tbl_product_preparations[[#This Row],[source_key]]="CALCULATED","CALCULATED",
"REAL"))</f>
        <v>REAL</v>
      </c>
      <c r="F17" s="53" t="str">
        <f>IF(LEFT(tbl_product_preparations[[#This Row],[source_key]],4)="USDA","US","EU")</f>
        <v>EU</v>
      </c>
      <c r="G17" s="32">
        <v>92</v>
      </c>
      <c r="H17" s="18" t="str">
        <f>IF(
   ISNUMBER(tbl_product_preparations[[#This Row],[density_lookup]]),
   ROUND(tbl_product_preparations[[#This Row],[kcal_per_100g]]*tbl_product_preparations[[#This Row],[density_lookup]],1),
   ""
)</f>
        <v/>
      </c>
      <c r="I17" s="32">
        <v>1.1000000000000001</v>
      </c>
      <c r="J17" s="32">
        <v>20</v>
      </c>
      <c r="K17" s="32">
        <v>0.3</v>
      </c>
      <c r="L17" s="32">
        <v>0</v>
      </c>
      <c r="M17" s="32">
        <v>1.9</v>
      </c>
      <c r="N17" s="32">
        <v>0</v>
      </c>
      <c r="O17" s="46">
        <f>IF(tbl_product_preparations[[#This Row],[sugar_per_100g]]=0,tbl_product_preparations[[#This Row],[carbs_per_100g]],tbl_product_preparations[[#This Row],[sugar_per_100g]])</f>
        <v>20</v>
      </c>
      <c r="P17" s="36">
        <v>0</v>
      </c>
      <c r="Q17" s="50">
        <f>IF(tbl_product_preparations[[#This Row],[sodium_per_100g]]=0,
tbl_product_preparations[[#This Row],[salt_per_100g]]/2.5,
tbl_product_preparations[[#This Row],[sodium_per_100g]])</f>
        <v>0</v>
      </c>
      <c r="R17" s="24">
        <f>ROUND(tbl_product_preparations[[#This Row],[sodium_per_100g]]*2.5,3)</f>
        <v>0</v>
      </c>
      <c r="S17" s="24">
        <f>IF(tbl_product_preparations[[#This Row],[salt_per_100g]]=0,
tbl_product_preparations[[#This Row],[sodium_per_100g]]*2.5,
tbl_product_preparations[[#This Row],[salt_per_100g]])</f>
        <v>0</v>
      </c>
      <c r="T17" s="32">
        <v>75.3</v>
      </c>
      <c r="U17" s="14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17" s="18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90.9</v>
      </c>
      <c r="W17" s="18">
        <f>IF(tbl_product_preparations[[#This Row],[kcal_per_100g]]=0,0,ABS((tbl_product_preparations[[#This Row],[kcal_per_100g]]-tbl_product_preparations[[#This Row],[kcal_calc]])/tbl_product_preparations[[#This Row],[kcal_per_100g]])*100)</f>
        <v>1.1956521739130372</v>
      </c>
      <c r="X17" s="18">
        <f>ROUND(tbl_product_preparations[[#This Row],[kcal_calc]],1)</f>
        <v>90.9</v>
      </c>
      <c r="Y17" s="18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98.6</v>
      </c>
      <c r="Z17" s="18" t="str">
        <f>IF(
  tbl_product_preparations[[#This Row],[macro_sum]] &lt;=
  100 + _xlfn.XLOOKUP("WATER_TOTAL_TOLERANCE",tbl_config[config_key],tbl_config[config_value]),
  "OK",
  "ERROR"
)</f>
        <v>OK</v>
      </c>
      <c r="AA17" s="14" t="str">
        <f>_xlfn.LET(
   _xlpm.d, _xlfn.XLOOKUP(tbl_product_preparations[[#This Row],[product_key]],tbl_products[product_key],tbl_products[density_g_per_ml]),
   IF(AND(ISNUMBER(_xlpm.d), _xlpm.d&gt;0), _xlpm.d, "")
)</f>
        <v/>
      </c>
      <c r="AB17" s="18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17" s="18" cm="1">
        <f t="array" ref="AC17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82.073826515819846</v>
      </c>
      <c r="AD17" s="18" cm="1">
        <f t="array" ref="AD17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96.506911778968046</v>
      </c>
      <c r="AE17" s="18" cm="1">
        <f t="array" ref="AE17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89.683005974686878</v>
      </c>
      <c r="AF17" s="18">
        <f>IF(tbl_product_preparations[[#This Row],[kcal_per_100g]]&lt;5,
 0,
 MAX(0,MIN(100,
  ((tbl_product_preparations[[#This Row],[protein_per_100g]]/tbl_product_preparations[[#This Row],[kcal_per_100g]]*100 - 1) / 7 * 100)
 ))
)</f>
        <v>2.7950310559006208</v>
      </c>
      <c r="AG17" s="18">
        <f>IF(tbl_product_preparations[[#This Row],[kcal_per_100g]]&lt;5,
 0,
 MAX(0,MIN(100,(tbl_product_preparations[[#This Row],[fiber_per_100g]]/8*100)))
)</f>
        <v>23.75</v>
      </c>
      <c r="AH17" s="18">
        <f>MAX(0,MIN(100,100-(tbl_product_preparations[[#This Row],[sugar_per_100g]]/15*100)))</f>
        <v>100</v>
      </c>
      <c r="AI17" s="18">
        <f>MAX(0,100-(tbl_product_preparations[[#This Row],[alcohol_per_100g]]*50))</f>
        <v>100</v>
      </c>
      <c r="AJ17" s="18">
        <f>ROUND(tbl_product_preparations[[#This Row],[water_percent]],0)</f>
        <v>75</v>
      </c>
      <c r="AK17" s="18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64</v>
      </c>
      <c r="AL17" s="18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65</v>
      </c>
      <c r="AM17" s="18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71</v>
      </c>
      <c r="AN17" s="38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C</v>
      </c>
      <c r="AO17" s="38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B</v>
      </c>
      <c r="AP17" s="38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B</v>
      </c>
      <c r="AQ17" s="18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FRUITS</v>
      </c>
      <c r="AR17" s="18"/>
      <c r="AS17" s="18" t="str">
        <f>INDEX(tbl_products[lose_modifier_group],
MATCH(tbl_product_preparations[[#This Row],[product_key]],
tbl_products[product_key],0))</f>
        <v>FRUIT_WHOLE</v>
      </c>
      <c r="AT17" s="18">
        <f>INDEX(BONUS_MALUS_LOSE[Modifier],
MATCH(tbl_product_preparations[[#This Row],[lose_modifier_group]],
BONUS_MALUS_LOSE[Group],0))</f>
        <v>3</v>
      </c>
      <c r="AU17" s="18" t="str">
        <f>INDEX(tbl_products[maintain_modifier_group],
MATCH(tbl_product_preparations[[#This Row],[product_key]],
tbl_products[product_key],0))</f>
        <v>FRUIT_WHOLE</v>
      </c>
      <c r="AV17" s="18">
        <f>INDEX(BONUS_MALUS_MAINTAIN[Modifier],
MATCH(tbl_product_preparations[[#This Row],[maintain_modifier_group]],
BONUS_MALUS_MAINTAIN[Group],0))</f>
        <v>2</v>
      </c>
      <c r="AW17" s="18" t="str">
        <f>INDEX(tbl_products[gain_modifier_group],
MATCH(tbl_product_preparations[[#This Row],[product_key]],
tbl_products[product_key],0))</f>
        <v>ENERGY_DENSE</v>
      </c>
      <c r="AX17" s="18">
        <f>INDEX(BONUS_MALUS_GAIN[Modifier],
MATCH(tbl_product_preparations[[#This Row],[gain_modifier_group]],
BONUS_MALUS_GAIN[Group],0))</f>
        <v>5</v>
      </c>
      <c r="AY17" s="18">
        <f>INDEX(PREPARATION_MODIFIERS[lose_preparation_modifier],
MATCH(tbl_product_preparations[[#This Row],[preparation_key]],
PREPARATION_MODIFIERS[preparation_key],0))</f>
        <v>0</v>
      </c>
      <c r="AZ17" s="18">
        <f>INDEX(PREPARATION_MODIFIERS[maintain_preparation_modifier],
MATCH(tbl_product_preparations[[#This Row],[preparation_key]],
PREPARATION_MODIFIERS[preparation_key],0))</f>
        <v>0</v>
      </c>
      <c r="BA17" s="18">
        <f>INDEX(PREPARATION_MODIFIERS[gain_preparation_modifier],
MATCH(tbl_product_preparations[[#This Row],[preparation_key]],
PREPARATION_MODIFIERS[preparation_key],0))</f>
        <v>0</v>
      </c>
    </row>
    <row r="18" spans="1:53" x14ac:dyDescent="0.2">
      <c r="A18" s="31" t="s">
        <v>989</v>
      </c>
      <c r="B18" s="31" t="s">
        <v>363</v>
      </c>
      <c r="C18" s="31" t="s">
        <v>160</v>
      </c>
      <c r="D18" s="31" t="s">
        <v>1018</v>
      </c>
      <c r="E18" s="53" t="str">
        <f>IF(tbl_product_preparations[[#This Row],[source_key]]="MANUFACTURER","MANUFACTURER",
IF(tbl_product_preparations[[#This Row],[source_key]]="CALCULATED","CALCULATED",
"REAL"))</f>
        <v>REAL</v>
      </c>
      <c r="F18" s="53" t="str">
        <f>IF(LEFT(tbl_product_preparations[[#This Row],[source_key]],4)="USDA","US","EU")</f>
        <v>EU</v>
      </c>
      <c r="G18" s="32">
        <v>27</v>
      </c>
      <c r="H18" s="18" t="str">
        <f>IF(
   ISNUMBER(tbl_product_preparations[[#This Row],[density_lookup]]),
   ROUND(tbl_product_preparations[[#This Row],[kcal_per_100g]]*tbl_product_preparations[[#This Row],[density_lookup]],1),
   ""
)</f>
        <v/>
      </c>
      <c r="I18" s="32">
        <v>0.9</v>
      </c>
      <c r="J18" s="32">
        <v>4.8</v>
      </c>
      <c r="K18" s="32">
        <v>0.1</v>
      </c>
      <c r="L18" s="32">
        <v>0</v>
      </c>
      <c r="M18" s="32">
        <v>1.8</v>
      </c>
      <c r="N18" s="32">
        <v>4.0999999999999996</v>
      </c>
      <c r="O18" s="46">
        <f>IF(tbl_product_preparations[[#This Row],[sugar_per_100g]]=0,tbl_product_preparations[[#This Row],[carbs_per_100g]],tbl_product_preparations[[#This Row],[sugar_per_100g]])</f>
        <v>4.0999999999999996</v>
      </c>
      <c r="P18" s="36">
        <v>2E-3</v>
      </c>
      <c r="Q18" s="50">
        <f>IF(tbl_product_preparations[[#This Row],[sodium_per_100g]]=0,
tbl_product_preparations[[#This Row],[salt_per_100g]]/2.5,
tbl_product_preparations[[#This Row],[sodium_per_100g]])</f>
        <v>2E-3</v>
      </c>
      <c r="R18" s="24">
        <f>ROUND(tbl_product_preparations[[#This Row],[sodium_per_100g]]*2.5,3)</f>
        <v>5.0000000000000001E-3</v>
      </c>
      <c r="S18" s="24">
        <f>IF(tbl_product_preparations[[#This Row],[salt_per_100g]]=0,
tbl_product_preparations[[#This Row],[sodium_per_100g]]*2.5,
tbl_product_preparations[[#This Row],[salt_per_100g]])</f>
        <v>5.0000000000000001E-3</v>
      </c>
      <c r="T18" s="32">
        <v>92.1</v>
      </c>
      <c r="U18" s="14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18" s="18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27.3</v>
      </c>
      <c r="W18" s="18">
        <f>IF(tbl_product_preparations[[#This Row],[kcal_per_100g]]=0,0,ABS((tbl_product_preparations[[#This Row],[kcal_per_100g]]-tbl_product_preparations[[#This Row],[kcal_calc]])/tbl_product_preparations[[#This Row],[kcal_per_100g]])*100)</f>
        <v>1.1111111111111138</v>
      </c>
      <c r="X18" s="18">
        <f>ROUND(tbl_product_preparations[[#This Row],[kcal_calc]],1)</f>
        <v>27.3</v>
      </c>
      <c r="Y18" s="18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99.701999999999998</v>
      </c>
      <c r="Z18" s="18" t="str">
        <f>IF(
  tbl_product_preparations[[#This Row],[macro_sum]] &lt;=
  100 + _xlfn.XLOOKUP("WATER_TOTAL_TOLERANCE",tbl_config[config_key],tbl_config[config_value]),
  "OK",
  "ERROR"
)</f>
        <v>OK</v>
      </c>
      <c r="AA18" s="14" t="str">
        <f>_xlfn.LET(
   _xlpm.d, _xlfn.XLOOKUP(tbl_product_preparations[[#This Row],[product_key]],tbl_products[product_key],tbl_products[density_g_per_ml]),
   IF(AND(ISNUMBER(_xlpm.d), _xlpm.d&gt;0), _xlpm.d, "")
)</f>
        <v/>
      </c>
      <c r="AB18" s="18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18" s="18" cm="1">
        <f t="array" ref="AC18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98.881304461123307</v>
      </c>
      <c r="AD18" s="18" cm="1">
        <f t="array" ref="AD18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87.354118597885019</v>
      </c>
      <c r="AE18" s="18" cm="1">
        <f t="array" ref="AE18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71.154792928753679</v>
      </c>
      <c r="AF18" s="18">
        <f>IF(tbl_product_preparations[[#This Row],[kcal_per_100g]]&lt;5,
 0,
 MAX(0,MIN(100,
  ((tbl_product_preparations[[#This Row],[protein_per_100g]]/tbl_product_preparations[[#This Row],[kcal_per_100g]]*100 - 1) / 7 * 100)
 ))
)</f>
        <v>33.333333333333336</v>
      </c>
      <c r="AG18" s="18">
        <f>IF(tbl_product_preparations[[#This Row],[kcal_per_100g]]&lt;5,
 0,
 MAX(0,MIN(100,(tbl_product_preparations[[#This Row],[fiber_per_100g]]/8*100)))
)</f>
        <v>22.5</v>
      </c>
      <c r="AH18" s="18">
        <f>MAX(0,MIN(100,100-(tbl_product_preparations[[#This Row],[sugar_per_100g]]/15*100)))</f>
        <v>72.666666666666671</v>
      </c>
      <c r="AI18" s="18">
        <f>MAX(0,100-(tbl_product_preparations[[#This Row],[alcohol_per_100g]]*50))</f>
        <v>100</v>
      </c>
      <c r="AJ18" s="18">
        <f>ROUND(tbl_product_preparations[[#This Row],[water_percent]],0)</f>
        <v>92</v>
      </c>
      <c r="AK18" s="18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76</v>
      </c>
      <c r="AL18" s="18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67</v>
      </c>
      <c r="AM18" s="18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59</v>
      </c>
      <c r="AN18" s="38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B</v>
      </c>
      <c r="AO18" s="38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B</v>
      </c>
      <c r="AP18" s="38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C</v>
      </c>
      <c r="AQ18" s="18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VEGETABLES</v>
      </c>
      <c r="AR18" s="18"/>
      <c r="AS18" s="18" t="str">
        <f>INDEX(tbl_products[lose_modifier_group],
MATCH(tbl_product_preparations[[#This Row],[product_key]],
tbl_products[product_key],0))</f>
        <v>VEGETABLES</v>
      </c>
      <c r="AT18" s="18">
        <f>INDEX(BONUS_MALUS_LOSE[Modifier],
MATCH(tbl_product_preparations[[#This Row],[lose_modifier_group]],
BONUS_MALUS_LOSE[Group],0))</f>
        <v>5</v>
      </c>
      <c r="AU18" s="18" t="str">
        <f>INDEX(tbl_products[maintain_modifier_group],
MATCH(tbl_product_preparations[[#This Row],[product_key]],
tbl_products[product_key],0))</f>
        <v>VEGETABLES</v>
      </c>
      <c r="AV18" s="18">
        <f>INDEX(BONUS_MALUS_MAINTAIN[Modifier],
MATCH(tbl_product_preparations[[#This Row],[maintain_modifier_group]],
BONUS_MALUS_MAINTAIN[Group],0))</f>
        <v>3</v>
      </c>
      <c r="AW18" s="18" t="str">
        <f>INDEX(tbl_products[gain_modifier_group],
MATCH(tbl_product_preparations[[#This Row],[product_key]],
tbl_products[product_key],0))</f>
        <v>VEGETABLES</v>
      </c>
      <c r="AX18" s="18">
        <f>INDEX(BONUS_MALUS_GAIN[Modifier],
MATCH(tbl_product_preparations[[#This Row],[gain_modifier_group]],
BONUS_MALUS_GAIN[Group],0))</f>
        <v>-2</v>
      </c>
      <c r="AY18" s="18">
        <f>INDEX(PREPARATION_MODIFIERS[lose_preparation_modifier],
MATCH(tbl_product_preparations[[#This Row],[preparation_key]],
PREPARATION_MODIFIERS[preparation_key],0))</f>
        <v>0</v>
      </c>
      <c r="AZ18" s="18">
        <f>INDEX(PREPARATION_MODIFIERS[maintain_preparation_modifier],
MATCH(tbl_product_preparations[[#This Row],[preparation_key]],
PREPARATION_MODIFIERS[preparation_key],0))</f>
        <v>0</v>
      </c>
      <c r="BA18" s="18">
        <f>INDEX(PREPARATION_MODIFIERS[gain_preparation_modifier],
MATCH(tbl_product_preparations[[#This Row],[preparation_key]],
PREPARATION_MODIFIERS[preparation_key],0))</f>
        <v>0</v>
      </c>
    </row>
    <row r="19" spans="1:53" x14ac:dyDescent="0.2">
      <c r="A19" s="31" t="s">
        <v>989</v>
      </c>
      <c r="B19" s="31" t="s">
        <v>365</v>
      </c>
      <c r="C19" s="31" t="s">
        <v>160</v>
      </c>
      <c r="D19" s="31" t="s">
        <v>1019</v>
      </c>
      <c r="E19" s="53" t="str">
        <f>IF(tbl_product_preparations[[#This Row],[source_key]]="MANUFACTURER","MANUFACTURER",
IF(tbl_product_preparations[[#This Row],[source_key]]="CALCULATED","CALCULATED",
"REAL"))</f>
        <v>REAL</v>
      </c>
      <c r="F19" s="53" t="str">
        <f>IF(LEFT(tbl_product_preparations[[#This Row],[source_key]],4)="USDA","US","EU")</f>
        <v>EU</v>
      </c>
      <c r="G19" s="32">
        <v>25</v>
      </c>
      <c r="H19" s="18" t="str">
        <f>IF(
   ISNUMBER(tbl_product_preparations[[#This Row],[density_lookup]]),
   ROUND(tbl_product_preparations[[#This Row],[kcal_per_100g]]*tbl_product_preparations[[#This Row],[density_lookup]],1),
   ""
)</f>
        <v/>
      </c>
      <c r="I19" s="32">
        <v>0.8</v>
      </c>
      <c r="J19" s="32">
        <v>4.2</v>
      </c>
      <c r="K19" s="32">
        <v>0.1</v>
      </c>
      <c r="L19" s="32">
        <v>0</v>
      </c>
      <c r="M19" s="32">
        <v>1.9</v>
      </c>
      <c r="N19" s="32">
        <v>4.2</v>
      </c>
      <c r="O19" s="46">
        <f>IF(tbl_product_preparations[[#This Row],[sugar_per_100g]]=0,tbl_product_preparations[[#This Row],[carbs_per_100g]],tbl_product_preparations[[#This Row],[sugar_per_100g]])</f>
        <v>4.2</v>
      </c>
      <c r="P19" s="36">
        <v>1E-3</v>
      </c>
      <c r="Q19" s="50">
        <f>IF(tbl_product_preparations[[#This Row],[sodium_per_100g]]=0,
tbl_product_preparations[[#This Row],[salt_per_100g]]/2.5,
tbl_product_preparations[[#This Row],[sodium_per_100g]])</f>
        <v>1E-3</v>
      </c>
      <c r="R19" s="24">
        <f>ROUND(tbl_product_preparations[[#This Row],[sodium_per_100g]]*2.5,3)</f>
        <v>3.0000000000000001E-3</v>
      </c>
      <c r="S19" s="24">
        <f>IF(tbl_product_preparations[[#This Row],[salt_per_100g]]=0,
tbl_product_preparations[[#This Row],[sodium_per_100g]]*2.5,
tbl_product_preparations[[#This Row],[salt_per_100g]])</f>
        <v>3.0000000000000001E-3</v>
      </c>
      <c r="T19" s="32">
        <v>91.9</v>
      </c>
      <c r="U19" s="14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19" s="18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24.7</v>
      </c>
      <c r="W19" s="18">
        <f>IF(tbl_product_preparations[[#This Row],[kcal_per_100g]]=0,0,ABS((tbl_product_preparations[[#This Row],[kcal_per_100g]]-tbl_product_preparations[[#This Row],[kcal_calc]])/tbl_product_preparations[[#This Row],[kcal_per_100g]])*100)</f>
        <v>1.2000000000000028</v>
      </c>
      <c r="X19" s="18">
        <f>ROUND(tbl_product_preparations[[#This Row],[kcal_calc]],1)</f>
        <v>24.7</v>
      </c>
      <c r="Y19" s="18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98.90100000000001</v>
      </c>
      <c r="Z19" s="18" t="str">
        <f>IF(
  tbl_product_preparations[[#This Row],[macro_sum]] &lt;=
  100 + _xlfn.XLOOKUP("WATER_TOTAL_TOLERANCE",tbl_config[config_key],tbl_config[config_value]),
  "OK",
  "ERROR"
)</f>
        <v>OK</v>
      </c>
      <c r="AA19" s="14" t="str">
        <f>_xlfn.LET(
   _xlpm.d, _xlfn.XLOOKUP(tbl_product_preparations[[#This Row],[product_key]],tbl_products[product_key],tbl_products[density_g_per_ml]),
   IF(AND(ISNUMBER(_xlpm.d), _xlpm.d&gt;0), _xlpm.d, "")
)</f>
        <v/>
      </c>
      <c r="AB19" s="18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19" s="18" cm="1">
        <f t="array" ref="AC19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96.923323447634417</v>
      </c>
      <c r="AD19" s="18" cm="1">
        <f t="array" ref="AD19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83.527021141127193</v>
      </c>
      <c r="AE19" s="18" cm="1">
        <f t="array" ref="AE19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68.194075119034807</v>
      </c>
      <c r="AF19" s="18">
        <f>IF(tbl_product_preparations[[#This Row],[kcal_per_100g]]&lt;5,
 0,
 MAX(0,MIN(100,
  ((tbl_product_preparations[[#This Row],[protein_per_100g]]/tbl_product_preparations[[#This Row],[kcal_per_100g]]*100 - 1) / 7 * 100)
 ))
)</f>
        <v>31.428571428571434</v>
      </c>
      <c r="AG19" s="18">
        <f>IF(tbl_product_preparations[[#This Row],[kcal_per_100g]]&lt;5,
 0,
 MAX(0,MIN(100,(tbl_product_preparations[[#This Row],[fiber_per_100g]]/8*100)))
)</f>
        <v>23.75</v>
      </c>
      <c r="AH19" s="18">
        <f>MAX(0,MIN(100,100-(tbl_product_preparations[[#This Row],[sugar_per_100g]]/15*100)))</f>
        <v>72</v>
      </c>
      <c r="AI19" s="18">
        <f>MAX(0,100-(tbl_product_preparations[[#This Row],[alcohol_per_100g]]*50))</f>
        <v>100</v>
      </c>
      <c r="AJ19" s="18">
        <f>ROUND(tbl_product_preparations[[#This Row],[water_percent]],0)</f>
        <v>92</v>
      </c>
      <c r="AK19" s="18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75</v>
      </c>
      <c r="AL19" s="18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65</v>
      </c>
      <c r="AM19" s="18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57</v>
      </c>
      <c r="AN19" s="38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B</v>
      </c>
      <c r="AO19" s="38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B</v>
      </c>
      <c r="AP19" s="38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C</v>
      </c>
      <c r="AQ19" s="18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VEGETABLES</v>
      </c>
      <c r="AR19" s="18"/>
      <c r="AS19" s="18" t="str">
        <f>INDEX(tbl_products[lose_modifier_group],
MATCH(tbl_product_preparations[[#This Row],[product_key]],
tbl_products[product_key],0))</f>
        <v>VEGETABLES</v>
      </c>
      <c r="AT19" s="18">
        <f>INDEX(BONUS_MALUS_LOSE[Modifier],
MATCH(tbl_product_preparations[[#This Row],[lose_modifier_group]],
BONUS_MALUS_LOSE[Group],0))</f>
        <v>5</v>
      </c>
      <c r="AU19" s="18" t="str">
        <f>INDEX(tbl_products[maintain_modifier_group],
MATCH(tbl_product_preparations[[#This Row],[product_key]],
tbl_products[product_key],0))</f>
        <v>VEGETABLES</v>
      </c>
      <c r="AV19" s="18">
        <f>INDEX(BONUS_MALUS_MAINTAIN[Modifier],
MATCH(tbl_product_preparations[[#This Row],[maintain_modifier_group]],
BONUS_MALUS_MAINTAIN[Group],0))</f>
        <v>3</v>
      </c>
      <c r="AW19" s="18" t="str">
        <f>INDEX(tbl_products[gain_modifier_group],
MATCH(tbl_product_preparations[[#This Row],[product_key]],
tbl_products[product_key],0))</f>
        <v>VEGETABLES</v>
      </c>
      <c r="AX19" s="18">
        <f>INDEX(BONUS_MALUS_GAIN[Modifier],
MATCH(tbl_product_preparations[[#This Row],[gain_modifier_group]],
BONUS_MALUS_GAIN[Group],0))</f>
        <v>-2</v>
      </c>
      <c r="AY19" s="18">
        <f>INDEX(PREPARATION_MODIFIERS[lose_preparation_modifier],
MATCH(tbl_product_preparations[[#This Row],[preparation_key]],
PREPARATION_MODIFIERS[preparation_key],0))</f>
        <v>0</v>
      </c>
      <c r="AZ19" s="18">
        <f>INDEX(PREPARATION_MODIFIERS[maintain_preparation_modifier],
MATCH(tbl_product_preparations[[#This Row],[preparation_key]],
PREPARATION_MODIFIERS[preparation_key],0))</f>
        <v>0</v>
      </c>
      <c r="BA19" s="18">
        <f>INDEX(PREPARATION_MODIFIERS[gain_preparation_modifier],
MATCH(tbl_product_preparations[[#This Row],[preparation_key]],
PREPARATION_MODIFIERS[preparation_key],0))</f>
        <v>0</v>
      </c>
    </row>
    <row r="20" spans="1:53" x14ac:dyDescent="0.2">
      <c r="A20" s="31" t="s">
        <v>991</v>
      </c>
      <c r="B20" s="31" t="s">
        <v>363</v>
      </c>
      <c r="C20" s="31" t="s">
        <v>160</v>
      </c>
      <c r="D20" s="31" t="s">
        <v>1020</v>
      </c>
      <c r="E20" s="53" t="str">
        <f>IF(tbl_product_preparations[[#This Row],[source_key]]="MANUFACTURER","MANUFACTURER",
IF(tbl_product_preparations[[#This Row],[source_key]]="CALCULATED","CALCULATED",
"REAL"))</f>
        <v>REAL</v>
      </c>
      <c r="F20" s="53" t="str">
        <f>IF(LEFT(tbl_product_preparations[[#This Row],[source_key]],4)="USDA","US","EU")</f>
        <v>EU</v>
      </c>
      <c r="G20" s="32">
        <v>17</v>
      </c>
      <c r="H20" s="18" t="str">
        <f>IF(
   ISNUMBER(tbl_product_preparations[[#This Row],[density_lookup]]),
   ROUND(tbl_product_preparations[[#This Row],[kcal_per_100g]]*tbl_product_preparations[[#This Row],[density_lookup]],1),
   ""
)</f>
        <v/>
      </c>
      <c r="I20" s="32">
        <v>0.6</v>
      </c>
      <c r="J20" s="32">
        <v>2.2999999999999998</v>
      </c>
      <c r="K20" s="32">
        <v>0.2</v>
      </c>
      <c r="L20" s="32">
        <v>0</v>
      </c>
      <c r="M20" s="32">
        <v>2.2000000000000002</v>
      </c>
      <c r="N20" s="32">
        <v>2</v>
      </c>
      <c r="O20" s="46">
        <f>IF(tbl_product_preparations[[#This Row],[sugar_per_100g]]=0,tbl_product_preparations[[#This Row],[carbs_per_100g]],tbl_product_preparations[[#This Row],[sugar_per_100g]])</f>
        <v>2</v>
      </c>
      <c r="P20" s="36">
        <v>2E-3</v>
      </c>
      <c r="Q20" s="50">
        <f>IF(tbl_product_preparations[[#This Row],[sodium_per_100g]]=0,
tbl_product_preparations[[#This Row],[salt_per_100g]]/2.5,
tbl_product_preparations[[#This Row],[sodium_per_100g]])</f>
        <v>2E-3</v>
      </c>
      <c r="R20" s="24">
        <f>ROUND(tbl_product_preparations[[#This Row],[sodium_per_100g]]*2.5,3)</f>
        <v>5.0000000000000001E-3</v>
      </c>
      <c r="S20" s="24">
        <f>IF(tbl_product_preparations[[#This Row],[salt_per_100g]]=0,
tbl_product_preparations[[#This Row],[sodium_per_100g]]*2.5,
tbl_product_preparations[[#This Row],[salt_per_100g]])</f>
        <v>5.0000000000000001E-3</v>
      </c>
      <c r="T20" s="32">
        <v>94.5</v>
      </c>
      <c r="U20" s="14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20" s="18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17.8</v>
      </c>
      <c r="W20" s="18">
        <f>IF(tbl_product_preparations[[#This Row],[kcal_per_100g]]=0,0,ABS((tbl_product_preparations[[#This Row],[kcal_per_100g]]-tbl_product_preparations[[#This Row],[kcal_calc]])/tbl_product_preparations[[#This Row],[kcal_per_100g]])*100)</f>
        <v>4.7058823529411802</v>
      </c>
      <c r="X20" s="18">
        <f>ROUND(tbl_product_preparations[[#This Row],[kcal_calc]],1)</f>
        <v>17.8</v>
      </c>
      <c r="Y20" s="18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99.802000000000007</v>
      </c>
      <c r="Z20" s="18" t="str">
        <f>IF(
  tbl_product_preparations[[#This Row],[macro_sum]] &lt;=
  100 + _xlfn.XLOOKUP("WATER_TOTAL_TOLERANCE",tbl_config[config_key],tbl_config[config_value]),
  "OK",
  "ERROR"
)</f>
        <v>OK</v>
      </c>
      <c r="AA20" s="14" t="str">
        <f>_xlfn.LET(
   _xlpm.d, _xlfn.XLOOKUP(tbl_product_preparations[[#This Row],[product_key]],tbl_products[product_key],tbl_products[density_g_per_ml]),
   IF(AND(ISNUMBER(_xlpm.d), _xlpm.d&gt;0), _xlpm.d, "")
)</f>
        <v/>
      </c>
      <c r="AB20" s="18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20" s="18" cm="1">
        <f t="array" ref="AC20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80.957164866788688</v>
      </c>
      <c r="AD20" s="18" cm="1">
        <f t="array" ref="AD20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65.494763048588325</v>
      </c>
      <c r="AE20" s="18" cm="1">
        <f t="array" ref="AE20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56.112448482017442</v>
      </c>
      <c r="AF20" s="18">
        <f>IF(tbl_product_preparations[[#This Row],[kcal_per_100g]]&lt;5,
 0,
 MAX(0,MIN(100,
  ((tbl_product_preparations[[#This Row],[protein_per_100g]]/tbl_product_preparations[[#This Row],[kcal_per_100g]]*100 - 1) / 7 * 100)
 ))
)</f>
        <v>36.134453781512605</v>
      </c>
      <c r="AG20" s="18">
        <f>IF(tbl_product_preparations[[#This Row],[kcal_per_100g]]&lt;5,
 0,
 MAX(0,MIN(100,(tbl_product_preparations[[#This Row],[fiber_per_100g]]/8*100)))
)</f>
        <v>27.500000000000004</v>
      </c>
      <c r="AH20" s="18">
        <f>MAX(0,MIN(100,100-(tbl_product_preparations[[#This Row],[sugar_per_100g]]/15*100)))</f>
        <v>86.666666666666671</v>
      </c>
      <c r="AI20" s="18">
        <f>MAX(0,100-(tbl_product_preparations[[#This Row],[alcohol_per_100g]]*50))</f>
        <v>100</v>
      </c>
      <c r="AJ20" s="18">
        <f>ROUND(tbl_product_preparations[[#This Row],[water_percent]],0)</f>
        <v>95</v>
      </c>
      <c r="AK20" s="18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72</v>
      </c>
      <c r="AL20" s="18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62</v>
      </c>
      <c r="AM20" s="18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53</v>
      </c>
      <c r="AN20" s="38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B</v>
      </c>
      <c r="AO20" s="38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C</v>
      </c>
      <c r="AP20" s="38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C</v>
      </c>
      <c r="AQ20" s="18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VEGETABLES</v>
      </c>
      <c r="AR20" s="18"/>
      <c r="AS20" s="18" t="str">
        <f>INDEX(tbl_products[lose_modifier_group],
MATCH(tbl_product_preparations[[#This Row],[product_key]],
tbl_products[product_key],0))</f>
        <v>VEGETABLES</v>
      </c>
      <c r="AT20" s="18">
        <f>INDEX(BONUS_MALUS_LOSE[Modifier],
MATCH(tbl_product_preparations[[#This Row],[lose_modifier_group]],
BONUS_MALUS_LOSE[Group],0))</f>
        <v>5</v>
      </c>
      <c r="AU20" s="18" t="str">
        <f>INDEX(tbl_products[maintain_modifier_group],
MATCH(tbl_product_preparations[[#This Row],[product_key]],
tbl_products[product_key],0))</f>
        <v>VEGETABLES</v>
      </c>
      <c r="AV20" s="18">
        <f>INDEX(BONUS_MALUS_MAINTAIN[Modifier],
MATCH(tbl_product_preparations[[#This Row],[maintain_modifier_group]],
BONUS_MALUS_MAINTAIN[Group],0))</f>
        <v>3</v>
      </c>
      <c r="AW20" s="18" t="str">
        <f>INDEX(tbl_products[gain_modifier_group],
MATCH(tbl_product_preparations[[#This Row],[product_key]],
tbl_products[product_key],0))</f>
        <v>VEGETABLES</v>
      </c>
      <c r="AX20" s="18">
        <f>INDEX(BONUS_MALUS_GAIN[Modifier],
MATCH(tbl_product_preparations[[#This Row],[gain_modifier_group]],
BONUS_MALUS_GAIN[Group],0))</f>
        <v>-2</v>
      </c>
      <c r="AY20" s="18">
        <f>INDEX(PREPARATION_MODIFIERS[lose_preparation_modifier],
MATCH(tbl_product_preparations[[#This Row],[preparation_key]],
PREPARATION_MODIFIERS[preparation_key],0))</f>
        <v>0</v>
      </c>
      <c r="AZ20" s="18">
        <f>INDEX(PREPARATION_MODIFIERS[maintain_preparation_modifier],
MATCH(tbl_product_preparations[[#This Row],[preparation_key]],
PREPARATION_MODIFIERS[preparation_key],0))</f>
        <v>0</v>
      </c>
      <c r="BA20" s="18">
        <f>INDEX(PREPARATION_MODIFIERS[gain_preparation_modifier],
MATCH(tbl_product_preparations[[#This Row],[preparation_key]],
PREPARATION_MODIFIERS[preparation_key],0))</f>
        <v>0</v>
      </c>
    </row>
    <row r="21" spans="1:53" x14ac:dyDescent="0.2">
      <c r="A21" s="31" t="s">
        <v>991</v>
      </c>
      <c r="B21" s="31" t="s">
        <v>365</v>
      </c>
      <c r="C21" s="31" t="s">
        <v>160</v>
      </c>
      <c r="D21" s="31" t="s">
        <v>1021</v>
      </c>
      <c r="E21" s="53" t="str">
        <f>IF(tbl_product_preparations[[#This Row],[source_key]]="MANUFACTURER","MANUFACTURER",
IF(tbl_product_preparations[[#This Row],[source_key]]="CALCULATED","CALCULATED",
"REAL"))</f>
        <v>REAL</v>
      </c>
      <c r="F21" s="53" t="str">
        <f>IF(LEFT(tbl_product_preparations[[#This Row],[source_key]],4)="USDA","US","EU")</f>
        <v>EU</v>
      </c>
      <c r="G21" s="32">
        <v>19</v>
      </c>
      <c r="H21" s="18" t="str">
        <f>IF(
   ISNUMBER(tbl_product_preparations[[#This Row],[density_lookup]]),
   ROUND(tbl_product_preparations[[#This Row],[kcal_per_100g]]*tbl_product_preparations[[#This Row],[density_lookup]],1),
   ""
)</f>
        <v/>
      </c>
      <c r="I21" s="32">
        <v>0.8</v>
      </c>
      <c r="J21" s="32">
        <v>2.5</v>
      </c>
      <c r="K21" s="32">
        <v>0.1</v>
      </c>
      <c r="L21" s="32">
        <v>0</v>
      </c>
      <c r="M21" s="32">
        <v>2.5</v>
      </c>
      <c r="N21" s="32">
        <v>2.5</v>
      </c>
      <c r="O21" s="46">
        <f>IF(tbl_product_preparations[[#This Row],[sugar_per_100g]]=0,tbl_product_preparations[[#This Row],[carbs_per_100g]],tbl_product_preparations[[#This Row],[sugar_per_100g]])</f>
        <v>2.5</v>
      </c>
      <c r="P21" s="36">
        <v>0</v>
      </c>
      <c r="Q21" s="50">
        <f>IF(tbl_product_preparations[[#This Row],[sodium_per_100g]]=0,
tbl_product_preparations[[#This Row],[salt_per_100g]]/2.5,
tbl_product_preparations[[#This Row],[sodium_per_100g]])</f>
        <v>0</v>
      </c>
      <c r="R21" s="24">
        <f>ROUND(tbl_product_preparations[[#This Row],[sodium_per_100g]]*2.5,3)</f>
        <v>0</v>
      </c>
      <c r="S21" s="24">
        <f>IF(tbl_product_preparations[[#This Row],[salt_per_100g]]=0,
tbl_product_preparations[[#This Row],[sodium_per_100g]]*2.5,
tbl_product_preparations[[#This Row],[salt_per_100g]])</f>
        <v>0</v>
      </c>
      <c r="T21" s="32">
        <v>94.6</v>
      </c>
      <c r="U21" s="14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21" s="18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19.100000000000001</v>
      </c>
      <c r="W21" s="18">
        <f>IF(tbl_product_preparations[[#This Row],[kcal_per_100g]]=0,0,ABS((tbl_product_preparations[[#This Row],[kcal_per_100g]]-tbl_product_preparations[[#This Row],[kcal_calc]])/tbl_product_preparations[[#This Row],[kcal_per_100g]])*100)</f>
        <v>0.52631578947369162</v>
      </c>
      <c r="X21" s="18">
        <f>ROUND(tbl_product_preparations[[#This Row],[kcal_calc]],1)</f>
        <v>19.100000000000001</v>
      </c>
      <c r="Y21" s="18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100.5</v>
      </c>
      <c r="Z21" s="18" t="str">
        <f>IF(
  tbl_product_preparations[[#This Row],[macro_sum]] &lt;=
  100 + _xlfn.XLOOKUP("WATER_TOTAL_TOLERANCE",tbl_config[config_key],tbl_config[config_value]),
  "OK",
  "ERROR"
)</f>
        <v>OK</v>
      </c>
      <c r="AA21" s="14" t="str">
        <f>_xlfn.LET(
   _xlpm.d, _xlfn.XLOOKUP(tbl_product_preparations[[#This Row],[product_key]],tbl_products[product_key],tbl_products[density_g_per_ml]),
   IF(AND(ISNUMBER(_xlpm.d), _xlpm.d&gt;0), _xlpm.d, "")
)</f>
        <v/>
      </c>
      <c r="AB21" s="18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21" s="18" cm="1">
        <f t="array" ref="AC21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85.963276360254227</v>
      </c>
      <c r="AD21" s="18" cm="1">
        <f t="array" ref="AD21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70.271772286839763</v>
      </c>
      <c r="AE21" s="18" cm="1">
        <f t="array" ref="AE21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59.137053219698124</v>
      </c>
      <c r="AF21" s="18">
        <f>IF(tbl_product_preparations[[#This Row],[kcal_per_100g]]&lt;5,
 0,
 MAX(0,MIN(100,
  ((tbl_product_preparations[[#This Row],[protein_per_100g]]/tbl_product_preparations[[#This Row],[kcal_per_100g]]*100 - 1) / 7 * 100)
 ))
)</f>
        <v>45.864661654135332</v>
      </c>
      <c r="AG21" s="18">
        <f>IF(tbl_product_preparations[[#This Row],[kcal_per_100g]]&lt;5,
 0,
 MAX(0,MIN(100,(tbl_product_preparations[[#This Row],[fiber_per_100g]]/8*100)))
)</f>
        <v>31.25</v>
      </c>
      <c r="AH21" s="18">
        <f>MAX(0,MIN(100,100-(tbl_product_preparations[[#This Row],[sugar_per_100g]]/15*100)))</f>
        <v>83.333333333333343</v>
      </c>
      <c r="AI21" s="18">
        <f>MAX(0,100-(tbl_product_preparations[[#This Row],[alcohol_per_100g]]*50))</f>
        <v>100</v>
      </c>
      <c r="AJ21" s="18">
        <f>ROUND(tbl_product_preparations[[#This Row],[water_percent]],0)</f>
        <v>95</v>
      </c>
      <c r="AK21" s="18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76</v>
      </c>
      <c r="AL21" s="18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66</v>
      </c>
      <c r="AM21" s="18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57</v>
      </c>
      <c r="AN21" s="38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B</v>
      </c>
      <c r="AO21" s="38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B</v>
      </c>
      <c r="AP21" s="38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C</v>
      </c>
      <c r="AQ21" s="18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VEGETABLES</v>
      </c>
      <c r="AR21" s="18"/>
      <c r="AS21" s="18" t="str">
        <f>INDEX(tbl_products[lose_modifier_group],
MATCH(tbl_product_preparations[[#This Row],[product_key]],
tbl_products[product_key],0))</f>
        <v>VEGETABLES</v>
      </c>
      <c r="AT21" s="18">
        <f>INDEX(BONUS_MALUS_LOSE[Modifier],
MATCH(tbl_product_preparations[[#This Row],[lose_modifier_group]],
BONUS_MALUS_LOSE[Group],0))</f>
        <v>5</v>
      </c>
      <c r="AU21" s="18" t="str">
        <f>INDEX(tbl_products[maintain_modifier_group],
MATCH(tbl_product_preparations[[#This Row],[product_key]],
tbl_products[product_key],0))</f>
        <v>VEGETABLES</v>
      </c>
      <c r="AV21" s="18">
        <f>INDEX(BONUS_MALUS_MAINTAIN[Modifier],
MATCH(tbl_product_preparations[[#This Row],[maintain_modifier_group]],
BONUS_MALUS_MAINTAIN[Group],0))</f>
        <v>3</v>
      </c>
      <c r="AW21" s="18" t="str">
        <f>INDEX(tbl_products[gain_modifier_group],
MATCH(tbl_product_preparations[[#This Row],[product_key]],
tbl_products[product_key],0))</f>
        <v>VEGETABLES</v>
      </c>
      <c r="AX21" s="18">
        <f>INDEX(BONUS_MALUS_GAIN[Modifier],
MATCH(tbl_product_preparations[[#This Row],[gain_modifier_group]],
BONUS_MALUS_GAIN[Group],0))</f>
        <v>-2</v>
      </c>
      <c r="AY21" s="18">
        <f>INDEX(PREPARATION_MODIFIERS[lose_preparation_modifier],
MATCH(tbl_product_preparations[[#This Row],[preparation_key]],
PREPARATION_MODIFIERS[preparation_key],0))</f>
        <v>0</v>
      </c>
      <c r="AZ21" s="18">
        <f>INDEX(PREPARATION_MODIFIERS[maintain_preparation_modifier],
MATCH(tbl_product_preparations[[#This Row],[preparation_key]],
PREPARATION_MODIFIERS[preparation_key],0))</f>
        <v>0</v>
      </c>
      <c r="BA21" s="18">
        <f>INDEX(PREPARATION_MODIFIERS[gain_preparation_modifier],
MATCH(tbl_product_preparations[[#This Row],[preparation_key]],
PREPARATION_MODIFIERS[preparation_key],0))</f>
        <v>0</v>
      </c>
    </row>
    <row r="22" spans="1:53" x14ac:dyDescent="0.2">
      <c r="A22" s="31" t="s">
        <v>994</v>
      </c>
      <c r="B22" s="31" t="s">
        <v>365</v>
      </c>
      <c r="C22" s="31" t="s">
        <v>160</v>
      </c>
      <c r="D22" s="31" t="s">
        <v>1022</v>
      </c>
      <c r="E22" s="53" t="str">
        <f>IF(tbl_product_preparations[[#This Row],[source_key]]="MANUFACTURER","MANUFACTURER",
IF(tbl_product_preparations[[#This Row],[source_key]]="CALCULATED","CALCULATED",
"REAL"))</f>
        <v>REAL</v>
      </c>
      <c r="F22" s="53" t="str">
        <f>IF(LEFT(tbl_product_preparations[[#This Row],[source_key]],4)="USDA","US","EU")</f>
        <v>EU</v>
      </c>
      <c r="G22" s="32">
        <v>28</v>
      </c>
      <c r="H22" s="18" t="str">
        <f>IF(
   ISNUMBER(tbl_product_preparations[[#This Row],[density_lookup]]),
   ROUND(tbl_product_preparations[[#This Row],[kcal_per_100g]]*tbl_product_preparations[[#This Row],[density_lookup]],1),
   ""
)</f>
        <v/>
      </c>
      <c r="I22" s="32">
        <v>0.8</v>
      </c>
      <c r="J22" s="32">
        <v>4.7</v>
      </c>
      <c r="K22" s="32">
        <v>0.3</v>
      </c>
      <c r="L22" s="32">
        <v>0</v>
      </c>
      <c r="M22" s="32">
        <v>1.7</v>
      </c>
      <c r="N22" s="32">
        <v>4.7</v>
      </c>
      <c r="O22" s="46">
        <f>IF(tbl_product_preparations[[#This Row],[sugar_per_100g]]=0,tbl_product_preparations[[#This Row],[carbs_per_100g]],tbl_product_preparations[[#This Row],[sugar_per_100g]])</f>
        <v>4.7</v>
      </c>
      <c r="P22" s="36">
        <v>0</v>
      </c>
      <c r="Q22" s="50">
        <f>IF(tbl_product_preparations[[#This Row],[sodium_per_100g]]=0,
tbl_product_preparations[[#This Row],[salt_per_100g]]/2.5,
tbl_product_preparations[[#This Row],[sodium_per_100g]])</f>
        <v>0</v>
      </c>
      <c r="R22" s="24">
        <f>ROUND(tbl_product_preparations[[#This Row],[sodium_per_100g]]*2.5,3)</f>
        <v>0</v>
      </c>
      <c r="S22" s="24">
        <f>IF(tbl_product_preparations[[#This Row],[salt_per_100g]]=0,
tbl_product_preparations[[#This Row],[sodium_per_100g]]*2.5,
tbl_product_preparations[[#This Row],[salt_per_100g]])</f>
        <v>0</v>
      </c>
      <c r="T22" s="32">
        <v>92.2</v>
      </c>
      <c r="U22" s="14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22" s="18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28.099999999999998</v>
      </c>
      <c r="W22" s="18">
        <f>IF(tbl_product_preparations[[#This Row],[kcal_per_100g]]=0,0,ABS((tbl_product_preparations[[#This Row],[kcal_per_100g]]-tbl_product_preparations[[#This Row],[kcal_calc]])/tbl_product_preparations[[#This Row],[kcal_per_100g]])*100)</f>
        <v>0.35714285714284955</v>
      </c>
      <c r="X22" s="18">
        <f>ROUND(tbl_product_preparations[[#This Row],[kcal_calc]],1)</f>
        <v>28.1</v>
      </c>
      <c r="Y22" s="18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99.7</v>
      </c>
      <c r="Z22" s="18" t="str">
        <f>IF(
  tbl_product_preparations[[#This Row],[macro_sum]] &lt;=
  100 + _xlfn.XLOOKUP("WATER_TOTAL_TOLERANCE",tbl_config[config_key],tbl_config[config_value]),
  "OK",
  "ERROR"
)</f>
        <v>OK</v>
      </c>
      <c r="AA22" s="14" t="str">
        <f>_xlfn.LET(
   _xlpm.d, _xlfn.XLOOKUP(tbl_product_preparations[[#This Row],[product_key]],tbl_products[product_key],tbl_products[density_g_per_ml]),
   IF(AND(ISNUMBER(_xlpm.d), _xlpm.d&gt;0), _xlpm.d, "")
)</f>
        <v/>
      </c>
      <c r="AB22" s="18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22" s="18" cm="1">
        <f t="array" ref="AC22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99.501247919268238</v>
      </c>
      <c r="AD22" s="18" cm="1">
        <f t="array" ref="AD22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89.11878885041844</v>
      </c>
      <c r="AE22" s="18" cm="1">
        <f t="array" ref="AE22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72.614903707369095</v>
      </c>
      <c r="AF22" s="18">
        <f>IF(tbl_product_preparations[[#This Row],[kcal_per_100g]]&lt;5,
 0,
 MAX(0,MIN(100,
  ((tbl_product_preparations[[#This Row],[protein_per_100g]]/tbl_product_preparations[[#This Row],[kcal_per_100g]]*100 - 1) / 7 * 100)
 ))
)</f>
        <v>26.530612244897959</v>
      </c>
      <c r="AG22" s="18">
        <f>IF(tbl_product_preparations[[#This Row],[kcal_per_100g]]&lt;5,
 0,
 MAX(0,MIN(100,(tbl_product_preparations[[#This Row],[fiber_per_100g]]/8*100)))
)</f>
        <v>21.25</v>
      </c>
      <c r="AH22" s="18">
        <f>MAX(0,MIN(100,100-(tbl_product_preparations[[#This Row],[sugar_per_100g]]/15*100)))</f>
        <v>68.666666666666657</v>
      </c>
      <c r="AI22" s="18">
        <f>MAX(0,100-(tbl_product_preparations[[#This Row],[alcohol_per_100g]]*50))</f>
        <v>100</v>
      </c>
      <c r="AJ22" s="18">
        <f>ROUND(tbl_product_preparations[[#This Row],[water_percent]],0)</f>
        <v>92</v>
      </c>
      <c r="AK22" s="18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74</v>
      </c>
      <c r="AL22" s="18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66</v>
      </c>
      <c r="AM22" s="18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58</v>
      </c>
      <c r="AN22" s="38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B</v>
      </c>
      <c r="AO22" s="38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B</v>
      </c>
      <c r="AP22" s="38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C</v>
      </c>
      <c r="AQ22" s="18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VEGETABLES</v>
      </c>
      <c r="AR22" s="18"/>
      <c r="AS22" s="18" t="str">
        <f>INDEX(tbl_products[lose_modifier_group],
MATCH(tbl_product_preparations[[#This Row],[product_key]],
tbl_products[product_key],0))</f>
        <v>VEGETABLES</v>
      </c>
      <c r="AT22" s="18">
        <f>INDEX(BONUS_MALUS_LOSE[Modifier],
MATCH(tbl_product_preparations[[#This Row],[lose_modifier_group]],
BONUS_MALUS_LOSE[Group],0))</f>
        <v>5</v>
      </c>
      <c r="AU22" s="18" t="str">
        <f>INDEX(tbl_products[maintain_modifier_group],
MATCH(tbl_product_preparations[[#This Row],[product_key]],
tbl_products[product_key],0))</f>
        <v>VEGETABLES</v>
      </c>
      <c r="AV22" s="18">
        <f>INDEX(BONUS_MALUS_MAINTAIN[Modifier],
MATCH(tbl_product_preparations[[#This Row],[maintain_modifier_group]],
BONUS_MALUS_MAINTAIN[Group],0))</f>
        <v>3</v>
      </c>
      <c r="AW22" s="18" t="str">
        <f>INDEX(tbl_products[gain_modifier_group],
MATCH(tbl_product_preparations[[#This Row],[product_key]],
tbl_products[product_key],0))</f>
        <v>VEGETABLES</v>
      </c>
      <c r="AX22" s="18">
        <f>INDEX(BONUS_MALUS_GAIN[Modifier],
MATCH(tbl_product_preparations[[#This Row],[gain_modifier_group]],
BONUS_MALUS_GAIN[Group],0))</f>
        <v>-2</v>
      </c>
      <c r="AY22" s="18">
        <f>INDEX(PREPARATION_MODIFIERS[lose_preparation_modifier],
MATCH(tbl_product_preparations[[#This Row],[preparation_key]],
PREPARATION_MODIFIERS[preparation_key],0))</f>
        <v>0</v>
      </c>
      <c r="AZ22" s="18">
        <f>INDEX(PREPARATION_MODIFIERS[maintain_preparation_modifier],
MATCH(tbl_product_preparations[[#This Row],[preparation_key]],
PREPARATION_MODIFIERS[preparation_key],0))</f>
        <v>0</v>
      </c>
      <c r="BA22" s="18">
        <f>INDEX(PREPARATION_MODIFIERS[gain_preparation_modifier],
MATCH(tbl_product_preparations[[#This Row],[preparation_key]],
PREPARATION_MODIFIERS[preparation_key],0))</f>
        <v>0</v>
      </c>
    </row>
    <row r="23" spans="1:53" x14ac:dyDescent="0.2">
      <c r="A23" s="31" t="s">
        <v>992</v>
      </c>
      <c r="B23" s="31" t="s">
        <v>363</v>
      </c>
      <c r="C23" s="31" t="s">
        <v>160</v>
      </c>
      <c r="D23" s="31" t="s">
        <v>1023</v>
      </c>
      <c r="E23" s="53" t="str">
        <f>IF(tbl_product_preparations[[#This Row],[source_key]]="MANUFACTURER","MANUFACTURER",
IF(tbl_product_preparations[[#This Row],[source_key]]="CALCULATED","CALCULATED",
"REAL"))</f>
        <v>REAL</v>
      </c>
      <c r="F23" s="53" t="str">
        <f>IF(LEFT(tbl_product_preparations[[#This Row],[source_key]],4)="USDA","US","EU")</f>
        <v>EU</v>
      </c>
      <c r="G23" s="32">
        <v>28</v>
      </c>
      <c r="H23" s="18" t="str">
        <f>IF(
   ISNUMBER(tbl_product_preparations[[#This Row],[density_lookup]]),
   ROUND(tbl_product_preparations[[#This Row],[kcal_per_100g]]*tbl_product_preparations[[#This Row],[density_lookup]],1),
   ""
)</f>
        <v/>
      </c>
      <c r="I23" s="32">
        <v>0.9</v>
      </c>
      <c r="J23" s="32">
        <v>5.0999999999999996</v>
      </c>
      <c r="K23" s="32">
        <v>0.1</v>
      </c>
      <c r="L23" s="32">
        <v>0</v>
      </c>
      <c r="M23" s="32">
        <v>1.7</v>
      </c>
      <c r="N23" s="32">
        <v>4.2</v>
      </c>
      <c r="O23" s="46">
        <f>IF(tbl_product_preparations[[#This Row],[sugar_per_100g]]=0,tbl_product_preparations[[#This Row],[carbs_per_100g]],tbl_product_preparations[[#This Row],[sugar_per_100g]])</f>
        <v>4.2</v>
      </c>
      <c r="P23" s="36">
        <v>2E-3</v>
      </c>
      <c r="Q23" s="50">
        <f>IF(tbl_product_preparations[[#This Row],[sodium_per_100g]]=0,
tbl_product_preparations[[#This Row],[salt_per_100g]]/2.5,
tbl_product_preparations[[#This Row],[sodium_per_100g]])</f>
        <v>2E-3</v>
      </c>
      <c r="R23" s="24">
        <f>ROUND(tbl_product_preparations[[#This Row],[sodium_per_100g]]*2.5,3)</f>
        <v>5.0000000000000001E-3</v>
      </c>
      <c r="S23" s="24">
        <f>IF(tbl_product_preparations[[#This Row],[salt_per_100g]]=0,
tbl_product_preparations[[#This Row],[sodium_per_100g]]*2.5,
tbl_product_preparations[[#This Row],[salt_per_100g]])</f>
        <v>5.0000000000000001E-3</v>
      </c>
      <c r="T23" s="32">
        <v>91.9</v>
      </c>
      <c r="U23" s="14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23" s="18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28.299999999999997</v>
      </c>
      <c r="W23" s="18">
        <f>IF(tbl_product_preparations[[#This Row],[kcal_per_100g]]=0,0,ABS((tbl_product_preparations[[#This Row],[kcal_per_100g]]-tbl_product_preparations[[#This Row],[kcal_calc]])/tbl_product_preparations[[#This Row],[kcal_per_100g]])*100)</f>
        <v>1.0714285714285612</v>
      </c>
      <c r="X23" s="18">
        <f>ROUND(tbl_product_preparations[[#This Row],[kcal_calc]],1)</f>
        <v>28.3</v>
      </c>
      <c r="Y23" s="18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99.701999999999998</v>
      </c>
      <c r="Z23" s="18" t="str">
        <f>IF(
  tbl_product_preparations[[#This Row],[macro_sum]] &lt;=
  100 + _xlfn.XLOOKUP("WATER_TOTAL_TOLERANCE",tbl_config[config_key],tbl_config[config_value]),
  "OK",
  "ERROR"
)</f>
        <v>OK</v>
      </c>
      <c r="AA23" s="14" t="str">
        <f>_xlfn.LET(
   _xlpm.d, _xlfn.XLOOKUP(tbl_product_preparations[[#This Row],[product_key]],tbl_products[product_key],tbl_products[density_g_per_ml]),
   IF(AND(ISNUMBER(_xlpm.d), _xlpm.d&gt;0), _xlpm.d, "")
)</f>
        <v/>
      </c>
      <c r="AB23" s="18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23" s="18" cm="1">
        <f t="array" ref="AC23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99.501247919268238</v>
      </c>
      <c r="AD23" s="18" cm="1">
        <f t="array" ref="AD23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89.11878885041844</v>
      </c>
      <c r="AE23" s="18" cm="1">
        <f t="array" ref="AE23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72.614903707369095</v>
      </c>
      <c r="AF23" s="18">
        <f>IF(tbl_product_preparations[[#This Row],[kcal_per_100g]]&lt;5,
 0,
 MAX(0,MIN(100,
  ((tbl_product_preparations[[#This Row],[protein_per_100g]]/tbl_product_preparations[[#This Row],[kcal_per_100g]]*100 - 1) / 7 * 100)
 ))
)</f>
        <v>31.632653061224499</v>
      </c>
      <c r="AG23" s="18">
        <f>IF(tbl_product_preparations[[#This Row],[kcal_per_100g]]&lt;5,
 0,
 MAX(0,MIN(100,(tbl_product_preparations[[#This Row],[fiber_per_100g]]/8*100)))
)</f>
        <v>21.25</v>
      </c>
      <c r="AH23" s="18">
        <f>MAX(0,MIN(100,100-(tbl_product_preparations[[#This Row],[sugar_per_100g]]/15*100)))</f>
        <v>72</v>
      </c>
      <c r="AI23" s="18">
        <f>MAX(0,100-(tbl_product_preparations[[#This Row],[alcohol_per_100g]]*50))</f>
        <v>100</v>
      </c>
      <c r="AJ23" s="18">
        <f>ROUND(tbl_product_preparations[[#This Row],[water_percent]],0)</f>
        <v>92</v>
      </c>
      <c r="AK23" s="18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75</v>
      </c>
      <c r="AL23" s="18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67</v>
      </c>
      <c r="AM23" s="18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59</v>
      </c>
      <c r="AN23" s="38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B</v>
      </c>
      <c r="AO23" s="38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B</v>
      </c>
      <c r="AP23" s="38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C</v>
      </c>
      <c r="AQ23" s="18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VEGETABLES</v>
      </c>
      <c r="AR23" s="18"/>
      <c r="AS23" s="18" t="str">
        <f>INDEX(tbl_products[lose_modifier_group],
MATCH(tbl_product_preparations[[#This Row],[product_key]],
tbl_products[product_key],0))</f>
        <v>VEGETABLES</v>
      </c>
      <c r="AT23" s="18">
        <f>INDEX(BONUS_MALUS_LOSE[Modifier],
MATCH(tbl_product_preparations[[#This Row],[lose_modifier_group]],
BONUS_MALUS_LOSE[Group],0))</f>
        <v>5</v>
      </c>
      <c r="AU23" s="18" t="str">
        <f>INDEX(tbl_products[maintain_modifier_group],
MATCH(tbl_product_preparations[[#This Row],[product_key]],
tbl_products[product_key],0))</f>
        <v>VEGETABLES</v>
      </c>
      <c r="AV23" s="18">
        <f>INDEX(BONUS_MALUS_MAINTAIN[Modifier],
MATCH(tbl_product_preparations[[#This Row],[maintain_modifier_group]],
BONUS_MALUS_MAINTAIN[Group],0))</f>
        <v>3</v>
      </c>
      <c r="AW23" s="18" t="str">
        <f>INDEX(tbl_products[gain_modifier_group],
MATCH(tbl_product_preparations[[#This Row],[product_key]],
tbl_products[product_key],0))</f>
        <v>VEGETABLES</v>
      </c>
      <c r="AX23" s="18">
        <f>INDEX(BONUS_MALUS_GAIN[Modifier],
MATCH(tbl_product_preparations[[#This Row],[gain_modifier_group]],
BONUS_MALUS_GAIN[Group],0))</f>
        <v>-2</v>
      </c>
      <c r="AY23" s="18">
        <f>INDEX(PREPARATION_MODIFIERS[lose_preparation_modifier],
MATCH(tbl_product_preparations[[#This Row],[preparation_key]],
PREPARATION_MODIFIERS[preparation_key],0))</f>
        <v>0</v>
      </c>
      <c r="AZ23" s="18">
        <f>INDEX(PREPARATION_MODIFIERS[maintain_preparation_modifier],
MATCH(tbl_product_preparations[[#This Row],[preparation_key]],
PREPARATION_MODIFIERS[preparation_key],0))</f>
        <v>0</v>
      </c>
      <c r="BA23" s="18">
        <f>INDEX(PREPARATION_MODIFIERS[gain_preparation_modifier],
MATCH(tbl_product_preparations[[#This Row],[preparation_key]],
PREPARATION_MODIFIERS[preparation_key],0))</f>
        <v>0</v>
      </c>
    </row>
    <row r="24" spans="1:53" x14ac:dyDescent="0.2">
      <c r="A24" s="31" t="s">
        <v>992</v>
      </c>
      <c r="B24" s="31" t="s">
        <v>365</v>
      </c>
      <c r="C24" s="31" t="s">
        <v>160</v>
      </c>
      <c r="D24" s="31" t="s">
        <v>1024</v>
      </c>
      <c r="E24" s="53" t="str">
        <f>IF(tbl_product_preparations[[#This Row],[source_key]]="MANUFACTURER","MANUFACTURER",
IF(tbl_product_preparations[[#This Row],[source_key]]="CALCULATED","CALCULATED",
"REAL"))</f>
        <v>REAL</v>
      </c>
      <c r="F24" s="53" t="str">
        <f>IF(LEFT(tbl_product_preparations[[#This Row],[source_key]],4)="USDA","US","EU")</f>
        <v>EU</v>
      </c>
      <c r="G24" s="32">
        <v>25</v>
      </c>
      <c r="H24" s="18" t="str">
        <f>IF(
   ISNUMBER(tbl_product_preparations[[#This Row],[density_lookup]]),
   ROUND(tbl_product_preparations[[#This Row],[kcal_per_100g]]*tbl_product_preparations[[#This Row],[density_lookup]],1),
   ""
)</f>
        <v/>
      </c>
      <c r="I24" s="32">
        <v>0.8</v>
      </c>
      <c r="J24" s="32">
        <v>4.3</v>
      </c>
      <c r="K24" s="32">
        <v>0.1</v>
      </c>
      <c r="L24" s="32">
        <v>0</v>
      </c>
      <c r="M24" s="32">
        <v>1.8</v>
      </c>
      <c r="N24" s="32">
        <v>4.3</v>
      </c>
      <c r="O24" s="46">
        <f>IF(tbl_product_preparations[[#This Row],[sugar_per_100g]]=0,tbl_product_preparations[[#This Row],[carbs_per_100g]],tbl_product_preparations[[#This Row],[sugar_per_100g]])</f>
        <v>4.3</v>
      </c>
      <c r="P24" s="36">
        <v>1E-3</v>
      </c>
      <c r="Q24" s="50">
        <f>IF(tbl_product_preparations[[#This Row],[sodium_per_100g]]=0,
tbl_product_preparations[[#This Row],[salt_per_100g]]/2.5,
tbl_product_preparations[[#This Row],[sodium_per_100g]])</f>
        <v>1E-3</v>
      </c>
      <c r="R24" s="24">
        <f>ROUND(tbl_product_preparations[[#This Row],[sodium_per_100g]]*2.5,3)</f>
        <v>3.0000000000000001E-3</v>
      </c>
      <c r="S24" s="24">
        <f>IF(tbl_product_preparations[[#This Row],[salt_per_100g]]=0,
tbl_product_preparations[[#This Row],[sodium_per_100g]]*2.5,
tbl_product_preparations[[#This Row],[salt_per_100g]])</f>
        <v>3.0000000000000001E-3</v>
      </c>
      <c r="T24" s="32">
        <v>91.6</v>
      </c>
      <c r="U24" s="14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24" s="18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24.9</v>
      </c>
      <c r="W24" s="18">
        <f>IF(tbl_product_preparations[[#This Row],[kcal_per_100g]]=0,0,ABS((tbl_product_preparations[[#This Row],[kcal_per_100g]]-tbl_product_preparations[[#This Row],[kcal_calc]])/tbl_product_preparations[[#This Row],[kcal_per_100g]])*100)</f>
        <v>0.40000000000000563</v>
      </c>
      <c r="X24" s="18">
        <f>ROUND(tbl_product_preparations[[#This Row],[kcal_calc]],1)</f>
        <v>24.9</v>
      </c>
      <c r="Y24" s="18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98.600999999999999</v>
      </c>
      <c r="Z24" s="18" t="str">
        <f>IF(
  tbl_product_preparations[[#This Row],[macro_sum]] &lt;=
  100 + _xlfn.XLOOKUP("WATER_TOTAL_TOLERANCE",tbl_config[config_key],tbl_config[config_value]),
  "OK",
  "ERROR"
)</f>
        <v>OK</v>
      </c>
      <c r="AA24" s="14" t="str">
        <f>_xlfn.LET(
   _xlpm.d, _xlfn.XLOOKUP(tbl_product_preparations[[#This Row],[product_key]],tbl_products[product_key],tbl_products[density_g_per_ml]),
   IF(AND(ISNUMBER(_xlpm.d), _xlpm.d&gt;0), _xlpm.d, "")
)</f>
        <v/>
      </c>
      <c r="AB24" s="18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24" s="18" cm="1">
        <f t="array" ref="AC24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96.923323447634417</v>
      </c>
      <c r="AD24" s="18" cm="1">
        <f t="array" ref="AD24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83.527021141127193</v>
      </c>
      <c r="AE24" s="18" cm="1">
        <f t="array" ref="AE24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68.194075119034807</v>
      </c>
      <c r="AF24" s="18">
        <f>IF(tbl_product_preparations[[#This Row],[kcal_per_100g]]&lt;5,
 0,
 MAX(0,MIN(100,
  ((tbl_product_preparations[[#This Row],[protein_per_100g]]/tbl_product_preparations[[#This Row],[kcal_per_100g]]*100 - 1) / 7 * 100)
 ))
)</f>
        <v>31.428571428571434</v>
      </c>
      <c r="AG24" s="18">
        <f>IF(tbl_product_preparations[[#This Row],[kcal_per_100g]]&lt;5,
 0,
 MAX(0,MIN(100,(tbl_product_preparations[[#This Row],[fiber_per_100g]]/8*100)))
)</f>
        <v>22.5</v>
      </c>
      <c r="AH24" s="18">
        <f>MAX(0,MIN(100,100-(tbl_product_preparations[[#This Row],[sugar_per_100g]]/15*100)))</f>
        <v>71.333333333333329</v>
      </c>
      <c r="AI24" s="18">
        <f>MAX(0,100-(tbl_product_preparations[[#This Row],[alcohol_per_100g]]*50))</f>
        <v>100</v>
      </c>
      <c r="AJ24" s="18">
        <f>ROUND(tbl_product_preparations[[#This Row],[water_percent]],0)</f>
        <v>92</v>
      </c>
      <c r="AK24" s="18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74</v>
      </c>
      <c r="AL24" s="18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65</v>
      </c>
      <c r="AM24" s="18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57</v>
      </c>
      <c r="AN24" s="38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B</v>
      </c>
      <c r="AO24" s="38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B</v>
      </c>
      <c r="AP24" s="38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C</v>
      </c>
      <c r="AQ24" s="18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VEGETABLES</v>
      </c>
      <c r="AR24" s="18"/>
      <c r="AS24" s="18" t="str">
        <f>INDEX(tbl_products[lose_modifier_group],
MATCH(tbl_product_preparations[[#This Row],[product_key]],
tbl_products[product_key],0))</f>
        <v>VEGETABLES</v>
      </c>
      <c r="AT24" s="18">
        <f>INDEX(BONUS_MALUS_LOSE[Modifier],
MATCH(tbl_product_preparations[[#This Row],[lose_modifier_group]],
BONUS_MALUS_LOSE[Group],0))</f>
        <v>5</v>
      </c>
      <c r="AU24" s="18" t="str">
        <f>INDEX(tbl_products[maintain_modifier_group],
MATCH(tbl_product_preparations[[#This Row],[product_key]],
tbl_products[product_key],0))</f>
        <v>VEGETABLES</v>
      </c>
      <c r="AV24" s="18">
        <f>INDEX(BONUS_MALUS_MAINTAIN[Modifier],
MATCH(tbl_product_preparations[[#This Row],[maintain_modifier_group]],
BONUS_MALUS_MAINTAIN[Group],0))</f>
        <v>3</v>
      </c>
      <c r="AW24" s="18" t="str">
        <f>INDEX(tbl_products[gain_modifier_group],
MATCH(tbl_product_preparations[[#This Row],[product_key]],
tbl_products[product_key],0))</f>
        <v>VEGETABLES</v>
      </c>
      <c r="AX24" s="18">
        <f>INDEX(BONUS_MALUS_GAIN[Modifier],
MATCH(tbl_product_preparations[[#This Row],[gain_modifier_group]],
BONUS_MALUS_GAIN[Group],0))</f>
        <v>-2</v>
      </c>
      <c r="AY24" s="18">
        <f>INDEX(PREPARATION_MODIFIERS[lose_preparation_modifier],
MATCH(tbl_product_preparations[[#This Row],[preparation_key]],
PREPARATION_MODIFIERS[preparation_key],0))</f>
        <v>0</v>
      </c>
      <c r="AZ24" s="18">
        <f>INDEX(PREPARATION_MODIFIERS[maintain_preparation_modifier],
MATCH(tbl_product_preparations[[#This Row],[preparation_key]],
PREPARATION_MODIFIERS[preparation_key],0))</f>
        <v>0</v>
      </c>
      <c r="BA24" s="18">
        <f>INDEX(PREPARATION_MODIFIERS[gain_preparation_modifier],
MATCH(tbl_product_preparations[[#This Row],[preparation_key]],
PREPARATION_MODIFIERS[preparation_key],0))</f>
        <v>0</v>
      </c>
    </row>
    <row r="25" spans="1:53" x14ac:dyDescent="0.2">
      <c r="A25" s="31" t="s">
        <v>993</v>
      </c>
      <c r="B25" s="31" t="s">
        <v>363</v>
      </c>
      <c r="C25" s="31" t="s">
        <v>160</v>
      </c>
      <c r="D25" s="31" t="s">
        <v>1025</v>
      </c>
      <c r="E25" s="53" t="str">
        <f>IF(tbl_product_preparations[[#This Row],[source_key]]="MANUFACTURER","MANUFACTURER",
IF(tbl_product_preparations[[#This Row],[source_key]]="CALCULATED","CALCULATED",
"REAL"))</f>
        <v>REAL</v>
      </c>
      <c r="F25" s="53" t="str">
        <f>IF(LEFT(tbl_product_preparations[[#This Row],[source_key]],4)="USDA","US","EU")</f>
        <v>EU</v>
      </c>
      <c r="G25" s="32">
        <v>27</v>
      </c>
      <c r="H25" s="18" t="str">
        <f>IF(
   ISNUMBER(tbl_product_preparations[[#This Row],[density_lookup]]),
   ROUND(tbl_product_preparations[[#This Row],[kcal_per_100g]]*tbl_product_preparations[[#This Row],[density_lookup]],1),
   ""
)</f>
        <v/>
      </c>
      <c r="I25" s="32">
        <v>0.8</v>
      </c>
      <c r="J25" s="32">
        <v>4.5999999999999996</v>
      </c>
      <c r="K25" s="32">
        <v>0.1</v>
      </c>
      <c r="L25" s="32">
        <v>0</v>
      </c>
      <c r="M25" s="32">
        <v>2.2000000000000002</v>
      </c>
      <c r="N25" s="32">
        <v>4.5999999999999996</v>
      </c>
      <c r="O25" s="46">
        <f>IF(tbl_product_preparations[[#This Row],[sugar_per_100g]]=0,tbl_product_preparations[[#This Row],[carbs_per_100g]],tbl_product_preparations[[#This Row],[sugar_per_100g]])</f>
        <v>4.5999999999999996</v>
      </c>
      <c r="P25" s="36">
        <v>1E-3</v>
      </c>
      <c r="Q25" s="50">
        <f>IF(tbl_product_preparations[[#This Row],[sodium_per_100g]]=0,
tbl_product_preparations[[#This Row],[salt_per_100g]]/2.5,
tbl_product_preparations[[#This Row],[sodium_per_100g]])</f>
        <v>1E-3</v>
      </c>
      <c r="R25" s="24">
        <f>ROUND(tbl_product_preparations[[#This Row],[sodium_per_100g]]*2.5,3)</f>
        <v>3.0000000000000001E-3</v>
      </c>
      <c r="S25" s="24">
        <f>IF(tbl_product_preparations[[#This Row],[salt_per_100g]]=0,
tbl_product_preparations[[#This Row],[sodium_per_100g]]*2.5,
tbl_product_preparations[[#This Row],[salt_per_100g]])</f>
        <v>3.0000000000000001E-3</v>
      </c>
      <c r="T25" s="32">
        <v>92.2</v>
      </c>
      <c r="U25" s="14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25" s="18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26.9</v>
      </c>
      <c r="W25" s="18">
        <f>IF(tbl_product_preparations[[#This Row],[kcal_per_100g]]=0,0,ABS((tbl_product_preparations[[#This Row],[kcal_per_100g]]-tbl_product_preparations[[#This Row],[kcal_calc]])/tbl_product_preparations[[#This Row],[kcal_per_100g]])*100)</f>
        <v>0.37037037037037562</v>
      </c>
      <c r="X25" s="18">
        <f>ROUND(tbl_product_preparations[[#This Row],[kcal_calc]],1)</f>
        <v>26.9</v>
      </c>
      <c r="Y25" s="18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99.900999999999996</v>
      </c>
      <c r="Z25" s="18" t="str">
        <f>IF(
  tbl_product_preparations[[#This Row],[macro_sum]] &lt;=
  100 + _xlfn.XLOOKUP("WATER_TOTAL_TOLERANCE",tbl_config[config_key],tbl_config[config_value]),
  "OK",
  "ERROR"
)</f>
        <v>OK</v>
      </c>
      <c r="AA25" s="14" t="str">
        <f>_xlfn.LET(
   _xlpm.d, _xlfn.XLOOKUP(tbl_product_preparations[[#This Row],[product_key]],tbl_products[product_key],tbl_products[density_g_per_ml]),
   IF(AND(ISNUMBER(_xlpm.d), _xlpm.d&gt;0), _xlpm.d, "")
)</f>
        <v/>
      </c>
      <c r="AB25" s="18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25" s="18" cm="1">
        <f t="array" ref="AC25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98.881304461123307</v>
      </c>
      <c r="AD25" s="18" cm="1">
        <f t="array" ref="AD25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87.354118597885019</v>
      </c>
      <c r="AE25" s="18" cm="1">
        <f t="array" ref="AE25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71.154792928753679</v>
      </c>
      <c r="AF25" s="18">
        <f>IF(tbl_product_preparations[[#This Row],[kcal_per_100g]]&lt;5,
 0,
 MAX(0,MIN(100,
  ((tbl_product_preparations[[#This Row],[protein_per_100g]]/tbl_product_preparations[[#This Row],[kcal_per_100g]]*100 - 1) / 7 * 100)
 ))
)</f>
        <v>28.042328042328045</v>
      </c>
      <c r="AG25" s="18">
        <f>IF(tbl_product_preparations[[#This Row],[kcal_per_100g]]&lt;5,
 0,
 MAX(0,MIN(100,(tbl_product_preparations[[#This Row],[fiber_per_100g]]/8*100)))
)</f>
        <v>27.500000000000004</v>
      </c>
      <c r="AH25" s="18">
        <f>MAX(0,MIN(100,100-(tbl_product_preparations[[#This Row],[sugar_per_100g]]/15*100)))</f>
        <v>69.333333333333343</v>
      </c>
      <c r="AI25" s="18">
        <f>MAX(0,100-(tbl_product_preparations[[#This Row],[alcohol_per_100g]]*50))</f>
        <v>100</v>
      </c>
      <c r="AJ25" s="18">
        <f>ROUND(tbl_product_preparations[[#This Row],[water_percent]],0)</f>
        <v>92</v>
      </c>
      <c r="AK25" s="18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75</v>
      </c>
      <c r="AL25" s="18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66</v>
      </c>
      <c r="AM25" s="18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57</v>
      </c>
      <c r="AN25" s="38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B</v>
      </c>
      <c r="AO25" s="38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B</v>
      </c>
      <c r="AP25" s="38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C</v>
      </c>
      <c r="AQ25" s="18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VEGETABLES</v>
      </c>
      <c r="AR25" s="18"/>
      <c r="AS25" s="18" t="str">
        <f>INDEX(tbl_products[lose_modifier_group],
MATCH(tbl_product_preparations[[#This Row],[product_key]],
tbl_products[product_key],0))</f>
        <v>VEGETABLES</v>
      </c>
      <c r="AT25" s="18">
        <f>INDEX(BONUS_MALUS_LOSE[Modifier],
MATCH(tbl_product_preparations[[#This Row],[lose_modifier_group]],
BONUS_MALUS_LOSE[Group],0))</f>
        <v>5</v>
      </c>
      <c r="AU25" s="18" t="str">
        <f>INDEX(tbl_products[maintain_modifier_group],
MATCH(tbl_product_preparations[[#This Row],[product_key]],
tbl_products[product_key],0))</f>
        <v>VEGETABLES</v>
      </c>
      <c r="AV25" s="18">
        <f>INDEX(BONUS_MALUS_MAINTAIN[Modifier],
MATCH(tbl_product_preparations[[#This Row],[maintain_modifier_group]],
BONUS_MALUS_MAINTAIN[Group],0))</f>
        <v>3</v>
      </c>
      <c r="AW25" s="18" t="str">
        <f>INDEX(tbl_products[gain_modifier_group],
MATCH(tbl_product_preparations[[#This Row],[product_key]],
tbl_products[product_key],0))</f>
        <v>VEGETABLES</v>
      </c>
      <c r="AX25" s="18">
        <f>INDEX(BONUS_MALUS_GAIN[Modifier],
MATCH(tbl_product_preparations[[#This Row],[gain_modifier_group]],
BONUS_MALUS_GAIN[Group],0))</f>
        <v>-2</v>
      </c>
      <c r="AY25" s="18">
        <f>INDEX(PREPARATION_MODIFIERS[lose_preparation_modifier],
MATCH(tbl_product_preparations[[#This Row],[preparation_key]],
PREPARATION_MODIFIERS[preparation_key],0))</f>
        <v>0</v>
      </c>
      <c r="AZ25" s="18">
        <f>INDEX(PREPARATION_MODIFIERS[maintain_preparation_modifier],
MATCH(tbl_product_preparations[[#This Row],[preparation_key]],
PREPARATION_MODIFIERS[preparation_key],0))</f>
        <v>0</v>
      </c>
      <c r="BA25" s="18">
        <f>INDEX(PREPARATION_MODIFIERS[gain_preparation_modifier],
MATCH(tbl_product_preparations[[#This Row],[preparation_key]],
PREPARATION_MODIFIERS[preparation_key],0))</f>
        <v>0</v>
      </c>
    </row>
    <row r="26" spans="1:53" x14ac:dyDescent="0.2">
      <c r="A26" s="31" t="s">
        <v>993</v>
      </c>
      <c r="B26" s="31" t="s">
        <v>365</v>
      </c>
      <c r="C26" s="31" t="s">
        <v>160</v>
      </c>
      <c r="D26" s="31" t="s">
        <v>1026</v>
      </c>
      <c r="E26" s="53" t="str">
        <f>IF(tbl_product_preparations[[#This Row],[source_key]]="MANUFACTURER","MANUFACTURER",
IF(tbl_product_preparations[[#This Row],[source_key]]="CALCULATED","CALCULATED",
"REAL"))</f>
        <v>REAL</v>
      </c>
      <c r="F26" s="53" t="str">
        <f>IF(LEFT(tbl_product_preparations[[#This Row],[source_key]],4)="USDA","US","EU")</f>
        <v>EU</v>
      </c>
      <c r="G26" s="32">
        <v>25</v>
      </c>
      <c r="H26" s="18" t="str">
        <f>IF(
   ISNUMBER(tbl_product_preparations[[#This Row],[density_lookup]]),
   ROUND(tbl_product_preparations[[#This Row],[kcal_per_100g]]*tbl_product_preparations[[#This Row],[density_lookup]],1),
   ""
)</f>
        <v/>
      </c>
      <c r="I26" s="32">
        <v>0.7</v>
      </c>
      <c r="J26" s="32">
        <v>3.9</v>
      </c>
      <c r="K26" s="32">
        <v>0.2</v>
      </c>
      <c r="L26" s="32">
        <v>0</v>
      </c>
      <c r="M26" s="32">
        <v>2.5</v>
      </c>
      <c r="N26" s="32">
        <v>3.9</v>
      </c>
      <c r="O26" s="46">
        <f>IF(tbl_product_preparations[[#This Row],[sugar_per_100g]]=0,tbl_product_preparations[[#This Row],[carbs_per_100g]],tbl_product_preparations[[#This Row],[sugar_per_100g]])</f>
        <v>3.9</v>
      </c>
      <c r="P26" s="36">
        <v>1E-3</v>
      </c>
      <c r="Q26" s="50">
        <f>IF(tbl_product_preparations[[#This Row],[sodium_per_100g]]=0,
tbl_product_preparations[[#This Row],[salt_per_100g]]/2.5,
tbl_product_preparations[[#This Row],[sodium_per_100g]])</f>
        <v>1E-3</v>
      </c>
      <c r="R26" s="24">
        <f>ROUND(tbl_product_preparations[[#This Row],[sodium_per_100g]]*2.5,3)</f>
        <v>3.0000000000000001E-3</v>
      </c>
      <c r="S26" s="24">
        <f>IF(tbl_product_preparations[[#This Row],[salt_per_100g]]=0,
tbl_product_preparations[[#This Row],[sodium_per_100g]]*2.5,
tbl_product_preparations[[#This Row],[salt_per_100g]])</f>
        <v>3.0000000000000001E-3</v>
      </c>
      <c r="T26" s="32">
        <v>92.7</v>
      </c>
      <c r="U26" s="14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26" s="18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25.2</v>
      </c>
      <c r="W26" s="18">
        <f>IF(tbl_product_preparations[[#This Row],[kcal_per_100g]]=0,0,ABS((tbl_product_preparations[[#This Row],[kcal_per_100g]]-tbl_product_preparations[[#This Row],[kcal_calc]])/tbl_product_preparations[[#This Row],[kcal_per_100g]])*100)</f>
        <v>0.79999999999999727</v>
      </c>
      <c r="X26" s="18">
        <f>ROUND(tbl_product_preparations[[#This Row],[kcal_calc]],1)</f>
        <v>25.2</v>
      </c>
      <c r="Y26" s="18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100.001</v>
      </c>
      <c r="Z26" s="18" t="str">
        <f>IF(
  tbl_product_preparations[[#This Row],[macro_sum]] &lt;=
  100 + _xlfn.XLOOKUP("WATER_TOTAL_TOLERANCE",tbl_config[config_key],tbl_config[config_value]),
  "OK",
  "ERROR"
)</f>
        <v>OK</v>
      </c>
      <c r="AA26" s="14" t="str">
        <f>_xlfn.LET(
   _xlpm.d, _xlfn.XLOOKUP(tbl_product_preparations[[#This Row],[product_key]],tbl_products[product_key],tbl_products[density_g_per_ml]),
   IF(AND(ISNUMBER(_xlpm.d), _xlpm.d&gt;0), _xlpm.d, "")
)</f>
        <v/>
      </c>
      <c r="AB26" s="18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26" s="18" cm="1">
        <f t="array" ref="AC26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96.923323447634417</v>
      </c>
      <c r="AD26" s="18" cm="1">
        <f t="array" ref="AD26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83.527021141127193</v>
      </c>
      <c r="AE26" s="18" cm="1">
        <f t="array" ref="AE26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68.194075119034807</v>
      </c>
      <c r="AF26" s="18">
        <f>IF(tbl_product_preparations[[#This Row],[kcal_per_100g]]&lt;5,
 0,
 MAX(0,MIN(100,
  ((tbl_product_preparations[[#This Row],[protein_per_100g]]/tbl_product_preparations[[#This Row],[kcal_per_100g]]*100 - 1) / 7 * 100)
 ))
)</f>
        <v>25.714285714285712</v>
      </c>
      <c r="AG26" s="18">
        <f>IF(tbl_product_preparations[[#This Row],[kcal_per_100g]]&lt;5,
 0,
 MAX(0,MIN(100,(tbl_product_preparations[[#This Row],[fiber_per_100g]]/8*100)))
)</f>
        <v>31.25</v>
      </c>
      <c r="AH26" s="18">
        <f>MAX(0,MIN(100,100-(tbl_product_preparations[[#This Row],[sugar_per_100g]]/15*100)))</f>
        <v>74</v>
      </c>
      <c r="AI26" s="18">
        <f>MAX(0,100-(tbl_product_preparations[[#This Row],[alcohol_per_100g]]*50))</f>
        <v>100</v>
      </c>
      <c r="AJ26" s="18">
        <f>ROUND(tbl_product_preparations[[#This Row],[water_percent]],0)</f>
        <v>93</v>
      </c>
      <c r="AK26" s="18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76</v>
      </c>
      <c r="AL26" s="18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66</v>
      </c>
      <c r="AM26" s="18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56</v>
      </c>
      <c r="AN26" s="38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B</v>
      </c>
      <c r="AO26" s="38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B</v>
      </c>
      <c r="AP26" s="38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C</v>
      </c>
      <c r="AQ26" s="18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VEGETABLES</v>
      </c>
      <c r="AR26" s="18"/>
      <c r="AS26" s="18" t="str">
        <f>INDEX(tbl_products[lose_modifier_group],
MATCH(tbl_product_preparations[[#This Row],[product_key]],
tbl_products[product_key],0))</f>
        <v>VEGETABLES</v>
      </c>
      <c r="AT26" s="18">
        <f>INDEX(BONUS_MALUS_LOSE[Modifier],
MATCH(tbl_product_preparations[[#This Row],[lose_modifier_group]],
BONUS_MALUS_LOSE[Group],0))</f>
        <v>5</v>
      </c>
      <c r="AU26" s="18" t="str">
        <f>INDEX(tbl_products[maintain_modifier_group],
MATCH(tbl_product_preparations[[#This Row],[product_key]],
tbl_products[product_key],0))</f>
        <v>VEGETABLES</v>
      </c>
      <c r="AV26" s="18">
        <f>INDEX(BONUS_MALUS_MAINTAIN[Modifier],
MATCH(tbl_product_preparations[[#This Row],[maintain_modifier_group]],
BONUS_MALUS_MAINTAIN[Group],0))</f>
        <v>3</v>
      </c>
      <c r="AW26" s="18" t="str">
        <f>INDEX(tbl_products[gain_modifier_group],
MATCH(tbl_product_preparations[[#This Row],[product_key]],
tbl_products[product_key],0))</f>
        <v>VEGETABLES</v>
      </c>
      <c r="AX26" s="18">
        <f>INDEX(BONUS_MALUS_GAIN[Modifier],
MATCH(tbl_product_preparations[[#This Row],[gain_modifier_group]],
BONUS_MALUS_GAIN[Group],0))</f>
        <v>-2</v>
      </c>
      <c r="AY26" s="18">
        <f>INDEX(PREPARATION_MODIFIERS[lose_preparation_modifier],
MATCH(tbl_product_preparations[[#This Row],[preparation_key]],
PREPARATION_MODIFIERS[preparation_key],0))</f>
        <v>0</v>
      </c>
      <c r="AZ26" s="18">
        <f>INDEX(PREPARATION_MODIFIERS[maintain_preparation_modifier],
MATCH(tbl_product_preparations[[#This Row],[preparation_key]],
PREPARATION_MODIFIERS[preparation_key],0))</f>
        <v>0</v>
      </c>
      <c r="BA26" s="18">
        <f>INDEX(PREPARATION_MODIFIERS[gain_preparation_modifier],
MATCH(tbl_product_preparations[[#This Row],[preparation_key]],
PREPARATION_MODIFIERS[preparation_key],0))</f>
        <v>0</v>
      </c>
    </row>
    <row r="27" spans="1:53" ht="15" customHeight="1" x14ac:dyDescent="0.2">
      <c r="A27" s="31" t="s">
        <v>708</v>
      </c>
      <c r="B27" s="31" t="s">
        <v>115</v>
      </c>
      <c r="C27" s="31" t="s">
        <v>160</v>
      </c>
      <c r="D27" s="31" t="s">
        <v>714</v>
      </c>
      <c r="E27" s="53" t="str">
        <f>IF(tbl_product_preparations[[#This Row],[source_key]]="MANUFACTURER","MANUFACTURER",
IF(tbl_product_preparations[[#This Row],[source_key]]="CALCULATED","CALCULATED",
"REAL"))</f>
        <v>REAL</v>
      </c>
      <c r="F27" s="53" t="str">
        <f>IF(LEFT(tbl_product_preparations[[#This Row],[source_key]],4)="USDA","US","EU")</f>
        <v>EU</v>
      </c>
      <c r="G27" s="32">
        <v>37</v>
      </c>
      <c r="H27" s="18" t="str">
        <f>IF(
   ISNUMBER(tbl_product_preparations[[#This Row],[density_lookup]]),
   ROUND(tbl_product_preparations[[#This Row],[kcal_per_100g]]*tbl_product_preparations[[#This Row],[density_lookup]],1),
   ""
)</f>
        <v/>
      </c>
      <c r="I27" s="32">
        <v>0.9</v>
      </c>
      <c r="J27" s="32">
        <v>5.0999999999999996</v>
      </c>
      <c r="K27" s="32">
        <v>0.2</v>
      </c>
      <c r="L27" s="32">
        <v>0</v>
      </c>
      <c r="M27" s="32">
        <v>3.1</v>
      </c>
      <c r="N27" s="32">
        <v>5.0999999999999996</v>
      </c>
      <c r="O27" s="46">
        <f>IF(tbl_product_preparations[[#This Row],[sugar_per_100g]]=0,tbl_product_preparations[[#This Row],[carbs_per_100g]],tbl_product_preparations[[#This Row],[sugar_per_100g]])</f>
        <v>5.0999999999999996</v>
      </c>
      <c r="P27" s="36">
        <v>2E-3</v>
      </c>
      <c r="Q27" s="50">
        <f>IF(tbl_product_preparations[[#This Row],[sodium_per_100g]]=0,
tbl_product_preparations[[#This Row],[salt_per_100g]]/2.5,
tbl_product_preparations[[#This Row],[sodium_per_100g]])</f>
        <v>2E-3</v>
      </c>
      <c r="R27" s="24">
        <f>ROUND(tbl_product_preparations[[#This Row],[sodium_per_100g]]*2.5,3)</f>
        <v>5.0000000000000001E-3</v>
      </c>
      <c r="S27" s="24">
        <f>IF(tbl_product_preparations[[#This Row],[salt_per_100g]]=0,
tbl_product_preparations[[#This Row],[sodium_per_100g]]*2.5,
tbl_product_preparations[[#This Row],[salt_per_100g]])</f>
        <v>5.0000000000000001E-3</v>
      </c>
      <c r="T27" s="32">
        <v>87</v>
      </c>
      <c r="U27" s="14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27" s="18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32</v>
      </c>
      <c r="W27" s="18">
        <f>IF(tbl_product_preparations[[#This Row],[kcal_per_100g]]=0,0,ABS((tbl_product_preparations[[#This Row],[kcal_per_100g]]-tbl_product_preparations[[#This Row],[kcal_calc]])/tbl_product_preparations[[#This Row],[kcal_per_100g]])*100)</f>
        <v>13.513513513513514</v>
      </c>
      <c r="X27" s="18">
        <f>ROUND(tbl_product_preparations[[#This Row],[kcal_calc]],1)</f>
        <v>32</v>
      </c>
      <c r="Y27" s="18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96.302000000000007</v>
      </c>
      <c r="Z27" s="18" t="str">
        <f>IF(
  tbl_product_preparations[[#This Row],[macro_sum]] &lt;=
  100 + _xlfn.XLOOKUP("WATER_TOTAL_TOLERANCE",tbl_config[config_key],tbl_config[config_value]),
  "OK",
  "ERROR"
)</f>
        <v>OK</v>
      </c>
      <c r="AA27" s="14" t="str">
        <f>_xlfn.LET(
   _xlpm.d, _xlfn.XLOOKUP(tbl_product_preparations[[#This Row],[product_key]],tbl_products[product_key],tbl_products[density_g_per_ml]),
   IF(AND(ISNUMBER(_xlpm.d), _xlpm.d&gt;0), _xlpm.d, "")
)</f>
        <v/>
      </c>
      <c r="AB27" s="18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27" s="18" cm="1">
        <f t="array" ref="AC27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64.115131061365474</v>
      </c>
      <c r="AD27" s="18" cm="1">
        <f t="array" ref="AD27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63.346963665735068</v>
      </c>
      <c r="AE27" s="18" cm="1">
        <f t="array" ref="AE27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38.411797171992866</v>
      </c>
      <c r="AF27" s="18">
        <f>IF(tbl_product_preparations[[#This Row],[kcal_per_100g]]&lt;5,
 0,
 MAX(0,MIN(100,
  ((tbl_product_preparations[[#This Row],[protein_per_100g]]/tbl_product_preparations[[#This Row],[kcal_per_100g]]*100 - 1) / 7 * 100)
 ))
)</f>
        <v>20.463320463320464</v>
      </c>
      <c r="AG27" s="18">
        <f>IF(tbl_product_preparations[[#This Row],[kcal_per_100g]]&lt;5,
 0,
 MAX(0,MIN(100,(tbl_product_preparations[[#This Row],[fiber_per_100g]]/8*100)))
)</f>
        <v>38.75</v>
      </c>
      <c r="AH27" s="18">
        <f>MAX(0,MIN(100,100-(tbl_product_preparations[[#This Row],[sugar_per_100g]]/15*100)))</f>
        <v>66</v>
      </c>
      <c r="AI27" s="18">
        <f>MAX(0,100-(tbl_product_preparations[[#This Row],[alcohol_per_100g]]*50))</f>
        <v>100</v>
      </c>
      <c r="AJ27" s="18">
        <f>ROUND(tbl_product_preparations[[#This Row],[water_percent]],0)</f>
        <v>87</v>
      </c>
      <c r="AK27" s="18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62</v>
      </c>
      <c r="AL27" s="18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57</v>
      </c>
      <c r="AM27" s="18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41</v>
      </c>
      <c r="AN27" s="38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C</v>
      </c>
      <c r="AO27" s="38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C</v>
      </c>
      <c r="AP27" s="38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D</v>
      </c>
      <c r="AQ27" s="18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FRUITS</v>
      </c>
      <c r="AR27" s="18"/>
      <c r="AS27" s="18" t="str">
        <f>INDEX(tbl_products[lose_modifier_group],
MATCH(tbl_product_preparations[[#This Row],[product_key]],
tbl_products[product_key],0))</f>
        <v>FRUIT_WHOLE</v>
      </c>
      <c r="AT27" s="18">
        <f>INDEX(BONUS_MALUS_LOSE[Modifier],
MATCH(tbl_product_preparations[[#This Row],[lose_modifier_group]],
BONUS_MALUS_LOSE[Group],0))</f>
        <v>3</v>
      </c>
      <c r="AU27" s="18" t="str">
        <f>INDEX(tbl_products[maintain_modifier_group],
MATCH(tbl_product_preparations[[#This Row],[product_key]],
tbl_products[product_key],0))</f>
        <v>FRUIT_WHOLE</v>
      </c>
      <c r="AV27" s="18">
        <f>INDEX(BONUS_MALUS_MAINTAIN[Modifier],
MATCH(tbl_product_preparations[[#This Row],[maintain_modifier_group]],
BONUS_MALUS_MAINTAIN[Group],0))</f>
        <v>2</v>
      </c>
      <c r="AW27" s="18" t="str">
        <f>INDEX(tbl_products[gain_modifier_group],
MATCH(tbl_product_preparations[[#This Row],[product_key]],
tbl_products[product_key],0))</f>
        <v>FRUIT_WHOLE</v>
      </c>
      <c r="AX27" s="18">
        <f>INDEX(BONUS_MALUS_GAIN[Modifier],
MATCH(tbl_product_preparations[[#This Row],[gain_modifier_group]],
BONUS_MALUS_GAIN[Group],0))</f>
        <v>1</v>
      </c>
      <c r="AY27" s="18">
        <f>INDEX(PREPARATION_MODIFIERS[lose_preparation_modifier],
MATCH(tbl_product_preparations[[#This Row],[preparation_key]],
PREPARATION_MODIFIERS[preparation_key],0))</f>
        <v>0</v>
      </c>
      <c r="AZ27" s="18">
        <f>INDEX(PREPARATION_MODIFIERS[maintain_preparation_modifier],
MATCH(tbl_product_preparations[[#This Row],[preparation_key]],
PREPARATION_MODIFIERS[preparation_key],0))</f>
        <v>0</v>
      </c>
      <c r="BA27" s="18">
        <f>INDEX(PREPARATION_MODIFIERS[gain_preparation_modifier],
MATCH(tbl_product_preparations[[#This Row],[preparation_key]],
PREPARATION_MODIFIERS[preparation_key],0))</f>
        <v>0</v>
      </c>
    </row>
    <row r="28" spans="1:53" x14ac:dyDescent="0.2">
      <c r="A28" s="31" t="s">
        <v>694</v>
      </c>
      <c r="B28" s="31" t="s">
        <v>115</v>
      </c>
      <c r="C28" s="31" t="s">
        <v>160</v>
      </c>
      <c r="D28" s="31" t="s">
        <v>700</v>
      </c>
      <c r="E28" s="53" t="str">
        <f>IF(tbl_product_preparations[[#This Row],[source_key]]="MANUFACTURER","MANUFACTURER",
IF(tbl_product_preparations[[#This Row],[source_key]]="CALCULATED","CALCULATED",
"REAL"))</f>
        <v>REAL</v>
      </c>
      <c r="F28" s="53" t="str">
        <f>IF(LEFT(tbl_product_preparations[[#This Row],[source_key]],4)="USDA","US","EU")</f>
        <v>EU</v>
      </c>
      <c r="G28" s="32">
        <v>52</v>
      </c>
      <c r="H28" s="18" t="str">
        <f>IF(
   ISNUMBER(tbl_product_preparations[[#This Row],[density_lookup]]),
   ROUND(tbl_product_preparations[[#This Row],[kcal_per_100g]]*tbl_product_preparations[[#This Row],[density_lookup]],1),
   ""
)</f>
        <v/>
      </c>
      <c r="I28" s="32">
        <v>0.7</v>
      </c>
      <c r="J28" s="32">
        <v>11</v>
      </c>
      <c r="K28" s="32">
        <v>0</v>
      </c>
      <c r="L28" s="32">
        <v>0</v>
      </c>
      <c r="M28" s="32">
        <v>2.4</v>
      </c>
      <c r="N28" s="32">
        <v>10</v>
      </c>
      <c r="O28" s="46">
        <f>IF(tbl_product_preparations[[#This Row],[sugar_per_100g]]=0,tbl_product_preparations[[#This Row],[carbs_per_100g]],tbl_product_preparations[[#This Row],[sugar_per_100g]])</f>
        <v>10</v>
      </c>
      <c r="P28" s="36">
        <v>1E-3</v>
      </c>
      <c r="Q28" s="50">
        <f>IF(tbl_product_preparations[[#This Row],[sodium_per_100g]]=0,
tbl_product_preparations[[#This Row],[salt_per_100g]]/2.5,
tbl_product_preparations[[#This Row],[sodium_per_100g]])</f>
        <v>1E-3</v>
      </c>
      <c r="R28" s="24">
        <f>ROUND(tbl_product_preparations[[#This Row],[sodium_per_100g]]*2.5,3)</f>
        <v>3.0000000000000001E-3</v>
      </c>
      <c r="S28" s="24">
        <f>IF(tbl_product_preparations[[#This Row],[salt_per_100g]]=0,
tbl_product_preparations[[#This Row],[sodium_per_100g]]*2.5,
tbl_product_preparations[[#This Row],[salt_per_100g]])</f>
        <v>3.0000000000000001E-3</v>
      </c>
      <c r="T28" s="32">
        <v>85.6</v>
      </c>
      <c r="U28" s="14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28" s="18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51.599999999999994</v>
      </c>
      <c r="W28" s="18">
        <f>IF(tbl_product_preparations[[#This Row],[kcal_per_100g]]=0,0,ABS((tbl_product_preparations[[#This Row],[kcal_per_100g]]-tbl_product_preparations[[#This Row],[kcal_calc]])/tbl_product_preparations[[#This Row],[kcal_per_100g]])*100)</f>
        <v>0.76923076923078015</v>
      </c>
      <c r="X28" s="18">
        <f>ROUND(tbl_product_preparations[[#This Row],[kcal_calc]],1)</f>
        <v>51.6</v>
      </c>
      <c r="Y28" s="18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99.700999999999993</v>
      </c>
      <c r="Z28" s="18" t="str">
        <f>IF(
  tbl_product_preparations[[#This Row],[macro_sum]] &lt;=
  100 + _xlfn.XLOOKUP("WATER_TOTAL_TOLERANCE",tbl_config[config_key],tbl_config[config_value]),
  "OK",
  "ERROR"
)</f>
        <v>OK</v>
      </c>
      <c r="AA28" s="14" t="str">
        <f>_xlfn.LET(
   _xlpm.d, _xlfn.XLOOKUP(tbl_product_preparations[[#This Row],[product_key]],tbl_products[product_key],tbl_products[density_g_per_ml]),
   IF(AND(ISNUMBER(_xlpm.d), _xlpm.d&gt;0), _xlpm.d, "")
)</f>
        <v/>
      </c>
      <c r="AB28" s="18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28" s="18" cm="1">
        <f t="array" ref="AC28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87.61264072352644</v>
      </c>
      <c r="AD28" s="18" cm="1">
        <f t="array" ref="AD28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82.400370978743723</v>
      </c>
      <c r="AE28" s="18" cm="1">
        <f t="array" ref="AE28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52.612196409345643</v>
      </c>
      <c r="AF28" s="18">
        <f>IF(tbl_product_preparations[[#This Row],[kcal_per_100g]]&lt;5,
 0,
 MAX(0,MIN(100,
  ((tbl_product_preparations[[#This Row],[protein_per_100g]]/tbl_product_preparations[[#This Row],[kcal_per_100g]]*100 - 1) / 7 * 100)
 ))
)</f>
        <v>4.9450549450549435</v>
      </c>
      <c r="AG28" s="18">
        <f>IF(tbl_product_preparations[[#This Row],[kcal_per_100g]]&lt;5,
 0,
 MAX(0,MIN(100,(tbl_product_preparations[[#This Row],[fiber_per_100g]]/8*100)))
)</f>
        <v>30</v>
      </c>
      <c r="AH28" s="18">
        <f>MAX(0,MIN(100,100-(tbl_product_preparations[[#This Row],[sugar_per_100g]]/15*100)))</f>
        <v>33.333333333333343</v>
      </c>
      <c r="AI28" s="18">
        <f>MAX(0,100-(tbl_product_preparations[[#This Row],[alcohol_per_100g]]*50))</f>
        <v>100</v>
      </c>
      <c r="AJ28" s="18">
        <f>ROUND(tbl_product_preparations[[#This Row],[water_percent]],0)</f>
        <v>86</v>
      </c>
      <c r="AK28" s="18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62</v>
      </c>
      <c r="AL28" s="18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56</v>
      </c>
      <c r="AM28" s="18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41</v>
      </c>
      <c r="AN28" s="38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C</v>
      </c>
      <c r="AO28" s="38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C</v>
      </c>
      <c r="AP28" s="38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D</v>
      </c>
      <c r="AQ28" s="18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FRUITS</v>
      </c>
      <c r="AR28" s="18"/>
      <c r="AS28" s="18" t="str">
        <f>INDEX(tbl_products[lose_modifier_group],
MATCH(tbl_product_preparations[[#This Row],[product_key]],
tbl_products[product_key],0))</f>
        <v>FRUIT_WHOLE</v>
      </c>
      <c r="AT28" s="18">
        <f>INDEX(BONUS_MALUS_LOSE[Modifier],
MATCH(tbl_product_preparations[[#This Row],[lose_modifier_group]],
BONUS_MALUS_LOSE[Group],0))</f>
        <v>3</v>
      </c>
      <c r="AU28" s="18" t="str">
        <f>INDEX(tbl_products[maintain_modifier_group],
MATCH(tbl_product_preparations[[#This Row],[product_key]],
tbl_products[product_key],0))</f>
        <v>FRUIT_WHOLE</v>
      </c>
      <c r="AV28" s="18">
        <f>INDEX(BONUS_MALUS_MAINTAIN[Modifier],
MATCH(tbl_product_preparations[[#This Row],[maintain_modifier_group]],
BONUS_MALUS_MAINTAIN[Group],0))</f>
        <v>2</v>
      </c>
      <c r="AW28" s="18" t="str">
        <f>INDEX(tbl_products[gain_modifier_group],
MATCH(tbl_product_preparations[[#This Row],[product_key]],
tbl_products[product_key],0))</f>
        <v>FRUIT_WHOLE</v>
      </c>
      <c r="AX28" s="18">
        <f>INDEX(BONUS_MALUS_GAIN[Modifier],
MATCH(tbl_product_preparations[[#This Row],[gain_modifier_group]],
BONUS_MALUS_GAIN[Group],0))</f>
        <v>1</v>
      </c>
      <c r="AY28" s="18">
        <f>INDEX(PREPARATION_MODIFIERS[lose_preparation_modifier],
MATCH(tbl_product_preparations[[#This Row],[preparation_key]],
PREPARATION_MODIFIERS[preparation_key],0))</f>
        <v>0</v>
      </c>
      <c r="AZ28" s="18">
        <f>INDEX(PREPARATION_MODIFIERS[maintain_preparation_modifier],
MATCH(tbl_product_preparations[[#This Row],[preparation_key]],
PREPARATION_MODIFIERS[preparation_key],0))</f>
        <v>0</v>
      </c>
      <c r="BA28" s="18">
        <f>INDEX(PREPARATION_MODIFIERS[gain_preparation_modifier],
MATCH(tbl_product_preparations[[#This Row],[preparation_key]],
PREPARATION_MODIFIERS[preparation_key],0))</f>
        <v>0</v>
      </c>
    </row>
    <row r="29" spans="1:53" x14ac:dyDescent="0.2">
      <c r="A29" s="31" t="s">
        <v>358</v>
      </c>
      <c r="B29" s="31" t="s">
        <v>363</v>
      </c>
      <c r="C29" s="31" t="s">
        <v>160</v>
      </c>
      <c r="D29" s="31" t="s">
        <v>361</v>
      </c>
      <c r="E29" s="53" t="str">
        <f>IF(tbl_product_preparations[[#This Row],[source_key]]="MANUFACTURER","MANUFACTURER",
IF(tbl_product_preparations[[#This Row],[source_key]]="CALCULATED","CALCULATED",
"REAL"))</f>
        <v>REAL</v>
      </c>
      <c r="F29" s="53" t="str">
        <f>IF(LEFT(tbl_product_preparations[[#This Row],[source_key]],4)="USDA","US","EU")</f>
        <v>EU</v>
      </c>
      <c r="G29" s="32">
        <v>27</v>
      </c>
      <c r="H29" s="18" t="str">
        <f>IF(
   ISNUMBER(tbl_product_preparations[[#This Row],[density_lookup]]),
   ROUND(tbl_product_preparations[[#This Row],[kcal_per_100g]]*tbl_product_preparations[[#This Row],[density_lookup]],1),
   ""
)</f>
        <v/>
      </c>
      <c r="I29" s="32">
        <v>3.9</v>
      </c>
      <c r="J29" s="32">
        <v>0.8</v>
      </c>
      <c r="K29" s="32">
        <v>0.3</v>
      </c>
      <c r="L29" s="32">
        <v>0</v>
      </c>
      <c r="M29" s="32">
        <v>2.7</v>
      </c>
      <c r="N29" s="32">
        <v>0</v>
      </c>
      <c r="O29" s="46">
        <f>IF(tbl_product_preparations[[#This Row],[sugar_per_100g]]=0,tbl_product_preparations[[#This Row],[carbs_per_100g]],tbl_product_preparations[[#This Row],[sugar_per_100g]])</f>
        <v>0.8</v>
      </c>
      <c r="P29" s="36">
        <v>5.0000000000000001E-3</v>
      </c>
      <c r="Q29" s="50">
        <f>IF(tbl_product_preparations[[#This Row],[sodium_per_100g]]=0,
tbl_product_preparations[[#This Row],[salt_per_100g]]/2.5,
tbl_product_preparations[[#This Row],[sodium_per_100g]])</f>
        <v>5.0000000000000001E-3</v>
      </c>
      <c r="R29" s="24">
        <f>ROUND(tbl_product_preparations[[#This Row],[sodium_per_100g]]*2.5,3)</f>
        <v>1.2999999999999999E-2</v>
      </c>
      <c r="S29" s="24">
        <f>IF(tbl_product_preparations[[#This Row],[salt_per_100g]]=0,
tbl_product_preparations[[#This Row],[sodium_per_100g]]*2.5,
tbl_product_preparations[[#This Row],[salt_per_100g]])</f>
        <v>1.2999999999999999E-2</v>
      </c>
      <c r="T29" s="32">
        <v>91.4</v>
      </c>
      <c r="U29" s="14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29" s="18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26.9</v>
      </c>
      <c r="W29" s="18">
        <f>IF(tbl_product_preparations[[#This Row],[kcal_per_100g]]=0,0,ABS((tbl_product_preparations[[#This Row],[kcal_per_100g]]-tbl_product_preparations[[#This Row],[kcal_calc]])/tbl_product_preparations[[#This Row],[kcal_per_100g]])*100)</f>
        <v>0.37037037037037562</v>
      </c>
      <c r="X29" s="18">
        <f>ROUND(tbl_product_preparations[[#This Row],[kcal_calc]],1)</f>
        <v>26.9</v>
      </c>
      <c r="Y29" s="18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99.105000000000004</v>
      </c>
      <c r="Z29" s="18" t="str">
        <f>IF(
  tbl_product_preparations[[#This Row],[macro_sum]] &lt;=
  100 + _xlfn.XLOOKUP("WATER_TOTAL_TOLERANCE",tbl_config[config_key],tbl_config[config_value]),
  "OK",
  "ERROR"
)</f>
        <v>OK</v>
      </c>
      <c r="AA29" s="14" t="str">
        <f>_xlfn.LET(
   _xlpm.d, _xlfn.XLOOKUP(tbl_product_preparations[[#This Row],[product_key]],tbl_products[product_key],tbl_products[density_g_per_ml]),
   IF(AND(ISNUMBER(_xlpm.d), _xlpm.d&gt;0), _xlpm.d, "")
)</f>
        <v/>
      </c>
      <c r="AB29" s="18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29" s="18" cm="1">
        <f t="array" ref="AC29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98.881304461123307</v>
      </c>
      <c r="AD29" s="18" cm="1">
        <f t="array" ref="AD29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87.354118597885019</v>
      </c>
      <c r="AE29" s="18" cm="1">
        <f t="array" ref="AE29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71.154792928753679</v>
      </c>
      <c r="AF29" s="18">
        <f>IF(tbl_product_preparations[[#This Row],[kcal_per_100g]]&lt;5,
 0,
 MAX(0,MIN(100,
  ((tbl_product_preparations[[#This Row],[protein_per_100g]]/tbl_product_preparations[[#This Row],[kcal_per_100g]]*100 - 1) / 7 * 100)
 ))
)</f>
        <v>100</v>
      </c>
      <c r="AG29" s="18">
        <f>IF(tbl_product_preparations[[#This Row],[kcal_per_100g]]&lt;5,
 0,
 MAX(0,MIN(100,(tbl_product_preparations[[#This Row],[fiber_per_100g]]/8*100)))
)</f>
        <v>33.75</v>
      </c>
      <c r="AH29" s="18">
        <f>MAX(0,MIN(100,100-(tbl_product_preparations[[#This Row],[sugar_per_100g]]/15*100)))</f>
        <v>100</v>
      </c>
      <c r="AI29" s="18">
        <f>MAX(0,100-(tbl_product_preparations[[#This Row],[alcohol_per_100g]]*50))</f>
        <v>100</v>
      </c>
      <c r="AJ29" s="18">
        <f>ROUND(tbl_product_preparations[[#This Row],[water_percent]],0)</f>
        <v>91</v>
      </c>
      <c r="AK29" s="18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90</v>
      </c>
      <c r="AL29" s="18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85</v>
      </c>
      <c r="AM29" s="18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79</v>
      </c>
      <c r="AN29" s="38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A</v>
      </c>
      <c r="AO29" s="38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A</v>
      </c>
      <c r="AP29" s="38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B</v>
      </c>
      <c r="AQ29" s="18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VEGETABLES</v>
      </c>
      <c r="AR29" s="18"/>
      <c r="AS29" s="18" t="str">
        <f>INDEX(tbl_products[lose_modifier_group],
MATCH(tbl_product_preparations[[#This Row],[product_key]],
tbl_products[product_key],0))</f>
        <v>VEGETABLES</v>
      </c>
      <c r="AT29" s="18">
        <f>INDEX(BONUS_MALUS_LOSE[Modifier],
MATCH(tbl_product_preparations[[#This Row],[lose_modifier_group]],
BONUS_MALUS_LOSE[Group],0))</f>
        <v>5</v>
      </c>
      <c r="AU29" s="18" t="str">
        <f>INDEX(tbl_products[maintain_modifier_group],
MATCH(tbl_product_preparations[[#This Row],[product_key]],
tbl_products[product_key],0))</f>
        <v>VEGETABLES</v>
      </c>
      <c r="AV29" s="18">
        <f>INDEX(BONUS_MALUS_MAINTAIN[Modifier],
MATCH(tbl_product_preparations[[#This Row],[maintain_modifier_group]],
BONUS_MALUS_MAINTAIN[Group],0))</f>
        <v>3</v>
      </c>
      <c r="AW29" s="18" t="str">
        <f>INDEX(tbl_products[gain_modifier_group],
MATCH(tbl_product_preparations[[#This Row],[product_key]],
tbl_products[product_key],0))</f>
        <v>VEGETABLES</v>
      </c>
      <c r="AX29" s="18">
        <f>INDEX(BONUS_MALUS_GAIN[Modifier],
MATCH(tbl_product_preparations[[#This Row],[gain_modifier_group]],
BONUS_MALUS_GAIN[Group],0))</f>
        <v>-2</v>
      </c>
      <c r="AY29" s="18">
        <f>INDEX(PREPARATION_MODIFIERS[lose_preparation_modifier],
MATCH(tbl_product_preparations[[#This Row],[preparation_key]],
PREPARATION_MODIFIERS[preparation_key],0))</f>
        <v>0</v>
      </c>
      <c r="AZ29" s="18">
        <f>INDEX(PREPARATION_MODIFIERS[maintain_preparation_modifier],
MATCH(tbl_product_preparations[[#This Row],[preparation_key]],
PREPARATION_MODIFIERS[preparation_key],0))</f>
        <v>0</v>
      </c>
      <c r="BA29" s="18">
        <f>INDEX(PREPARATION_MODIFIERS[gain_preparation_modifier],
MATCH(tbl_product_preparations[[#This Row],[preparation_key]],
PREPARATION_MODIFIERS[preparation_key],0))</f>
        <v>0</v>
      </c>
    </row>
    <row r="30" spans="1:53" x14ac:dyDescent="0.2">
      <c r="A30" s="31" t="s">
        <v>358</v>
      </c>
      <c r="B30" s="31" t="s">
        <v>365</v>
      </c>
      <c r="C30" s="31" t="s">
        <v>160</v>
      </c>
      <c r="D30" s="31" t="s">
        <v>362</v>
      </c>
      <c r="E30" s="53" t="str">
        <f>IF(tbl_product_preparations[[#This Row],[source_key]]="MANUFACTURER","MANUFACTURER",
IF(tbl_product_preparations[[#This Row],[source_key]]="CALCULATED","CALCULATED",
"REAL"))</f>
        <v>REAL</v>
      </c>
      <c r="F30" s="53" t="str">
        <f>IF(LEFT(tbl_product_preparations[[#This Row],[source_key]],4)="USDA","US","EU")</f>
        <v>EU</v>
      </c>
      <c r="G30" s="32">
        <v>27</v>
      </c>
      <c r="H30" s="18" t="str">
        <f>IF(
   ISNUMBER(tbl_product_preparations[[#This Row],[density_lookup]]),
   ROUND(tbl_product_preparations[[#This Row],[kcal_per_100g]]*tbl_product_preparations[[#This Row],[density_lookup]],1),
   ""
)</f>
        <v/>
      </c>
      <c r="I30" s="32">
        <v>2.9</v>
      </c>
      <c r="J30" s="32">
        <v>0.7</v>
      </c>
      <c r="K30" s="32">
        <v>0.7</v>
      </c>
      <c r="L30" s="32">
        <v>0</v>
      </c>
      <c r="M30" s="32">
        <v>3.1</v>
      </c>
      <c r="N30" s="32">
        <v>0</v>
      </c>
      <c r="O30" s="46">
        <f>IF(tbl_product_preparations[[#This Row],[sugar_per_100g]]=0,tbl_product_preparations[[#This Row],[carbs_per_100g]],tbl_product_preparations[[#This Row],[sugar_per_100g]])</f>
        <v>0.7</v>
      </c>
      <c r="P30" s="36">
        <v>5.0000000000000001E-3</v>
      </c>
      <c r="Q30" s="50">
        <f>IF(tbl_product_preparations[[#This Row],[sodium_per_100g]]=0,
tbl_product_preparations[[#This Row],[salt_per_100g]]/2.5,
tbl_product_preparations[[#This Row],[sodium_per_100g]])</f>
        <v>5.0000000000000001E-3</v>
      </c>
      <c r="R30" s="24">
        <f>ROUND(tbl_product_preparations[[#This Row],[sodium_per_100g]]*2.5,3)</f>
        <v>1.2999999999999999E-2</v>
      </c>
      <c r="S30" s="24">
        <f>IF(tbl_product_preparations[[#This Row],[salt_per_100g]]=0,
tbl_product_preparations[[#This Row],[sodium_per_100g]]*2.5,
tbl_product_preparations[[#This Row],[salt_per_100g]])</f>
        <v>1.2999999999999999E-2</v>
      </c>
      <c r="T30" s="32">
        <v>92.1</v>
      </c>
      <c r="U30" s="14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30" s="18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26.9</v>
      </c>
      <c r="W30" s="18">
        <f>IF(tbl_product_preparations[[#This Row],[kcal_per_100g]]=0,0,ABS((tbl_product_preparations[[#This Row],[kcal_per_100g]]-tbl_product_preparations[[#This Row],[kcal_calc]])/tbl_product_preparations[[#This Row],[kcal_per_100g]])*100)</f>
        <v>0.37037037037037562</v>
      </c>
      <c r="X30" s="18">
        <f>ROUND(tbl_product_preparations[[#This Row],[kcal_calc]],1)</f>
        <v>26.9</v>
      </c>
      <c r="Y30" s="18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99.504999999999995</v>
      </c>
      <c r="Z30" s="18" t="str">
        <f>IF(
  tbl_product_preparations[[#This Row],[macro_sum]] &lt;=
  100 + _xlfn.XLOOKUP("WATER_TOTAL_TOLERANCE",tbl_config[config_key],tbl_config[config_value]),
  "OK",
  "ERROR"
)</f>
        <v>OK</v>
      </c>
      <c r="AA30" s="14" t="str">
        <f>_xlfn.LET(
   _xlpm.d, _xlfn.XLOOKUP(tbl_product_preparations[[#This Row],[product_key]],tbl_products[product_key],tbl_products[density_g_per_ml]),
   IF(AND(ISNUMBER(_xlpm.d), _xlpm.d&gt;0), _xlpm.d, "")
)</f>
        <v/>
      </c>
      <c r="AB30" s="18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30" s="18" cm="1">
        <f t="array" ref="AC30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98.881304461123307</v>
      </c>
      <c r="AD30" s="18" cm="1">
        <f t="array" ref="AD30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87.354118597885019</v>
      </c>
      <c r="AE30" s="18" cm="1">
        <f t="array" ref="AE30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71.154792928753679</v>
      </c>
      <c r="AF30" s="18">
        <f>IF(tbl_product_preparations[[#This Row],[kcal_per_100g]]&lt;5,
 0,
 MAX(0,MIN(100,
  ((tbl_product_preparations[[#This Row],[protein_per_100g]]/tbl_product_preparations[[#This Row],[kcal_per_100g]]*100 - 1) / 7 * 100)
 ))
)</f>
        <v>100</v>
      </c>
      <c r="AG30" s="18">
        <f>IF(tbl_product_preparations[[#This Row],[kcal_per_100g]]&lt;5,
 0,
 MAX(0,MIN(100,(tbl_product_preparations[[#This Row],[fiber_per_100g]]/8*100)))
)</f>
        <v>38.75</v>
      </c>
      <c r="AH30" s="18">
        <f>MAX(0,MIN(100,100-(tbl_product_preparations[[#This Row],[sugar_per_100g]]/15*100)))</f>
        <v>100</v>
      </c>
      <c r="AI30" s="18">
        <f>MAX(0,100-(tbl_product_preparations[[#This Row],[alcohol_per_100g]]*50))</f>
        <v>100</v>
      </c>
      <c r="AJ30" s="18">
        <f>ROUND(tbl_product_preparations[[#This Row],[water_percent]],0)</f>
        <v>92</v>
      </c>
      <c r="AK30" s="18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92</v>
      </c>
      <c r="AL30" s="18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86</v>
      </c>
      <c r="AM30" s="18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79</v>
      </c>
      <c r="AN30" s="38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A</v>
      </c>
      <c r="AO30" s="38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A</v>
      </c>
      <c r="AP30" s="38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B</v>
      </c>
      <c r="AQ30" s="18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VEGETABLES</v>
      </c>
      <c r="AR30" s="18"/>
      <c r="AS30" s="18" t="str">
        <f>INDEX(tbl_products[lose_modifier_group],
MATCH(tbl_product_preparations[[#This Row],[product_key]],
tbl_products[product_key],0))</f>
        <v>VEGETABLES</v>
      </c>
      <c r="AT30" s="18">
        <f>INDEX(BONUS_MALUS_LOSE[Modifier],
MATCH(tbl_product_preparations[[#This Row],[lose_modifier_group]],
BONUS_MALUS_LOSE[Group],0))</f>
        <v>5</v>
      </c>
      <c r="AU30" s="18" t="str">
        <f>INDEX(tbl_products[maintain_modifier_group],
MATCH(tbl_product_preparations[[#This Row],[product_key]],
tbl_products[product_key],0))</f>
        <v>VEGETABLES</v>
      </c>
      <c r="AV30" s="18">
        <f>INDEX(BONUS_MALUS_MAINTAIN[Modifier],
MATCH(tbl_product_preparations[[#This Row],[maintain_modifier_group]],
BONUS_MALUS_MAINTAIN[Group],0))</f>
        <v>3</v>
      </c>
      <c r="AW30" s="18" t="str">
        <f>INDEX(tbl_products[gain_modifier_group],
MATCH(tbl_product_preparations[[#This Row],[product_key]],
tbl_products[product_key],0))</f>
        <v>VEGETABLES</v>
      </c>
      <c r="AX30" s="18">
        <f>INDEX(BONUS_MALUS_GAIN[Modifier],
MATCH(tbl_product_preparations[[#This Row],[gain_modifier_group]],
BONUS_MALUS_GAIN[Group],0))</f>
        <v>-2</v>
      </c>
      <c r="AY30" s="18">
        <f>INDEX(PREPARATION_MODIFIERS[lose_preparation_modifier],
MATCH(tbl_product_preparations[[#This Row],[preparation_key]],
PREPARATION_MODIFIERS[preparation_key],0))</f>
        <v>0</v>
      </c>
      <c r="AZ30" s="18">
        <f>INDEX(PREPARATION_MODIFIERS[maintain_preparation_modifier],
MATCH(tbl_product_preparations[[#This Row],[preparation_key]],
PREPARATION_MODIFIERS[preparation_key],0))</f>
        <v>0</v>
      </c>
      <c r="BA30" s="18">
        <f>INDEX(PREPARATION_MODIFIERS[gain_preparation_modifier],
MATCH(tbl_product_preparations[[#This Row],[preparation_key]],
PREPARATION_MODIFIERS[preparation_key],0))</f>
        <v>0</v>
      </c>
    </row>
    <row r="31" spans="1:53" x14ac:dyDescent="0.2">
      <c r="A31" s="31" t="s">
        <v>1092</v>
      </c>
      <c r="B31" s="31" t="s">
        <v>363</v>
      </c>
      <c r="C31" s="31" t="s">
        <v>160</v>
      </c>
      <c r="D31" s="31" t="s">
        <v>1098</v>
      </c>
      <c r="E31" s="53" t="str">
        <f>IF(tbl_product_preparations[[#This Row],[source_key]]="MANUFACTURER","MANUFACTURER",
IF(tbl_product_preparations[[#This Row],[source_key]]="CALCULATED","CALCULATED",
"REAL"))</f>
        <v>REAL</v>
      </c>
      <c r="F31" s="53" t="str">
        <f>IF(LEFT(tbl_product_preparations[[#This Row],[source_key]],4)="USDA","US","EU")</f>
        <v>EU</v>
      </c>
      <c r="G31" s="32">
        <v>47</v>
      </c>
      <c r="H31" s="18" t="str">
        <f>IF(
   ISNUMBER(tbl_product_preparations[[#This Row],[density_lookup]]),
   ROUND(tbl_product_preparations[[#This Row],[kcal_per_100g]]*tbl_product_preparations[[#This Row],[density_lookup]],1),
   ""
)</f>
        <v/>
      </c>
      <c r="I31" s="32">
        <v>2.2999999999999998</v>
      </c>
      <c r="J31" s="32">
        <v>5.6</v>
      </c>
      <c r="K31" s="32">
        <v>0.7</v>
      </c>
      <c r="L31" s="32">
        <v>0</v>
      </c>
      <c r="M31" s="32">
        <v>4.5</v>
      </c>
      <c r="N31" s="32">
        <v>1.4</v>
      </c>
      <c r="O31" s="46">
        <f>IF(tbl_product_preparations[[#This Row],[sugar_per_100g]]=0,tbl_product_preparations[[#This Row],[carbs_per_100g]],tbl_product_preparations[[#This Row],[sugar_per_100g]])</f>
        <v>1.4</v>
      </c>
      <c r="P31" s="36">
        <v>7.0000000000000001E-3</v>
      </c>
      <c r="Q31" s="50">
        <f>IF(tbl_product_preparations[[#This Row],[sodium_per_100g]]=0,
tbl_product_preparations[[#This Row],[salt_per_100g]]/2.5,
tbl_product_preparations[[#This Row],[sodium_per_100g]])</f>
        <v>7.0000000000000001E-3</v>
      </c>
      <c r="R31" s="24">
        <f>ROUND(tbl_product_preparations[[#This Row],[sodium_per_100g]]*2.5,3)</f>
        <v>1.7999999999999999E-2</v>
      </c>
      <c r="S31" s="24">
        <f>IF(tbl_product_preparations[[#This Row],[salt_per_100g]]=0,
tbl_product_preparations[[#This Row],[sodium_per_100g]]*2.5,
tbl_product_preparations[[#This Row],[salt_per_100g]])</f>
        <v>1.7999999999999999E-2</v>
      </c>
      <c r="T31" s="32">
        <v>86</v>
      </c>
      <c r="U31" s="14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31" s="18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46.9</v>
      </c>
      <c r="W31" s="18">
        <f>IF(tbl_product_preparations[[#This Row],[kcal_per_100g]]=0,0,ABS((tbl_product_preparations[[#This Row],[kcal_per_100g]]-tbl_product_preparations[[#This Row],[kcal_calc]])/tbl_product_preparations[[#This Row],[kcal_per_100g]])*100)</f>
        <v>0.21276595744681154</v>
      </c>
      <c r="X31" s="18">
        <f>ROUND(tbl_product_preparations[[#This Row],[kcal_calc]],1)</f>
        <v>46.9</v>
      </c>
      <c r="Y31" s="18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99.106999999999999</v>
      </c>
      <c r="Z31" s="18" t="str">
        <f>IF(
  tbl_product_preparations[[#This Row],[macro_sum]] &lt;=
  100 + _xlfn.XLOOKUP("WATER_TOTAL_TOLERANCE",tbl_config[config_key],tbl_config[config_value]),
  "OK",
  "ERROR"
)</f>
        <v>OK</v>
      </c>
      <c r="AA31" s="14" t="str">
        <f>_xlfn.LET(
   _xlpm.d, _xlfn.XLOOKUP(tbl_product_preparations[[#This Row],[product_key]],tbl_products[product_key],tbl_products[density_g_per_ml]),
   IF(AND(ISNUMBER(_xlpm.d), _xlpm.d&gt;0), _xlpm.d, "")
)</f>
        <v/>
      </c>
      <c r="AB31" s="18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31" s="18" cm="1">
        <f t="array" ref="AC31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69.680477549603481</v>
      </c>
      <c r="AD31" s="18" cm="1">
        <f t="array" ref="AD31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96.155837823826943</v>
      </c>
      <c r="AE31" s="18" cm="1">
        <f t="array" ref="AE31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94.855785040642303</v>
      </c>
      <c r="AF31" s="18">
        <f>IF(tbl_product_preparations[[#This Row],[kcal_per_100g]]&lt;5,
 0,
 MAX(0,MIN(100,
  ((tbl_product_preparations[[#This Row],[protein_per_100g]]/tbl_product_preparations[[#This Row],[kcal_per_100g]]*100 - 1) / 7 * 100)
 ))
)</f>
        <v>55.623100303951368</v>
      </c>
      <c r="AG31" s="18">
        <f>IF(tbl_product_preparations[[#This Row],[kcal_per_100g]]&lt;5,
 0,
 MAX(0,MIN(100,(tbl_product_preparations[[#This Row],[fiber_per_100g]]/8*100)))
)</f>
        <v>56.25</v>
      </c>
      <c r="AH31" s="18">
        <f>MAX(0,MIN(100,100-(tbl_product_preparations[[#This Row],[sugar_per_100g]]/15*100)))</f>
        <v>90.666666666666671</v>
      </c>
      <c r="AI31" s="18">
        <f>MAX(0,100-(tbl_product_preparations[[#This Row],[alcohol_per_100g]]*50))</f>
        <v>100</v>
      </c>
      <c r="AJ31" s="18">
        <f>ROUND(tbl_product_preparations[[#This Row],[water_percent]],0)</f>
        <v>86</v>
      </c>
      <c r="AK31" s="18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77</v>
      </c>
      <c r="AL31" s="18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81</v>
      </c>
      <c r="AM31" s="18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81</v>
      </c>
      <c r="AN31" s="38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B</v>
      </c>
      <c r="AO31" s="38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A</v>
      </c>
      <c r="AP31" s="38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A</v>
      </c>
      <c r="AQ31" s="18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VEGETABLES</v>
      </c>
      <c r="AR31" s="18"/>
      <c r="AS31" s="18" t="str">
        <f>INDEX(tbl_products[lose_modifier_group],
MATCH(tbl_product_preparations[[#This Row],[product_key]],
tbl_products[product_key],0))</f>
        <v>VEGETABLES</v>
      </c>
      <c r="AT31" s="18">
        <f>INDEX(BONUS_MALUS_LOSE[Modifier],
MATCH(tbl_product_preparations[[#This Row],[lose_modifier_group]],
BONUS_MALUS_LOSE[Group],0))</f>
        <v>5</v>
      </c>
      <c r="AU31" s="18" t="str">
        <f>INDEX(tbl_products[maintain_modifier_group],
MATCH(tbl_product_preparations[[#This Row],[product_key]],
tbl_products[product_key],0))</f>
        <v>VEGETABLES</v>
      </c>
      <c r="AV31" s="18">
        <f>INDEX(BONUS_MALUS_MAINTAIN[Modifier],
MATCH(tbl_product_preparations[[#This Row],[maintain_modifier_group]],
BONUS_MALUS_MAINTAIN[Group],0))</f>
        <v>3</v>
      </c>
      <c r="AW31" s="18" t="str">
        <f>INDEX(tbl_products[gain_modifier_group],
MATCH(tbl_product_preparations[[#This Row],[product_key]],
tbl_products[product_key],0))</f>
        <v>VEGETABLES</v>
      </c>
      <c r="AX31" s="18">
        <f>INDEX(BONUS_MALUS_GAIN[Modifier],
MATCH(tbl_product_preparations[[#This Row],[gain_modifier_group]],
BONUS_MALUS_GAIN[Group],0))</f>
        <v>-2</v>
      </c>
      <c r="AY31" s="18">
        <f>INDEX(PREPARATION_MODIFIERS[lose_preparation_modifier],
MATCH(tbl_product_preparations[[#This Row],[preparation_key]],
PREPARATION_MODIFIERS[preparation_key],0))</f>
        <v>0</v>
      </c>
      <c r="AZ31" s="18">
        <f>INDEX(PREPARATION_MODIFIERS[maintain_preparation_modifier],
MATCH(tbl_product_preparations[[#This Row],[preparation_key]],
PREPARATION_MODIFIERS[preparation_key],0))</f>
        <v>0</v>
      </c>
      <c r="BA31" s="18">
        <f>INDEX(PREPARATION_MODIFIERS[gain_preparation_modifier],
MATCH(tbl_product_preparations[[#This Row],[preparation_key]],
PREPARATION_MODIFIERS[preparation_key],0))</f>
        <v>0</v>
      </c>
    </row>
    <row r="32" spans="1:53" x14ac:dyDescent="0.2">
      <c r="A32" s="31" t="s">
        <v>1092</v>
      </c>
      <c r="B32" s="31" t="s">
        <v>365</v>
      </c>
      <c r="C32" s="31" t="s">
        <v>160</v>
      </c>
      <c r="D32" s="31" t="s">
        <v>1099</v>
      </c>
      <c r="E32" s="53" t="str">
        <f>IF(tbl_product_preparations[[#This Row],[source_key]]="MANUFACTURER","MANUFACTURER",
IF(tbl_product_preparations[[#This Row],[source_key]]="CALCULATED","CALCULATED",
"REAL"))</f>
        <v>REAL</v>
      </c>
      <c r="F32" s="53" t="str">
        <f>IF(LEFT(tbl_product_preparations[[#This Row],[source_key]],4)="USDA","US","EU")</f>
        <v>EU</v>
      </c>
      <c r="G32" s="32">
        <v>46</v>
      </c>
      <c r="H32" s="18" t="str">
        <f>IF(
   ISNUMBER(tbl_product_preparations[[#This Row],[density_lookup]]),
   ROUND(tbl_product_preparations[[#This Row],[kcal_per_100g]]*tbl_product_preparations[[#This Row],[density_lookup]],1),
   ""
)</f>
        <v/>
      </c>
      <c r="I32" s="32">
        <v>2.2999999999999998</v>
      </c>
      <c r="J32" s="32">
        <v>5.6</v>
      </c>
      <c r="K32" s="32">
        <v>0.7</v>
      </c>
      <c r="L32" s="32">
        <v>0</v>
      </c>
      <c r="M32" s="32">
        <v>4.0999999999999996</v>
      </c>
      <c r="N32" s="32">
        <v>1.4</v>
      </c>
      <c r="O32" s="46">
        <f>IF(tbl_product_preparations[[#This Row],[sugar_per_100g]]=0,tbl_product_preparations[[#This Row],[carbs_per_100g]],tbl_product_preparations[[#This Row],[sugar_per_100g]])</f>
        <v>1.4</v>
      </c>
      <c r="P32" s="36">
        <v>7.0000000000000001E-3</v>
      </c>
      <c r="Q32" s="50">
        <f>IF(tbl_product_preparations[[#This Row],[sodium_per_100g]]=0,
tbl_product_preparations[[#This Row],[salt_per_100g]]/2.5,
tbl_product_preparations[[#This Row],[sodium_per_100g]])</f>
        <v>7.0000000000000001E-3</v>
      </c>
      <c r="R32" s="24">
        <f>ROUND(tbl_product_preparations[[#This Row],[sodium_per_100g]]*2.5,3)</f>
        <v>1.7999999999999999E-2</v>
      </c>
      <c r="S32" s="24">
        <f>IF(tbl_product_preparations[[#This Row],[salt_per_100g]]=0,
tbl_product_preparations[[#This Row],[sodium_per_100g]]*2.5,
tbl_product_preparations[[#This Row],[salt_per_100g]])</f>
        <v>1.7999999999999999E-2</v>
      </c>
      <c r="T32" s="32">
        <v>86</v>
      </c>
      <c r="U32" s="14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32" s="18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46.099999999999994</v>
      </c>
      <c r="W32" s="18">
        <f>IF(tbl_product_preparations[[#This Row],[kcal_per_100g]]=0,0,ABS((tbl_product_preparations[[#This Row],[kcal_per_100g]]-tbl_product_preparations[[#This Row],[kcal_calc]])/tbl_product_preparations[[#This Row],[kcal_per_100g]])*100)</f>
        <v>0.21739130434781373</v>
      </c>
      <c r="X32" s="18">
        <f>ROUND(tbl_product_preparations[[#This Row],[kcal_calc]],1)</f>
        <v>46.1</v>
      </c>
      <c r="Y32" s="18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98.706999999999994</v>
      </c>
      <c r="Z32" s="18" t="str">
        <f>IF(
  tbl_product_preparations[[#This Row],[macro_sum]] &lt;=
  100 + _xlfn.XLOOKUP("WATER_TOTAL_TOLERANCE",tbl_config[config_key],tbl_config[config_value]),
  "OK",
  "ERROR"
)</f>
        <v>OK</v>
      </c>
      <c r="AA32" s="14" t="str">
        <f>_xlfn.LET(
   _xlpm.d, _xlfn.XLOOKUP(tbl_product_preparations[[#This Row],[product_key]],tbl_products[product_key],tbl_products[density_g_per_ml]),
   IF(AND(ISNUMBER(_xlpm.d), _xlpm.d&gt;0), _xlpm.d, "")
)</f>
        <v/>
      </c>
      <c r="AB32" s="18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32" s="18" cm="1">
        <f t="array" ref="AC32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72.614903707369095</v>
      </c>
      <c r="AD32" s="18" cm="1">
        <f t="array" ref="AD32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97.16107671891227</v>
      </c>
      <c r="AE32" s="18" cm="1">
        <f t="array" ref="AE32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94.058806336434202</v>
      </c>
      <c r="AF32" s="18">
        <f>IF(tbl_product_preparations[[#This Row],[kcal_per_100g]]&lt;5,
 0,
 MAX(0,MIN(100,
  ((tbl_product_preparations[[#This Row],[protein_per_100g]]/tbl_product_preparations[[#This Row],[kcal_per_100g]]*100 - 1) / 7 * 100)
 ))
)</f>
        <v>57.142857142857139</v>
      </c>
      <c r="AG32" s="18">
        <f>IF(tbl_product_preparations[[#This Row],[kcal_per_100g]]&lt;5,
 0,
 MAX(0,MIN(100,(tbl_product_preparations[[#This Row],[fiber_per_100g]]/8*100)))
)</f>
        <v>51.249999999999993</v>
      </c>
      <c r="AH32" s="18">
        <f>MAX(0,MIN(100,100-(tbl_product_preparations[[#This Row],[sugar_per_100g]]/15*100)))</f>
        <v>90.666666666666671</v>
      </c>
      <c r="AI32" s="18">
        <f>MAX(0,100-(tbl_product_preparations[[#This Row],[alcohol_per_100g]]*50))</f>
        <v>100</v>
      </c>
      <c r="AJ32" s="18">
        <f>ROUND(tbl_product_preparations[[#This Row],[water_percent]],0)</f>
        <v>86</v>
      </c>
      <c r="AK32" s="18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77</v>
      </c>
      <c r="AL32" s="18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81</v>
      </c>
      <c r="AM32" s="18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81</v>
      </c>
      <c r="AN32" s="38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B</v>
      </c>
      <c r="AO32" s="38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A</v>
      </c>
      <c r="AP32" s="38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A</v>
      </c>
      <c r="AQ32" s="18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VEGETABLES</v>
      </c>
      <c r="AR32" s="18"/>
      <c r="AS32" s="18" t="str">
        <f>INDEX(tbl_products[lose_modifier_group],
MATCH(tbl_product_preparations[[#This Row],[product_key]],
tbl_products[product_key],0))</f>
        <v>VEGETABLES</v>
      </c>
      <c r="AT32" s="18">
        <f>INDEX(BONUS_MALUS_LOSE[Modifier],
MATCH(tbl_product_preparations[[#This Row],[lose_modifier_group]],
BONUS_MALUS_LOSE[Group],0))</f>
        <v>5</v>
      </c>
      <c r="AU32" s="18" t="str">
        <f>INDEX(tbl_products[maintain_modifier_group],
MATCH(tbl_product_preparations[[#This Row],[product_key]],
tbl_products[product_key],0))</f>
        <v>VEGETABLES</v>
      </c>
      <c r="AV32" s="18">
        <f>INDEX(BONUS_MALUS_MAINTAIN[Modifier],
MATCH(tbl_product_preparations[[#This Row],[maintain_modifier_group]],
BONUS_MALUS_MAINTAIN[Group],0))</f>
        <v>3</v>
      </c>
      <c r="AW32" s="18" t="str">
        <f>INDEX(tbl_products[gain_modifier_group],
MATCH(tbl_product_preparations[[#This Row],[product_key]],
tbl_products[product_key],0))</f>
        <v>VEGETABLES</v>
      </c>
      <c r="AX32" s="18">
        <f>INDEX(BONUS_MALUS_GAIN[Modifier],
MATCH(tbl_product_preparations[[#This Row],[gain_modifier_group]],
BONUS_MALUS_GAIN[Group],0))</f>
        <v>-2</v>
      </c>
      <c r="AY32" s="18">
        <f>INDEX(PREPARATION_MODIFIERS[lose_preparation_modifier],
MATCH(tbl_product_preparations[[#This Row],[preparation_key]],
PREPARATION_MODIFIERS[preparation_key],0))</f>
        <v>0</v>
      </c>
      <c r="AZ32" s="18">
        <f>INDEX(PREPARATION_MODIFIERS[maintain_preparation_modifier],
MATCH(tbl_product_preparations[[#This Row],[preparation_key]],
PREPARATION_MODIFIERS[preparation_key],0))</f>
        <v>0</v>
      </c>
      <c r="BA32" s="18">
        <f>INDEX(PREPARATION_MODIFIERS[gain_preparation_modifier],
MATCH(tbl_product_preparations[[#This Row],[preparation_key]],
PREPARATION_MODIFIERS[preparation_key],0))</f>
        <v>0</v>
      </c>
    </row>
    <row r="33" spans="1:53" x14ac:dyDescent="0.2">
      <c r="A33" s="31" t="s">
        <v>1100</v>
      </c>
      <c r="B33" s="31" t="s">
        <v>363</v>
      </c>
      <c r="C33" s="31" t="s">
        <v>160</v>
      </c>
      <c r="D33" s="31" t="s">
        <v>1121</v>
      </c>
      <c r="E33" s="53" t="str">
        <f>IF(tbl_product_preparations[[#This Row],[source_key]]="MANUFACTURER","MANUFACTURER",
IF(tbl_product_preparations[[#This Row],[source_key]]="CALCULATED","CALCULATED",
"REAL"))</f>
        <v>REAL</v>
      </c>
      <c r="F33" s="53" t="str">
        <f>IF(LEFT(tbl_product_preparations[[#This Row],[source_key]],4)="USDA","US","EU")</f>
        <v>EU</v>
      </c>
      <c r="G33" s="32">
        <v>23</v>
      </c>
      <c r="H33" s="18" t="str">
        <f>IF(
   ISNUMBER(tbl_product_preparations[[#This Row],[density_lookup]]),
   ROUND(tbl_product_preparations[[#This Row],[kcal_per_100g]]*tbl_product_preparations[[#This Row],[density_lookup]],1),
   ""
)</f>
        <v/>
      </c>
      <c r="I33" s="32">
        <v>1.3</v>
      </c>
      <c r="J33" s="32">
        <v>3</v>
      </c>
      <c r="K33" s="32">
        <v>0</v>
      </c>
      <c r="L33" s="32">
        <v>0</v>
      </c>
      <c r="M33" s="32">
        <v>2.9</v>
      </c>
      <c r="N33" s="32">
        <v>3</v>
      </c>
      <c r="O33" s="46">
        <f>IF(tbl_product_preparations[[#This Row],[sugar_per_100g]]=0,tbl_product_preparations[[#This Row],[carbs_per_100g]],tbl_product_preparations[[#This Row],[sugar_per_100g]])</f>
        <v>3</v>
      </c>
      <c r="P33" s="36">
        <v>8.9999999999999993E-3</v>
      </c>
      <c r="Q33" s="50">
        <f>IF(tbl_product_preparations[[#This Row],[sodium_per_100g]]=0,
tbl_product_preparations[[#This Row],[salt_per_100g]]/2.5,
tbl_product_preparations[[#This Row],[sodium_per_100g]])</f>
        <v>8.9999999999999993E-3</v>
      </c>
      <c r="R33" s="24">
        <f>ROUND(tbl_product_preparations[[#This Row],[sodium_per_100g]]*2.5,3)</f>
        <v>2.3E-2</v>
      </c>
      <c r="S33" s="24">
        <f>IF(tbl_product_preparations[[#This Row],[salt_per_100g]]=0,
tbl_product_preparations[[#This Row],[sodium_per_100g]]*2.5,
tbl_product_preparations[[#This Row],[salt_per_100g]])</f>
        <v>2.3E-2</v>
      </c>
      <c r="T33" s="32">
        <v>89.8</v>
      </c>
      <c r="U33" s="14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33" s="18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23</v>
      </c>
      <c r="W33" s="18">
        <f>IF(tbl_product_preparations[[#This Row],[kcal_per_100g]]=0,0,ABS((tbl_product_preparations[[#This Row],[kcal_per_100g]]-tbl_product_preparations[[#This Row],[kcal_calc]])/tbl_product_preparations[[#This Row],[kcal_per_100g]])*100)</f>
        <v>0</v>
      </c>
      <c r="X33" s="18">
        <f>ROUND(tbl_product_preparations[[#This Row],[kcal_calc]],1)</f>
        <v>23</v>
      </c>
      <c r="Y33" s="18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97.009</v>
      </c>
      <c r="Z33" s="18" t="str">
        <f>IF(
  tbl_product_preparations[[#This Row],[macro_sum]] &lt;=
  100 + _xlfn.XLOOKUP("WATER_TOTAL_TOLERANCE",tbl_config[config_key],tbl_config[config_value]),
  "OK",
  "ERROR"
)</f>
        <v>OK</v>
      </c>
      <c r="AA33" s="14" t="str">
        <f>_xlfn.LET(
   _xlpm.d, _xlfn.XLOOKUP(tbl_product_preparations[[#This Row],[product_key]],tbl_products[product_key],tbl_products[density_g_per_ml]),
   IF(AND(ISNUMBER(_xlpm.d), _xlpm.d&gt;0), _xlpm.d, "")
)</f>
        <v/>
      </c>
      <c r="AB33" s="18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33" s="18" cm="1">
        <f t="array" ref="AC33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94.058806336434202</v>
      </c>
      <c r="AD33" s="18" cm="1">
        <f t="array" ref="AD33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79.358073401576675</v>
      </c>
      <c r="AE33" s="18" cm="1">
        <f t="array" ref="AE33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65.193364089734544</v>
      </c>
      <c r="AF33" s="18">
        <f>IF(tbl_product_preparations[[#This Row],[kcal_per_100g]]&lt;5,
 0,
 MAX(0,MIN(100,
  ((tbl_product_preparations[[#This Row],[protein_per_100g]]/tbl_product_preparations[[#This Row],[kcal_per_100g]]*100 - 1) / 7 * 100)
 ))
)</f>
        <v>66.459627329192557</v>
      </c>
      <c r="AG33" s="18">
        <f>IF(tbl_product_preparations[[#This Row],[kcal_per_100g]]&lt;5,
 0,
 MAX(0,MIN(100,(tbl_product_preparations[[#This Row],[fiber_per_100g]]/8*100)))
)</f>
        <v>36.25</v>
      </c>
      <c r="AH33" s="18">
        <f>MAX(0,MIN(100,100-(tbl_product_preparations[[#This Row],[sugar_per_100g]]/15*100)))</f>
        <v>80</v>
      </c>
      <c r="AI33" s="18">
        <f>MAX(0,100-(tbl_product_preparations[[#This Row],[alcohol_per_100g]]*50))</f>
        <v>100</v>
      </c>
      <c r="AJ33" s="18">
        <f>ROUND(tbl_product_preparations[[#This Row],[water_percent]],0)</f>
        <v>90</v>
      </c>
      <c r="AK33" s="18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82</v>
      </c>
      <c r="AL33" s="18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74</v>
      </c>
      <c r="AM33" s="18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65</v>
      </c>
      <c r="AN33" s="38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B</v>
      </c>
      <c r="AO33" s="38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B</v>
      </c>
      <c r="AP33" s="38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B</v>
      </c>
      <c r="AQ33" s="18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VEGETABLES</v>
      </c>
      <c r="AR33" s="18"/>
      <c r="AS33" s="18" t="str">
        <f>INDEX(tbl_products[lose_modifier_group],
MATCH(tbl_product_preparations[[#This Row],[product_key]],
tbl_products[product_key],0))</f>
        <v>VEGETABLES</v>
      </c>
      <c r="AT33" s="18">
        <f>INDEX(BONUS_MALUS_LOSE[Modifier],
MATCH(tbl_product_preparations[[#This Row],[lose_modifier_group]],
BONUS_MALUS_LOSE[Group],0))</f>
        <v>5</v>
      </c>
      <c r="AU33" s="18" t="str">
        <f>INDEX(tbl_products[maintain_modifier_group],
MATCH(tbl_product_preparations[[#This Row],[product_key]],
tbl_products[product_key],0))</f>
        <v>VEGETABLES</v>
      </c>
      <c r="AV33" s="18">
        <f>INDEX(BONUS_MALUS_MAINTAIN[Modifier],
MATCH(tbl_product_preparations[[#This Row],[maintain_modifier_group]],
BONUS_MALUS_MAINTAIN[Group],0))</f>
        <v>3</v>
      </c>
      <c r="AW33" s="18" t="str">
        <f>INDEX(tbl_products[gain_modifier_group],
MATCH(tbl_product_preparations[[#This Row],[product_key]],
tbl_products[product_key],0))</f>
        <v>VEGETABLES</v>
      </c>
      <c r="AX33" s="18">
        <f>INDEX(BONUS_MALUS_GAIN[Modifier],
MATCH(tbl_product_preparations[[#This Row],[gain_modifier_group]],
BONUS_MALUS_GAIN[Group],0))</f>
        <v>-2</v>
      </c>
      <c r="AY33" s="18">
        <f>INDEX(PREPARATION_MODIFIERS[lose_preparation_modifier],
MATCH(tbl_product_preparations[[#This Row],[preparation_key]],
PREPARATION_MODIFIERS[preparation_key],0))</f>
        <v>0</v>
      </c>
      <c r="AZ33" s="18">
        <f>INDEX(PREPARATION_MODIFIERS[maintain_preparation_modifier],
MATCH(tbl_product_preparations[[#This Row],[preparation_key]],
PREPARATION_MODIFIERS[preparation_key],0))</f>
        <v>0</v>
      </c>
      <c r="BA33" s="18">
        <f>INDEX(PREPARATION_MODIFIERS[gain_preparation_modifier],
MATCH(tbl_product_preparations[[#This Row],[preparation_key]],
PREPARATION_MODIFIERS[preparation_key],0))</f>
        <v>0</v>
      </c>
    </row>
    <row r="34" spans="1:53" x14ac:dyDescent="0.2">
      <c r="A34" s="31" t="s">
        <v>1100</v>
      </c>
      <c r="B34" s="31" t="s">
        <v>365</v>
      </c>
      <c r="C34" s="31" t="s">
        <v>160</v>
      </c>
      <c r="D34" s="31" t="s">
        <v>1122</v>
      </c>
      <c r="E34" s="53" t="str">
        <f>IF(tbl_product_preparations[[#This Row],[source_key]]="MANUFACTURER","MANUFACTURER",
IF(tbl_product_preparations[[#This Row],[source_key]]="CALCULATED","CALCULATED",
"REAL"))</f>
        <v>REAL</v>
      </c>
      <c r="F34" s="53" t="str">
        <f>IF(LEFT(tbl_product_preparations[[#This Row],[source_key]],4)="USDA","US","EU")</f>
        <v>EU</v>
      </c>
      <c r="G34" s="32">
        <v>27</v>
      </c>
      <c r="H34" s="18" t="str">
        <f>IF(
   ISNUMBER(tbl_product_preparations[[#This Row],[density_lookup]]),
   ROUND(tbl_product_preparations[[#This Row],[kcal_per_100g]]*tbl_product_preparations[[#This Row],[density_lookup]],1),
   ""
)</f>
        <v/>
      </c>
      <c r="I34" s="32">
        <v>2</v>
      </c>
      <c r="J34" s="32">
        <v>3</v>
      </c>
      <c r="K34" s="32">
        <v>0</v>
      </c>
      <c r="L34" s="32">
        <v>0</v>
      </c>
      <c r="M34" s="32">
        <v>3.6</v>
      </c>
      <c r="N34" s="32">
        <v>3</v>
      </c>
      <c r="O34" s="46">
        <f>IF(tbl_product_preparations[[#This Row],[sugar_per_100g]]=0,tbl_product_preparations[[#This Row],[carbs_per_100g]],tbl_product_preparations[[#This Row],[sugar_per_100g]])</f>
        <v>3</v>
      </c>
      <c r="P34" s="36">
        <v>8.9999999999999993E-3</v>
      </c>
      <c r="Q34" s="50">
        <f>IF(tbl_product_preparations[[#This Row],[sodium_per_100g]]=0,
tbl_product_preparations[[#This Row],[salt_per_100g]]/2.5,
tbl_product_preparations[[#This Row],[sodium_per_100g]])</f>
        <v>8.9999999999999993E-3</v>
      </c>
      <c r="R34" s="24">
        <f>ROUND(tbl_product_preparations[[#This Row],[sodium_per_100g]]*2.5,3)</f>
        <v>2.3E-2</v>
      </c>
      <c r="S34" s="24">
        <f>IF(tbl_product_preparations[[#This Row],[salt_per_100g]]=0,
tbl_product_preparations[[#This Row],[sodium_per_100g]]*2.5,
tbl_product_preparations[[#This Row],[salt_per_100g]])</f>
        <v>2.3E-2</v>
      </c>
      <c r="T34" s="32">
        <v>91</v>
      </c>
      <c r="U34" s="14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34" s="18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27.2</v>
      </c>
      <c r="W34" s="18">
        <f>IF(tbl_product_preparations[[#This Row],[kcal_per_100g]]=0,0,ABS((tbl_product_preparations[[#This Row],[kcal_per_100g]]-tbl_product_preparations[[#This Row],[kcal_calc]])/tbl_product_preparations[[#This Row],[kcal_per_100g]])*100)</f>
        <v>0.74074074074073804</v>
      </c>
      <c r="X34" s="18">
        <f>ROUND(tbl_product_preparations[[#This Row],[kcal_calc]],1)</f>
        <v>27.2</v>
      </c>
      <c r="Y34" s="18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99.608999999999995</v>
      </c>
      <c r="Z34" s="18" t="str">
        <f>IF(
  tbl_product_preparations[[#This Row],[macro_sum]] &lt;=
  100 + _xlfn.XLOOKUP("WATER_TOTAL_TOLERANCE",tbl_config[config_key],tbl_config[config_value]),
  "OK",
  "ERROR"
)</f>
        <v>OK</v>
      </c>
      <c r="AA34" s="14" t="str">
        <f>_xlfn.LET(
   _xlpm.d, _xlfn.XLOOKUP(tbl_product_preparations[[#This Row],[product_key]],tbl_products[product_key],tbl_products[density_g_per_ml]),
   IF(AND(ISNUMBER(_xlpm.d), _xlpm.d&gt;0), _xlpm.d, "")
)</f>
        <v/>
      </c>
      <c r="AB34" s="18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34" s="18" cm="1">
        <f t="array" ref="AC34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98.881304461123307</v>
      </c>
      <c r="AD34" s="18" cm="1">
        <f t="array" ref="AD34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87.354118597885019</v>
      </c>
      <c r="AE34" s="18" cm="1">
        <f t="array" ref="AE34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71.154792928753679</v>
      </c>
      <c r="AF34" s="18">
        <f>IF(tbl_product_preparations[[#This Row],[kcal_per_100g]]&lt;5,
 0,
 MAX(0,MIN(100,
  ((tbl_product_preparations[[#This Row],[protein_per_100g]]/tbl_product_preparations[[#This Row],[kcal_per_100g]]*100 - 1) / 7 * 100)
 ))
)</f>
        <v>91.534391534391517</v>
      </c>
      <c r="AG34" s="18">
        <f>IF(tbl_product_preparations[[#This Row],[kcal_per_100g]]&lt;5,
 0,
 MAX(0,MIN(100,(tbl_product_preparations[[#This Row],[fiber_per_100g]]/8*100)))
)</f>
        <v>45</v>
      </c>
      <c r="AH34" s="18">
        <f>MAX(0,MIN(100,100-(tbl_product_preparations[[#This Row],[sugar_per_100g]]/15*100)))</f>
        <v>80</v>
      </c>
      <c r="AI34" s="18">
        <f>MAX(0,100-(tbl_product_preparations[[#This Row],[alcohol_per_100g]]*50))</f>
        <v>100</v>
      </c>
      <c r="AJ34" s="18">
        <f>ROUND(tbl_product_preparations[[#This Row],[water_percent]],0)</f>
        <v>91</v>
      </c>
      <c r="AK34" s="18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89</v>
      </c>
      <c r="AL34" s="18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83</v>
      </c>
      <c r="AM34" s="18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75</v>
      </c>
      <c r="AN34" s="38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A</v>
      </c>
      <c r="AO34" s="38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A</v>
      </c>
      <c r="AP34" s="38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B</v>
      </c>
      <c r="AQ34" s="18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VEGETABLES</v>
      </c>
      <c r="AR34" s="18"/>
      <c r="AS34" s="18" t="str">
        <f>INDEX(tbl_products[lose_modifier_group],
MATCH(tbl_product_preparations[[#This Row],[product_key]],
tbl_products[product_key],0))</f>
        <v>VEGETABLES</v>
      </c>
      <c r="AT34" s="18">
        <f>INDEX(BONUS_MALUS_LOSE[Modifier],
MATCH(tbl_product_preparations[[#This Row],[lose_modifier_group]],
BONUS_MALUS_LOSE[Group],0))</f>
        <v>5</v>
      </c>
      <c r="AU34" s="18" t="str">
        <f>INDEX(tbl_products[maintain_modifier_group],
MATCH(tbl_product_preparations[[#This Row],[product_key]],
tbl_products[product_key],0))</f>
        <v>VEGETABLES</v>
      </c>
      <c r="AV34" s="18">
        <f>INDEX(BONUS_MALUS_MAINTAIN[Modifier],
MATCH(tbl_product_preparations[[#This Row],[maintain_modifier_group]],
BONUS_MALUS_MAINTAIN[Group],0))</f>
        <v>3</v>
      </c>
      <c r="AW34" s="18" t="str">
        <f>INDEX(tbl_products[gain_modifier_group],
MATCH(tbl_product_preparations[[#This Row],[product_key]],
tbl_products[product_key],0))</f>
        <v>VEGETABLES</v>
      </c>
      <c r="AX34" s="18">
        <f>INDEX(BONUS_MALUS_GAIN[Modifier],
MATCH(tbl_product_preparations[[#This Row],[gain_modifier_group]],
BONUS_MALUS_GAIN[Group],0))</f>
        <v>-2</v>
      </c>
      <c r="AY34" s="18">
        <f>INDEX(PREPARATION_MODIFIERS[lose_preparation_modifier],
MATCH(tbl_product_preparations[[#This Row],[preparation_key]],
PREPARATION_MODIFIERS[preparation_key],0))</f>
        <v>0</v>
      </c>
      <c r="AZ34" s="18">
        <f>INDEX(PREPARATION_MODIFIERS[maintain_preparation_modifier],
MATCH(tbl_product_preparations[[#This Row],[preparation_key]],
PREPARATION_MODIFIERS[preparation_key],0))</f>
        <v>0</v>
      </c>
      <c r="BA34" s="18">
        <f>INDEX(PREPARATION_MODIFIERS[gain_preparation_modifier],
MATCH(tbl_product_preparations[[#This Row],[preparation_key]],
PREPARATION_MODIFIERS[preparation_key],0))</f>
        <v>0</v>
      </c>
    </row>
    <row r="35" spans="1:53" x14ac:dyDescent="0.2">
      <c r="A35" s="31" t="s">
        <v>1112</v>
      </c>
      <c r="B35" s="31" t="s">
        <v>363</v>
      </c>
      <c r="C35" s="31" t="s">
        <v>160</v>
      </c>
      <c r="D35" s="31" t="s">
        <v>1123</v>
      </c>
      <c r="E35" s="53" t="str">
        <f>IF(tbl_product_preparations[[#This Row],[source_key]]="MANUFACTURER","MANUFACTURER",
IF(tbl_product_preparations[[#This Row],[source_key]]="CALCULATED","CALCULATED",
"REAL"))</f>
        <v>REAL</v>
      </c>
      <c r="F35" s="53" t="str">
        <f>IF(LEFT(tbl_product_preparations[[#This Row],[source_key]],4)="USDA","US","EU")</f>
        <v>EU</v>
      </c>
      <c r="G35" s="32">
        <v>21</v>
      </c>
      <c r="H35" s="18" t="str">
        <f>IF(
   ISNUMBER(tbl_product_preparations[[#This Row],[density_lookup]]),
   ROUND(tbl_product_preparations[[#This Row],[kcal_per_100g]]*tbl_product_preparations[[#This Row],[density_lookup]],1),
   ""
)</f>
        <v/>
      </c>
      <c r="I35" s="32">
        <v>1.5</v>
      </c>
      <c r="J35" s="32">
        <v>2.2999999999999998</v>
      </c>
      <c r="K35" s="32">
        <v>0.2</v>
      </c>
      <c r="L35" s="32">
        <v>0</v>
      </c>
      <c r="M35" s="32">
        <v>2.2000000000000002</v>
      </c>
      <c r="N35" s="32">
        <v>2.2999999999999998</v>
      </c>
      <c r="O35" s="46">
        <f>IF(tbl_product_preparations[[#This Row],[sugar_per_100g]]=0,tbl_product_preparations[[#This Row],[carbs_per_100g]],tbl_product_preparations[[#This Row],[sugar_per_100g]])</f>
        <v>2.2999999999999998</v>
      </c>
      <c r="P35" s="36">
        <v>5.0000000000000001E-3</v>
      </c>
      <c r="Q35" s="50">
        <f>IF(tbl_product_preparations[[#This Row],[sodium_per_100g]]=0,
tbl_product_preparations[[#This Row],[salt_per_100g]]/2.5,
tbl_product_preparations[[#This Row],[sodium_per_100g]])</f>
        <v>5.0000000000000001E-3</v>
      </c>
      <c r="R35" s="24">
        <f>ROUND(tbl_product_preparations[[#This Row],[sodium_per_100g]]*2.5,3)</f>
        <v>1.2999999999999999E-2</v>
      </c>
      <c r="S35" s="24">
        <f>IF(tbl_product_preparations[[#This Row],[salt_per_100g]]=0,
tbl_product_preparations[[#This Row],[sodium_per_100g]]*2.5,
tbl_product_preparations[[#This Row],[salt_per_100g]])</f>
        <v>1.2999999999999999E-2</v>
      </c>
      <c r="T35" s="32">
        <v>93.8</v>
      </c>
      <c r="U35" s="14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35" s="18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21.4</v>
      </c>
      <c r="W35" s="18">
        <f>IF(tbl_product_preparations[[#This Row],[kcal_per_100g]]=0,0,ABS((tbl_product_preparations[[#This Row],[kcal_per_100g]]-tbl_product_preparations[[#This Row],[kcal_calc]])/tbl_product_preparations[[#This Row],[kcal_per_100g]])*100)</f>
        <v>1.904761904761898</v>
      </c>
      <c r="X35" s="18">
        <f>ROUND(tbl_product_preparations[[#This Row],[kcal_calc]],1)</f>
        <v>21.4</v>
      </c>
      <c r="Y35" s="18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100.005</v>
      </c>
      <c r="Z35" s="18" t="str">
        <f>IF(
  tbl_product_preparations[[#This Row],[macro_sum]] &lt;=
  100 + _xlfn.XLOOKUP("WATER_TOTAL_TOLERANCE",tbl_config[config_key],tbl_config[config_value]),
  "OK",
  "ERROR"
)</f>
        <v>OK</v>
      </c>
      <c r="AA35" s="14" t="str">
        <f>_xlfn.LET(
   _xlpm.d, _xlfn.XLOOKUP(tbl_product_preparations[[#This Row],[product_key]],tbl_products[product_key],tbl_products[density_g_per_ml]),
   IF(AND(ISNUMBER(_xlpm.d), _xlpm.d&gt;0), _xlpm.d, "")
)</f>
        <v/>
      </c>
      <c r="AB35" s="18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35" s="18" cm="1">
        <f t="array" ref="AC35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90.370707787319603</v>
      </c>
      <c r="AD35" s="18" cm="1">
        <f t="array" ref="AD35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74.91620228249927</v>
      </c>
      <c r="AE35" s="18" cm="1">
        <f t="array" ref="AE35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62.169074774719327</v>
      </c>
      <c r="AF35" s="18">
        <f>IF(tbl_product_preparations[[#This Row],[kcal_per_100g]]&lt;5,
 0,
 MAX(0,MIN(100,
  ((tbl_product_preparations[[#This Row],[protein_per_100g]]/tbl_product_preparations[[#This Row],[kcal_per_100g]]*100 - 1) / 7 * 100)
 ))
)</f>
        <v>87.755102040816325</v>
      </c>
      <c r="AG35" s="18">
        <f>IF(tbl_product_preparations[[#This Row],[kcal_per_100g]]&lt;5,
 0,
 MAX(0,MIN(100,(tbl_product_preparations[[#This Row],[fiber_per_100g]]/8*100)))
)</f>
        <v>27.500000000000004</v>
      </c>
      <c r="AH35" s="18">
        <f>MAX(0,MIN(100,100-(tbl_product_preparations[[#This Row],[sugar_per_100g]]/15*100)))</f>
        <v>84.666666666666671</v>
      </c>
      <c r="AI35" s="18">
        <f>MAX(0,100-(tbl_product_preparations[[#This Row],[alcohol_per_100g]]*50))</f>
        <v>100</v>
      </c>
      <c r="AJ35" s="18">
        <f>ROUND(tbl_product_preparations[[#This Row],[water_percent]],0)</f>
        <v>94</v>
      </c>
      <c r="AK35" s="18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83</v>
      </c>
      <c r="AL35" s="18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76</v>
      </c>
      <c r="AM35" s="18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69</v>
      </c>
      <c r="AN35" s="38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B</v>
      </c>
      <c r="AO35" s="38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B</v>
      </c>
      <c r="AP35" s="38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B</v>
      </c>
      <c r="AQ35" s="18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VEGETABLES</v>
      </c>
      <c r="AR35" s="18"/>
      <c r="AS35" s="18" t="str">
        <f>INDEX(tbl_products[lose_modifier_group],
MATCH(tbl_product_preparations[[#This Row],[product_key]],
tbl_products[product_key],0))</f>
        <v>VEGETABLES</v>
      </c>
      <c r="AT35" s="18">
        <f>INDEX(BONUS_MALUS_LOSE[Modifier],
MATCH(tbl_product_preparations[[#This Row],[lose_modifier_group]],
BONUS_MALUS_LOSE[Group],0))</f>
        <v>5</v>
      </c>
      <c r="AU35" s="18" t="str">
        <f>INDEX(tbl_products[maintain_modifier_group],
MATCH(tbl_product_preparations[[#This Row],[product_key]],
tbl_products[product_key],0))</f>
        <v>VEGETABLES</v>
      </c>
      <c r="AV35" s="18">
        <f>INDEX(BONUS_MALUS_MAINTAIN[Modifier],
MATCH(tbl_product_preparations[[#This Row],[maintain_modifier_group]],
BONUS_MALUS_MAINTAIN[Group],0))</f>
        <v>3</v>
      </c>
      <c r="AW35" s="18" t="str">
        <f>INDEX(tbl_products[gain_modifier_group],
MATCH(tbl_product_preparations[[#This Row],[product_key]],
tbl_products[product_key],0))</f>
        <v>VEGETABLES</v>
      </c>
      <c r="AX35" s="18">
        <f>INDEX(BONUS_MALUS_GAIN[Modifier],
MATCH(tbl_product_preparations[[#This Row],[gain_modifier_group]],
BONUS_MALUS_GAIN[Group],0))</f>
        <v>-2</v>
      </c>
      <c r="AY35" s="18">
        <f>INDEX(PREPARATION_MODIFIERS[lose_preparation_modifier],
MATCH(tbl_product_preparations[[#This Row],[preparation_key]],
PREPARATION_MODIFIERS[preparation_key],0))</f>
        <v>0</v>
      </c>
      <c r="AZ35" s="18">
        <f>INDEX(PREPARATION_MODIFIERS[maintain_preparation_modifier],
MATCH(tbl_product_preparations[[#This Row],[preparation_key]],
PREPARATION_MODIFIERS[preparation_key],0))</f>
        <v>0</v>
      </c>
      <c r="BA35" s="18">
        <f>INDEX(PREPARATION_MODIFIERS[gain_preparation_modifier],
MATCH(tbl_product_preparations[[#This Row],[preparation_key]],
PREPARATION_MODIFIERS[preparation_key],0))</f>
        <v>0</v>
      </c>
    </row>
    <row r="36" spans="1:53" x14ac:dyDescent="0.2">
      <c r="A36" s="31" t="s">
        <v>1112</v>
      </c>
      <c r="B36" s="31" t="s">
        <v>365</v>
      </c>
      <c r="C36" s="31" t="s">
        <v>160</v>
      </c>
      <c r="D36" s="31" t="s">
        <v>1124</v>
      </c>
      <c r="E36" s="53" t="str">
        <f>IF(tbl_product_preparations[[#This Row],[source_key]]="MANUFACTURER","MANUFACTURER",
IF(tbl_product_preparations[[#This Row],[source_key]]="CALCULATED","CALCULATED",
"REAL"))</f>
        <v>REAL</v>
      </c>
      <c r="F36" s="53" t="str">
        <f>IF(LEFT(tbl_product_preparations[[#This Row],[source_key]],4)="USDA","US","EU")</f>
        <v>EU</v>
      </c>
      <c r="G36" s="32">
        <v>36</v>
      </c>
      <c r="H36" s="18" t="str">
        <f>IF(
   ISNUMBER(tbl_product_preparations[[#This Row],[density_lookup]]),
   ROUND(tbl_product_preparations[[#This Row],[kcal_per_100g]]*tbl_product_preparations[[#This Row],[density_lookup]],1),
   ""
)</f>
        <v/>
      </c>
      <c r="I36" s="32">
        <v>2.4</v>
      </c>
      <c r="J36" s="32">
        <v>4.0999999999999996</v>
      </c>
      <c r="K36" s="32">
        <v>0.2</v>
      </c>
      <c r="L36" s="32">
        <v>0</v>
      </c>
      <c r="M36" s="32">
        <v>4.0999999999999996</v>
      </c>
      <c r="N36" s="32">
        <v>4.0999999999999996</v>
      </c>
      <c r="O36" s="46">
        <f>IF(tbl_product_preparations[[#This Row],[sugar_per_100g]]=0,tbl_product_preparations[[#This Row],[carbs_per_100g]],tbl_product_preparations[[#This Row],[sugar_per_100g]])</f>
        <v>4.0999999999999996</v>
      </c>
      <c r="P36" s="36">
        <v>7.0000000000000001E-3</v>
      </c>
      <c r="Q36" s="50">
        <f>IF(tbl_product_preparations[[#This Row],[sodium_per_100g]]=0,
tbl_product_preparations[[#This Row],[salt_per_100g]]/2.5,
tbl_product_preparations[[#This Row],[sodium_per_100g]])</f>
        <v>7.0000000000000001E-3</v>
      </c>
      <c r="R36" s="24">
        <f>ROUND(tbl_product_preparations[[#This Row],[sodium_per_100g]]*2.5,3)</f>
        <v>1.7999999999999999E-2</v>
      </c>
      <c r="S36" s="24">
        <f>IF(tbl_product_preparations[[#This Row],[salt_per_100g]]=0,
tbl_product_preparations[[#This Row],[sodium_per_100g]]*2.5,
tbl_product_preparations[[#This Row],[salt_per_100g]])</f>
        <v>1.7999999999999999E-2</v>
      </c>
      <c r="T36" s="32">
        <v>89.2</v>
      </c>
      <c r="U36" s="14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36" s="18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36</v>
      </c>
      <c r="W36" s="18">
        <f>IF(tbl_product_preparations[[#This Row],[kcal_per_100g]]=0,0,ABS((tbl_product_preparations[[#This Row],[kcal_per_100g]]-tbl_product_preparations[[#This Row],[kcal_calc]])/tbl_product_preparations[[#This Row],[kcal_per_100g]])*100)</f>
        <v>0</v>
      </c>
      <c r="X36" s="18">
        <f>ROUND(tbl_product_preparations[[#This Row],[kcal_calc]],1)</f>
        <v>36</v>
      </c>
      <c r="Y36" s="18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100.00700000000001</v>
      </c>
      <c r="Z36" s="18" t="str">
        <f>IF(
  tbl_product_preparations[[#This Row],[macro_sum]] &lt;=
  100 + _xlfn.XLOOKUP("WATER_TOTAL_TOLERANCE",tbl_config[config_key],tbl_config[config_value]),
  "OK",
  "ERROR"
)</f>
        <v>OK</v>
      </c>
      <c r="AA36" s="14" t="str">
        <f>_xlfn.LET(
   _xlpm.d, _xlfn.XLOOKUP(tbl_product_preparations[[#This Row],[product_key]],tbl_products[product_key],tbl_products[density_g_per_ml]),
   IF(AND(ISNUMBER(_xlpm.d), _xlpm.d&gt;0), _xlpm.d, "")
)</f>
        <v/>
      </c>
      <c r="AB36" s="18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36" s="18" cm="1">
        <f t="array" ref="AC36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95.599748183309998</v>
      </c>
      <c r="AD36" s="18" cm="1">
        <f t="array" ref="AD36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98.728157159029053</v>
      </c>
      <c r="AE36" s="18" cm="1">
        <f t="array" ref="AE36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83.527021141127193</v>
      </c>
      <c r="AF36" s="18">
        <f>IF(tbl_product_preparations[[#This Row],[kcal_per_100g]]&lt;5,
 0,
 MAX(0,MIN(100,
  ((tbl_product_preparations[[#This Row],[protein_per_100g]]/tbl_product_preparations[[#This Row],[kcal_per_100g]]*100 - 1) / 7 * 100)
 ))
)</f>
        <v>80.952380952380949</v>
      </c>
      <c r="AG36" s="18">
        <f>IF(tbl_product_preparations[[#This Row],[kcal_per_100g]]&lt;5,
 0,
 MAX(0,MIN(100,(tbl_product_preparations[[#This Row],[fiber_per_100g]]/8*100)))
)</f>
        <v>51.249999999999993</v>
      </c>
      <c r="AH36" s="18">
        <f>MAX(0,MIN(100,100-(tbl_product_preparations[[#This Row],[sugar_per_100g]]/15*100)))</f>
        <v>72.666666666666671</v>
      </c>
      <c r="AI36" s="18">
        <f>MAX(0,100-(tbl_product_preparations[[#This Row],[alcohol_per_100g]]*50))</f>
        <v>100</v>
      </c>
      <c r="AJ36" s="18">
        <f>ROUND(tbl_product_preparations[[#This Row],[water_percent]],0)</f>
        <v>89</v>
      </c>
      <c r="AK36" s="18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87</v>
      </c>
      <c r="AL36" s="18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85</v>
      </c>
      <c r="AM36" s="18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79</v>
      </c>
      <c r="AN36" s="38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A</v>
      </c>
      <c r="AO36" s="38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A</v>
      </c>
      <c r="AP36" s="38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B</v>
      </c>
      <c r="AQ36" s="18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VEGETABLES</v>
      </c>
      <c r="AR36" s="18"/>
      <c r="AS36" s="18" t="str">
        <f>INDEX(tbl_products[lose_modifier_group],
MATCH(tbl_product_preparations[[#This Row],[product_key]],
tbl_products[product_key],0))</f>
        <v>VEGETABLES</v>
      </c>
      <c r="AT36" s="18">
        <f>INDEX(BONUS_MALUS_LOSE[Modifier],
MATCH(tbl_product_preparations[[#This Row],[lose_modifier_group]],
BONUS_MALUS_LOSE[Group],0))</f>
        <v>5</v>
      </c>
      <c r="AU36" s="18" t="str">
        <f>INDEX(tbl_products[maintain_modifier_group],
MATCH(tbl_product_preparations[[#This Row],[product_key]],
tbl_products[product_key],0))</f>
        <v>VEGETABLES</v>
      </c>
      <c r="AV36" s="18">
        <f>INDEX(BONUS_MALUS_MAINTAIN[Modifier],
MATCH(tbl_product_preparations[[#This Row],[maintain_modifier_group]],
BONUS_MALUS_MAINTAIN[Group],0))</f>
        <v>3</v>
      </c>
      <c r="AW36" s="18" t="str">
        <f>INDEX(tbl_products[gain_modifier_group],
MATCH(tbl_product_preparations[[#This Row],[product_key]],
tbl_products[product_key],0))</f>
        <v>VEGETABLES</v>
      </c>
      <c r="AX36" s="18">
        <f>INDEX(BONUS_MALUS_GAIN[Modifier],
MATCH(tbl_product_preparations[[#This Row],[gain_modifier_group]],
BONUS_MALUS_GAIN[Group],0))</f>
        <v>-2</v>
      </c>
      <c r="AY36" s="18">
        <f>INDEX(PREPARATION_MODIFIERS[lose_preparation_modifier],
MATCH(tbl_product_preparations[[#This Row],[preparation_key]],
PREPARATION_MODIFIERS[preparation_key],0))</f>
        <v>0</v>
      </c>
      <c r="AZ36" s="18">
        <f>INDEX(PREPARATION_MODIFIERS[maintain_preparation_modifier],
MATCH(tbl_product_preparations[[#This Row],[preparation_key]],
PREPARATION_MODIFIERS[preparation_key],0))</f>
        <v>0</v>
      </c>
      <c r="BA36" s="18">
        <f>INDEX(PREPARATION_MODIFIERS[gain_preparation_modifier],
MATCH(tbl_product_preparations[[#This Row],[preparation_key]],
PREPARATION_MODIFIERS[preparation_key],0))</f>
        <v>0</v>
      </c>
    </row>
    <row r="37" spans="1:53" x14ac:dyDescent="0.2">
      <c r="A37" s="31" t="s">
        <v>1101</v>
      </c>
      <c r="B37" s="31" t="s">
        <v>363</v>
      </c>
      <c r="C37" s="31" t="s">
        <v>160</v>
      </c>
      <c r="D37" s="31" t="s">
        <v>1125</v>
      </c>
      <c r="E37" s="53" t="str">
        <f>IF(tbl_product_preparations[[#This Row],[source_key]]="MANUFACTURER","MANUFACTURER",
IF(tbl_product_preparations[[#This Row],[source_key]]="CALCULATED","CALCULATED",
"REAL"))</f>
        <v>REAL</v>
      </c>
      <c r="F37" s="53" t="str">
        <f>IF(LEFT(tbl_product_preparations[[#This Row],[source_key]],4)="USDA","US","EU")</f>
        <v>EU</v>
      </c>
      <c r="G37" s="32">
        <v>16</v>
      </c>
      <c r="H37" s="18" t="str">
        <f>IF(
   ISNUMBER(tbl_product_preparations[[#This Row],[density_lookup]]),
   ROUND(tbl_product_preparations[[#This Row],[kcal_per_100g]]*tbl_product_preparations[[#This Row],[density_lookup]],1),
   ""
)</f>
        <v/>
      </c>
      <c r="I37" s="32">
        <v>0.9</v>
      </c>
      <c r="J37" s="32">
        <v>1.8</v>
      </c>
      <c r="K37" s="32">
        <v>0</v>
      </c>
      <c r="L37" s="32">
        <v>0</v>
      </c>
      <c r="M37" s="32">
        <v>2.8</v>
      </c>
      <c r="N37" s="32">
        <v>1.8</v>
      </c>
      <c r="O37" s="46">
        <f>IF(tbl_product_preparations[[#This Row],[sugar_per_100g]]=0,tbl_product_preparations[[#This Row],[carbs_per_100g]],tbl_product_preparations[[#This Row],[sugar_per_100g]])</f>
        <v>1.8</v>
      </c>
      <c r="P37" s="36">
        <v>1.4999999999999999E-2</v>
      </c>
      <c r="Q37" s="50">
        <f>IF(tbl_product_preparations[[#This Row],[sodium_per_100g]]=0,
tbl_product_preparations[[#This Row],[salt_per_100g]]/2.5,
tbl_product_preparations[[#This Row],[sodium_per_100g]])</f>
        <v>1.4999999999999999E-2</v>
      </c>
      <c r="R37" s="24">
        <f>ROUND(tbl_product_preparations[[#This Row],[sodium_per_100g]]*2.5,3)</f>
        <v>3.7999999999999999E-2</v>
      </c>
      <c r="S37" s="24">
        <f>IF(tbl_product_preparations[[#This Row],[salt_per_100g]]=0,
tbl_product_preparations[[#This Row],[sodium_per_100g]]*2.5,
tbl_product_preparations[[#This Row],[salt_per_100g]])</f>
        <v>3.7999999999999999E-2</v>
      </c>
      <c r="T37" s="32">
        <v>94.1</v>
      </c>
      <c r="U37" s="14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37" s="18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16.399999999999999</v>
      </c>
      <c r="W37" s="18">
        <f>IF(tbl_product_preparations[[#This Row],[kcal_per_100g]]=0,0,ABS((tbl_product_preparations[[#This Row],[kcal_per_100g]]-tbl_product_preparations[[#This Row],[kcal_calc]])/tbl_product_preparations[[#This Row],[kcal_per_100g]])*100)</f>
        <v>2.4999999999999911</v>
      </c>
      <c r="X37" s="18">
        <f>ROUND(tbl_product_preparations[[#This Row],[kcal_calc]],1)</f>
        <v>16.399999999999999</v>
      </c>
      <c r="Y37" s="18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99.614999999999995</v>
      </c>
      <c r="Z37" s="18" t="str">
        <f>IF(
  tbl_product_preparations[[#This Row],[macro_sum]] &lt;=
  100 + _xlfn.XLOOKUP("WATER_TOTAL_TOLERANCE",tbl_config[config_key],tbl_config[config_value]),
  "OK",
  "ERROR"
)</f>
        <v>OK</v>
      </c>
      <c r="AA37" s="14" t="str">
        <f>_xlfn.LET(
   _xlpm.d, _xlfn.XLOOKUP(tbl_product_preparations[[#This Row],[product_key]],tbl_products[product_key],tbl_products[density_g_per_ml]),
   IF(AND(ISNUMBER(_xlpm.d), _xlpm.d&gt;0), _xlpm.d, "")
)</f>
        <v/>
      </c>
      <c r="AB37" s="18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37" s="18" cm="1">
        <f t="array" ref="AC37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78.270453824186816</v>
      </c>
      <c r="AD37" s="18" cm="1">
        <f t="array" ref="AD37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63.07788205474283</v>
      </c>
      <c r="AE37" s="18" cm="1">
        <f t="array" ref="AE37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54.607442663970943</v>
      </c>
      <c r="AF37" s="18">
        <f>IF(tbl_product_preparations[[#This Row],[kcal_per_100g]]&lt;5,
 0,
 MAX(0,MIN(100,
  ((tbl_product_preparations[[#This Row],[protein_per_100g]]/tbl_product_preparations[[#This Row],[kcal_per_100g]]*100 - 1) / 7 * 100)
 ))
)</f>
        <v>66.071428571428569</v>
      </c>
      <c r="AG37" s="18">
        <f>IF(tbl_product_preparations[[#This Row],[kcal_per_100g]]&lt;5,
 0,
 MAX(0,MIN(100,(tbl_product_preparations[[#This Row],[fiber_per_100g]]/8*100)))
)</f>
        <v>35</v>
      </c>
      <c r="AH37" s="18">
        <f>MAX(0,MIN(100,100-(tbl_product_preparations[[#This Row],[sugar_per_100g]]/15*100)))</f>
        <v>88</v>
      </c>
      <c r="AI37" s="18">
        <f>MAX(0,100-(tbl_product_preparations[[#This Row],[alcohol_per_100g]]*50))</f>
        <v>100</v>
      </c>
      <c r="AJ37" s="18">
        <f>ROUND(tbl_product_preparations[[#This Row],[water_percent]],0)</f>
        <v>94</v>
      </c>
      <c r="AK37" s="18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78</v>
      </c>
      <c r="AL37" s="18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69</v>
      </c>
      <c r="AM37" s="18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60</v>
      </c>
      <c r="AN37" s="38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B</v>
      </c>
      <c r="AO37" s="38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B</v>
      </c>
      <c r="AP37" s="38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C</v>
      </c>
      <c r="AQ37" s="18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VEGETABLES</v>
      </c>
      <c r="AR37" s="18"/>
      <c r="AS37" s="18" t="str">
        <f>INDEX(tbl_products[lose_modifier_group],
MATCH(tbl_product_preparations[[#This Row],[product_key]],
tbl_products[product_key],0))</f>
        <v>VEGETABLES</v>
      </c>
      <c r="AT37" s="18">
        <f>INDEX(BONUS_MALUS_LOSE[Modifier],
MATCH(tbl_product_preparations[[#This Row],[lose_modifier_group]],
BONUS_MALUS_LOSE[Group],0))</f>
        <v>5</v>
      </c>
      <c r="AU37" s="18" t="str">
        <f>INDEX(tbl_products[maintain_modifier_group],
MATCH(tbl_product_preparations[[#This Row],[product_key]],
tbl_products[product_key],0))</f>
        <v>VEGETABLES</v>
      </c>
      <c r="AV37" s="18">
        <f>INDEX(BONUS_MALUS_MAINTAIN[Modifier],
MATCH(tbl_product_preparations[[#This Row],[maintain_modifier_group]],
BONUS_MALUS_MAINTAIN[Group],0))</f>
        <v>3</v>
      </c>
      <c r="AW37" s="18" t="str">
        <f>INDEX(tbl_products[gain_modifier_group],
MATCH(tbl_product_preparations[[#This Row],[product_key]],
tbl_products[product_key],0))</f>
        <v>VEGETABLES</v>
      </c>
      <c r="AX37" s="18">
        <f>INDEX(BONUS_MALUS_GAIN[Modifier],
MATCH(tbl_product_preparations[[#This Row],[gain_modifier_group]],
BONUS_MALUS_GAIN[Group],0))</f>
        <v>-2</v>
      </c>
      <c r="AY37" s="18">
        <f>INDEX(PREPARATION_MODIFIERS[lose_preparation_modifier],
MATCH(tbl_product_preparations[[#This Row],[preparation_key]],
PREPARATION_MODIFIERS[preparation_key],0))</f>
        <v>0</v>
      </c>
      <c r="AZ37" s="18">
        <f>INDEX(PREPARATION_MODIFIERS[maintain_preparation_modifier],
MATCH(tbl_product_preparations[[#This Row],[preparation_key]],
PREPARATION_MODIFIERS[preparation_key],0))</f>
        <v>0</v>
      </c>
      <c r="BA37" s="18">
        <f>INDEX(PREPARATION_MODIFIERS[gain_preparation_modifier],
MATCH(tbl_product_preparations[[#This Row],[preparation_key]],
PREPARATION_MODIFIERS[preparation_key],0))</f>
        <v>0</v>
      </c>
    </row>
    <row r="38" spans="1:53" x14ac:dyDescent="0.2">
      <c r="A38" s="31" t="s">
        <v>1101</v>
      </c>
      <c r="B38" s="31" t="s">
        <v>365</v>
      </c>
      <c r="C38" s="31" t="s">
        <v>160</v>
      </c>
      <c r="D38" s="31" t="s">
        <v>1126</v>
      </c>
      <c r="E38" s="53" t="str">
        <f>IF(tbl_product_preparations[[#This Row],[source_key]]="MANUFACTURER","MANUFACTURER",
IF(tbl_product_preparations[[#This Row],[source_key]]="CALCULATED","CALCULATED",
"REAL"))</f>
        <v>REAL</v>
      </c>
      <c r="F38" s="53" t="str">
        <f>IF(LEFT(tbl_product_preparations[[#This Row],[source_key]],4)="USDA","US","EU")</f>
        <v>EU</v>
      </c>
      <c r="G38" s="32">
        <v>30</v>
      </c>
      <c r="H38" s="18" t="str">
        <f>IF(
   ISNUMBER(tbl_product_preparations[[#This Row],[density_lookup]]),
   ROUND(tbl_product_preparations[[#This Row],[kcal_per_100g]]*tbl_product_preparations[[#This Row],[density_lookup]],1),
   ""
)</f>
        <v/>
      </c>
      <c r="I38" s="32">
        <v>2</v>
      </c>
      <c r="J38" s="32">
        <v>4</v>
      </c>
      <c r="K38" s="32">
        <v>0</v>
      </c>
      <c r="L38" s="32">
        <v>0</v>
      </c>
      <c r="M38" s="32">
        <v>2.8</v>
      </c>
      <c r="N38" s="32">
        <v>4</v>
      </c>
      <c r="O38" s="46">
        <f>IF(tbl_product_preparations[[#This Row],[sugar_per_100g]]=0,tbl_product_preparations[[#This Row],[carbs_per_100g]],tbl_product_preparations[[#This Row],[sugar_per_100g]])</f>
        <v>4</v>
      </c>
      <c r="P38" s="36">
        <v>8.0000000000000002E-3</v>
      </c>
      <c r="Q38" s="50">
        <f>IF(tbl_product_preparations[[#This Row],[sodium_per_100g]]=0,
tbl_product_preparations[[#This Row],[salt_per_100g]]/2.5,
tbl_product_preparations[[#This Row],[sodium_per_100g]])</f>
        <v>8.0000000000000002E-3</v>
      </c>
      <c r="R38" s="24">
        <f>ROUND(tbl_product_preparations[[#This Row],[sodium_per_100g]]*2.5,3)</f>
        <v>0.02</v>
      </c>
      <c r="S38" s="24">
        <f>IF(tbl_product_preparations[[#This Row],[salt_per_100g]]=0,
tbl_product_preparations[[#This Row],[sodium_per_100g]]*2.5,
tbl_product_preparations[[#This Row],[salt_per_100g]])</f>
        <v>0.02</v>
      </c>
      <c r="T38" s="32">
        <v>91</v>
      </c>
      <c r="U38" s="14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38" s="18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29.6</v>
      </c>
      <c r="W38" s="18">
        <f>IF(tbl_product_preparations[[#This Row],[kcal_per_100g]]=0,0,ABS((tbl_product_preparations[[#This Row],[kcal_per_100g]]-tbl_product_preparations[[#This Row],[kcal_calc]])/tbl_product_preparations[[#This Row],[kcal_per_100g]])*100)</f>
        <v>1.3333333333333286</v>
      </c>
      <c r="X38" s="18">
        <f>ROUND(tbl_product_preparations[[#This Row],[kcal_calc]],1)</f>
        <v>29.6</v>
      </c>
      <c r="Y38" s="18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99.807999999999993</v>
      </c>
      <c r="Z38" s="18" t="str">
        <f>IF(
  tbl_product_preparations[[#This Row],[macro_sum]] &lt;=
  100 + _xlfn.XLOOKUP("WATER_TOTAL_TOLERANCE",tbl_config[config_key],tbl_config[config_value]),
  "OK",
  "ERROR"
)</f>
        <v>OK</v>
      </c>
      <c r="AA38" s="14" t="str">
        <f>_xlfn.LET(
   _xlpm.d, _xlfn.XLOOKUP(tbl_product_preparations[[#This Row],[product_key]],tbl_products[product_key],tbl_products[density_g_per_ml]),
   IF(AND(ISNUMBER(_xlpm.d), _xlpm.d&gt;0), _xlpm.d, "")
)</f>
        <v/>
      </c>
      <c r="AB38" s="18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38" s="18" cm="1">
        <f t="array" ref="AC38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100</v>
      </c>
      <c r="AD38" s="18" cm="1">
        <f t="array" ref="AD38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92.311634638663577</v>
      </c>
      <c r="AE38" s="18" cm="1">
        <f t="array" ref="AE38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75.483960198900732</v>
      </c>
      <c r="AF38" s="18">
        <f>IF(tbl_product_preparations[[#This Row],[kcal_per_100g]]&lt;5,
 0,
 MAX(0,MIN(100,
  ((tbl_product_preparations[[#This Row],[protein_per_100g]]/tbl_product_preparations[[#This Row],[kcal_per_100g]]*100 - 1) / 7 * 100)
 ))
)</f>
        <v>80.952380952380949</v>
      </c>
      <c r="AG38" s="18">
        <f>IF(tbl_product_preparations[[#This Row],[kcal_per_100g]]&lt;5,
 0,
 MAX(0,MIN(100,(tbl_product_preparations[[#This Row],[fiber_per_100g]]/8*100)))
)</f>
        <v>35</v>
      </c>
      <c r="AH38" s="18">
        <f>MAX(0,MIN(100,100-(tbl_product_preparations[[#This Row],[sugar_per_100g]]/15*100)))</f>
        <v>73.333333333333329</v>
      </c>
      <c r="AI38" s="18">
        <f>MAX(0,100-(tbl_product_preparations[[#This Row],[alcohol_per_100g]]*50))</f>
        <v>100</v>
      </c>
      <c r="AJ38" s="18">
        <f>ROUND(tbl_product_preparations[[#This Row],[water_percent]],0)</f>
        <v>91</v>
      </c>
      <c r="AK38" s="18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86</v>
      </c>
      <c r="AL38" s="18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80</v>
      </c>
      <c r="AM38" s="18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74</v>
      </c>
      <c r="AN38" s="38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A</v>
      </c>
      <c r="AO38" s="38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A</v>
      </c>
      <c r="AP38" s="38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B</v>
      </c>
      <c r="AQ38" s="18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VEGETABLES</v>
      </c>
      <c r="AR38" s="18"/>
      <c r="AS38" s="18" t="str">
        <f>INDEX(tbl_products[lose_modifier_group],
MATCH(tbl_product_preparations[[#This Row],[product_key]],
tbl_products[product_key],0))</f>
        <v>VEGETABLES</v>
      </c>
      <c r="AT38" s="18">
        <f>INDEX(BONUS_MALUS_LOSE[Modifier],
MATCH(tbl_product_preparations[[#This Row],[lose_modifier_group]],
BONUS_MALUS_LOSE[Group],0))</f>
        <v>5</v>
      </c>
      <c r="AU38" s="18" t="str">
        <f>INDEX(tbl_products[maintain_modifier_group],
MATCH(tbl_product_preparations[[#This Row],[product_key]],
tbl_products[product_key],0))</f>
        <v>VEGETABLES</v>
      </c>
      <c r="AV38" s="18">
        <f>INDEX(BONUS_MALUS_MAINTAIN[Modifier],
MATCH(tbl_product_preparations[[#This Row],[maintain_modifier_group]],
BONUS_MALUS_MAINTAIN[Group],0))</f>
        <v>3</v>
      </c>
      <c r="AW38" s="18" t="str">
        <f>INDEX(tbl_products[gain_modifier_group],
MATCH(tbl_product_preparations[[#This Row],[product_key]],
tbl_products[product_key],0))</f>
        <v>VEGETABLES</v>
      </c>
      <c r="AX38" s="18">
        <f>INDEX(BONUS_MALUS_GAIN[Modifier],
MATCH(tbl_product_preparations[[#This Row],[gain_modifier_group]],
BONUS_MALUS_GAIN[Group],0))</f>
        <v>-2</v>
      </c>
      <c r="AY38" s="18">
        <f>INDEX(PREPARATION_MODIFIERS[lose_preparation_modifier],
MATCH(tbl_product_preparations[[#This Row],[preparation_key]],
PREPARATION_MODIFIERS[preparation_key],0))</f>
        <v>0</v>
      </c>
      <c r="AZ38" s="18">
        <f>INDEX(PREPARATION_MODIFIERS[maintain_preparation_modifier],
MATCH(tbl_product_preparations[[#This Row],[preparation_key]],
PREPARATION_MODIFIERS[preparation_key],0))</f>
        <v>0</v>
      </c>
      <c r="BA38" s="18">
        <f>INDEX(PREPARATION_MODIFIERS[gain_preparation_modifier],
MATCH(tbl_product_preparations[[#This Row],[preparation_key]],
PREPARATION_MODIFIERS[preparation_key],0))</f>
        <v>0</v>
      </c>
    </row>
    <row r="39" spans="1:53" x14ac:dyDescent="0.2">
      <c r="A39" s="31" t="s">
        <v>524</v>
      </c>
      <c r="B39" s="31" t="s">
        <v>526</v>
      </c>
      <c r="C39" s="31" t="s">
        <v>160</v>
      </c>
      <c r="D39" s="31" t="s">
        <v>538</v>
      </c>
      <c r="E39" s="53" t="str">
        <f>IF(tbl_product_preparations[[#This Row],[source_key]]="MANUFACTURER","MANUFACTURER",
IF(tbl_product_preparations[[#This Row],[source_key]]="CALCULATED","CALCULATED",
"REAL"))</f>
        <v>REAL</v>
      </c>
      <c r="F39" s="53" t="str">
        <f>IF(LEFT(tbl_product_preparations[[#This Row],[source_key]],4)="USDA","US","EU")</f>
        <v>EU</v>
      </c>
      <c r="G39" s="32">
        <v>31</v>
      </c>
      <c r="H39" s="18">
        <f>IF(
   ISNUMBER(tbl_product_preparations[[#This Row],[density_lookup]]),
   ROUND(tbl_product_preparations[[#This Row],[kcal_per_100g]]*tbl_product_preparations[[#This Row],[density_lookup]],1),
   ""
)</f>
        <v>30.1</v>
      </c>
      <c r="I39" s="32">
        <v>1.8</v>
      </c>
      <c r="J39" s="32">
        <v>2.2999999999999998</v>
      </c>
      <c r="K39" s="32">
        <v>1.7</v>
      </c>
      <c r="L39" s="32">
        <v>0</v>
      </c>
      <c r="M39" s="32">
        <v>0</v>
      </c>
      <c r="N39" s="32">
        <v>0</v>
      </c>
      <c r="O39" s="46">
        <f>IF(tbl_product_preparations[[#This Row],[sugar_per_100g]]=0,tbl_product_preparations[[#This Row],[carbs_per_100g]],tbl_product_preparations[[#This Row],[sugar_per_100g]])</f>
        <v>2.2999999999999998</v>
      </c>
      <c r="P39" s="36">
        <v>2.1999999999999999E-2</v>
      </c>
      <c r="Q39" s="50">
        <f>IF(tbl_product_preparations[[#This Row],[sodium_per_100g]]=0,
tbl_product_preparations[[#This Row],[salt_per_100g]]/2.5,
tbl_product_preparations[[#This Row],[sodium_per_100g]])</f>
        <v>2.1999999999999999E-2</v>
      </c>
      <c r="R39" s="24">
        <f>ROUND(tbl_product_preparations[[#This Row],[sodium_per_100g]]*2.5,3)</f>
        <v>5.5E-2</v>
      </c>
      <c r="S39" s="24">
        <f>IF(tbl_product_preparations[[#This Row],[salt_per_100g]]=0,
tbl_product_preparations[[#This Row],[sodium_per_100g]]*2.5,
tbl_product_preparations[[#This Row],[salt_per_100g]])</f>
        <v>5.5E-2</v>
      </c>
      <c r="T39" s="32">
        <v>93.3</v>
      </c>
      <c r="U39" s="14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39" s="18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31.699999999999996</v>
      </c>
      <c r="W39" s="18">
        <f>IF(tbl_product_preparations[[#This Row],[kcal_per_100g]]=0,0,ABS((tbl_product_preparations[[#This Row],[kcal_per_100g]]-tbl_product_preparations[[#This Row],[kcal_calc]])/tbl_product_preparations[[#This Row],[kcal_per_100g]])*100)</f>
        <v>2.2580645161290187</v>
      </c>
      <c r="X39" s="18">
        <f>ROUND(tbl_product_preparations[[#This Row],[kcal_calc]],1)</f>
        <v>31.7</v>
      </c>
      <c r="Y39" s="18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99.122</v>
      </c>
      <c r="Z39" s="18" t="str">
        <f>IF(
  tbl_product_preparations[[#This Row],[macro_sum]] &lt;=
  100 + _xlfn.XLOOKUP("WATER_TOTAL_TOLERANCE",tbl_config[config_key],tbl_config[config_value]),
  "OK",
  "ERROR"
)</f>
        <v>OK</v>
      </c>
      <c r="AA39" s="14">
        <f>_xlfn.LET(
   _xlpm.d, _xlfn.XLOOKUP(tbl_product_preparations[[#This Row],[product_key]],tbl_products[product_key],tbl_products[density_g_per_ml]),
   IF(AND(ISNUMBER(_xlpm.d), _xlpm.d&gt;0), _xlpm.d, "")
)</f>
        <v>0.97</v>
      </c>
      <c r="AB39" s="18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>OK</v>
      </c>
      <c r="AC39" s="18" cm="1">
        <f t="array" ref="AC39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48.333333333333329</v>
      </c>
      <c r="AD39" s="18" cm="1">
        <f t="array" ref="AD39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61.25</v>
      </c>
      <c r="AE39" s="18" cm="1">
        <f t="array" ref="AE39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74.166666666666657</v>
      </c>
      <c r="AF39" s="18">
        <f>IF(tbl_product_preparations[[#This Row],[kcal_per_100g]]&lt;5,
 0,
 MAX(0,MIN(100,
  ((tbl_product_preparations[[#This Row],[protein_per_100g]]/tbl_product_preparations[[#This Row],[kcal_per_100g]]*100 - 1) / 7 * 100)
 ))
)</f>
        <v>68.663594470046093</v>
      </c>
      <c r="AG39" s="18">
        <f>IF(tbl_product_preparations[[#This Row],[kcal_per_100g]]&lt;5,
 0,
 MAX(0,MIN(100,(tbl_product_preparations[[#This Row],[fiber_per_100g]]/8*100)))
)</f>
        <v>0</v>
      </c>
      <c r="AH39" s="18">
        <f>MAX(0,MIN(100,100-(tbl_product_preparations[[#This Row],[sugar_per_100g]]/15*100)))</f>
        <v>100</v>
      </c>
      <c r="AI39" s="18">
        <f>MAX(0,100-(tbl_product_preparations[[#This Row],[alcohol_per_100g]]*50))</f>
        <v>100</v>
      </c>
      <c r="AJ39" s="18">
        <f>ROUND(tbl_product_preparations[[#This Row],[water_percent]],0)</f>
        <v>93</v>
      </c>
      <c r="AK39" s="18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57</v>
      </c>
      <c r="AL39" s="18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64</v>
      </c>
      <c r="AM39" s="18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73</v>
      </c>
      <c r="AN39" s="38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C</v>
      </c>
      <c r="AO39" s="38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C</v>
      </c>
      <c r="AP39" s="38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B</v>
      </c>
      <c r="AQ39" s="18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BEVERAGES</v>
      </c>
      <c r="AR39" s="18"/>
      <c r="AS39" s="18" t="str">
        <f>INDEX(tbl_products[lose_modifier_group],
MATCH(tbl_product_preparations[[#This Row],[product_key]],
tbl_products[product_key],0))</f>
        <v>NEUTRAL</v>
      </c>
      <c r="AT39" s="18">
        <f>INDEX(BONUS_MALUS_LOSE[Modifier],
MATCH(tbl_product_preparations[[#This Row],[lose_modifier_group]],
BONUS_MALUS_LOSE[Group],0))</f>
        <v>0</v>
      </c>
      <c r="AU39" s="18" t="str">
        <f>INDEX(tbl_products[maintain_modifier_group],
MATCH(tbl_product_preparations[[#This Row],[product_key]],
tbl_products[product_key],0))</f>
        <v>NEUTRAL</v>
      </c>
      <c r="AV39" s="18">
        <f>INDEX(BONUS_MALUS_MAINTAIN[Modifier],
MATCH(tbl_product_preparations[[#This Row],[maintain_modifier_group]],
BONUS_MALUS_MAINTAIN[Group],0))</f>
        <v>0</v>
      </c>
      <c r="AW39" s="18" t="str">
        <f>INDEX(tbl_products[gain_modifier_group],
MATCH(tbl_product_preparations[[#This Row],[product_key]],
tbl_products[product_key],0))</f>
        <v>NEUTRAL</v>
      </c>
      <c r="AX39" s="18">
        <f>INDEX(BONUS_MALUS_GAIN[Modifier],
MATCH(tbl_product_preparations[[#This Row],[gain_modifier_group]],
BONUS_MALUS_GAIN[Group],0))</f>
        <v>0</v>
      </c>
      <c r="AY39" s="18">
        <f>INDEX(PREPARATION_MODIFIERS[lose_preparation_modifier],
MATCH(tbl_product_preparations[[#This Row],[preparation_key]],
PREPARATION_MODIFIERS[preparation_key],0))</f>
        <v>0</v>
      </c>
      <c r="AZ39" s="18">
        <f>INDEX(PREPARATION_MODIFIERS[maintain_preparation_modifier],
MATCH(tbl_product_preparations[[#This Row],[preparation_key]],
PREPARATION_MODIFIERS[preparation_key],0))</f>
        <v>0</v>
      </c>
      <c r="BA39" s="18">
        <f>INDEX(PREPARATION_MODIFIERS[gain_preparation_modifier],
MATCH(tbl_product_preparations[[#This Row],[preparation_key]],
PREPARATION_MODIFIERS[preparation_key],0))</f>
        <v>0</v>
      </c>
    </row>
    <row r="40" spans="1:53" x14ac:dyDescent="0.2">
      <c r="A40" s="31" t="s">
        <v>524</v>
      </c>
      <c r="B40" s="31" t="s">
        <v>532</v>
      </c>
      <c r="C40" s="31" t="s">
        <v>160</v>
      </c>
      <c r="D40" s="31" t="s">
        <v>539</v>
      </c>
      <c r="E40" s="53" t="str">
        <f>IF(tbl_product_preparations[[#This Row],[source_key]]="MANUFACTURER","MANUFACTURER",
IF(tbl_product_preparations[[#This Row],[source_key]]="CALCULATED","CALCULATED",
"REAL"))</f>
        <v>REAL</v>
      </c>
      <c r="F40" s="53" t="str">
        <f>IF(LEFT(tbl_product_preparations[[#This Row],[source_key]],4)="USDA","US","EU")</f>
        <v>EU</v>
      </c>
      <c r="G40" s="32">
        <v>37</v>
      </c>
      <c r="H40" s="18">
        <f>IF(
   ISNUMBER(tbl_product_preparations[[#This Row],[density_lookup]]),
   ROUND(tbl_product_preparations[[#This Row],[kcal_per_100g]]*tbl_product_preparations[[#This Row],[density_lookup]],1),
   ""
)</f>
        <v>35.9</v>
      </c>
      <c r="I40" s="32">
        <v>1.2</v>
      </c>
      <c r="J40" s="32">
        <v>4.7</v>
      </c>
      <c r="K40" s="32">
        <v>1.3</v>
      </c>
      <c r="L40" s="32">
        <v>0</v>
      </c>
      <c r="M40" s="32">
        <v>0.3</v>
      </c>
      <c r="N40" s="32">
        <v>1.8</v>
      </c>
      <c r="O40" s="46">
        <f>IF(tbl_product_preparations[[#This Row],[sugar_per_100g]]=0,tbl_product_preparations[[#This Row],[carbs_per_100g]],tbl_product_preparations[[#This Row],[sugar_per_100g]])</f>
        <v>1.8</v>
      </c>
      <c r="P40" s="36">
        <v>0.03</v>
      </c>
      <c r="Q40" s="50">
        <f>IF(tbl_product_preparations[[#This Row],[sodium_per_100g]]=0,
tbl_product_preparations[[#This Row],[salt_per_100g]]/2.5,
tbl_product_preparations[[#This Row],[sodium_per_100g]])</f>
        <v>0.03</v>
      </c>
      <c r="R40" s="24">
        <f>ROUND(tbl_product_preparations[[#This Row],[sodium_per_100g]]*2.5,3)</f>
        <v>7.4999999999999997E-2</v>
      </c>
      <c r="S40" s="24">
        <f>IF(tbl_product_preparations[[#This Row],[salt_per_100g]]=0,
tbl_product_preparations[[#This Row],[sodium_per_100g]]*2.5,
tbl_product_preparations[[#This Row],[salt_per_100g]])</f>
        <v>7.4999999999999997E-2</v>
      </c>
      <c r="T40" s="32">
        <v>92.4</v>
      </c>
      <c r="U40" s="14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40" s="18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35.900000000000006</v>
      </c>
      <c r="W40" s="18">
        <f>IF(tbl_product_preparations[[#This Row],[kcal_per_100g]]=0,0,ABS((tbl_product_preparations[[#This Row],[kcal_per_100g]]-tbl_product_preparations[[#This Row],[kcal_calc]])/tbl_product_preparations[[#This Row],[kcal_per_100g]])*100)</f>
        <v>2.9729729729729577</v>
      </c>
      <c r="X40" s="18">
        <f>ROUND(tbl_product_preparations[[#This Row],[kcal_calc]],1)</f>
        <v>35.9</v>
      </c>
      <c r="Y40" s="18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99.93</v>
      </c>
      <c r="Z40" s="18" t="str">
        <f>IF(
  tbl_product_preparations[[#This Row],[macro_sum]] &lt;=
  100 + _xlfn.XLOOKUP("WATER_TOTAL_TOLERANCE",tbl_config[config_key],tbl_config[config_value]),
  "OK",
  "ERROR"
)</f>
        <v>OK</v>
      </c>
      <c r="AA40" s="14">
        <f>_xlfn.LET(
   _xlpm.d, _xlfn.XLOOKUP(tbl_product_preparations[[#This Row],[product_key]],tbl_products[product_key],tbl_products[density_g_per_ml]),
   IF(AND(ISNUMBER(_xlpm.d), _xlpm.d&gt;0), _xlpm.d, "")
)</f>
        <v>0.97</v>
      </c>
      <c r="AB40" s="18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>OK</v>
      </c>
      <c r="AC40" s="18" cm="1">
        <f t="array" ref="AC40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38.333333333333329</v>
      </c>
      <c r="AD40" s="18" cm="1">
        <f t="array" ref="AD40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53.75</v>
      </c>
      <c r="AE40" s="18" cm="1">
        <f t="array" ref="AE40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69.166666666666657</v>
      </c>
      <c r="AF40" s="18">
        <f>IF(tbl_product_preparations[[#This Row],[kcal_per_100g]]&lt;5,
 0,
 MAX(0,MIN(100,
  ((tbl_product_preparations[[#This Row],[protein_per_100g]]/tbl_product_preparations[[#This Row],[kcal_per_100g]]*100 - 1) / 7 * 100)
 ))
)</f>
        <v>32.046332046332047</v>
      </c>
      <c r="AG40" s="18">
        <f>IF(tbl_product_preparations[[#This Row],[kcal_per_100g]]&lt;5,
 0,
 MAX(0,MIN(100,(tbl_product_preparations[[#This Row],[fiber_per_100g]]/8*100)))
)</f>
        <v>3.75</v>
      </c>
      <c r="AH40" s="18">
        <f>MAX(0,MIN(100,100-(tbl_product_preparations[[#This Row],[sugar_per_100g]]/15*100)))</f>
        <v>88</v>
      </c>
      <c r="AI40" s="18">
        <f>MAX(0,100-(tbl_product_preparations[[#This Row],[alcohol_per_100g]]*50))</f>
        <v>100</v>
      </c>
      <c r="AJ40" s="18">
        <f>ROUND(tbl_product_preparations[[#This Row],[water_percent]],0)</f>
        <v>92</v>
      </c>
      <c r="AK40" s="18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47</v>
      </c>
      <c r="AL40" s="18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54</v>
      </c>
      <c r="AM40" s="18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60</v>
      </c>
      <c r="AN40" s="38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D</v>
      </c>
      <c r="AO40" s="38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C</v>
      </c>
      <c r="AP40" s="38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C</v>
      </c>
      <c r="AQ40" s="18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BEVERAGES</v>
      </c>
      <c r="AR40" s="18"/>
      <c r="AS40" s="18" t="str">
        <f>INDEX(tbl_products[lose_modifier_group],
MATCH(tbl_product_preparations[[#This Row],[product_key]],
tbl_products[product_key],0))</f>
        <v>NEUTRAL</v>
      </c>
      <c r="AT40" s="18">
        <f>INDEX(BONUS_MALUS_LOSE[Modifier],
MATCH(tbl_product_preparations[[#This Row],[lose_modifier_group]],
BONUS_MALUS_LOSE[Group],0))</f>
        <v>0</v>
      </c>
      <c r="AU40" s="18" t="str">
        <f>INDEX(tbl_products[maintain_modifier_group],
MATCH(tbl_product_preparations[[#This Row],[product_key]],
tbl_products[product_key],0))</f>
        <v>NEUTRAL</v>
      </c>
      <c r="AV40" s="18">
        <f>INDEX(BONUS_MALUS_MAINTAIN[Modifier],
MATCH(tbl_product_preparations[[#This Row],[maintain_modifier_group]],
BONUS_MALUS_MAINTAIN[Group],0))</f>
        <v>0</v>
      </c>
      <c r="AW40" s="18" t="str">
        <f>INDEX(tbl_products[gain_modifier_group],
MATCH(tbl_product_preparations[[#This Row],[product_key]],
tbl_products[product_key],0))</f>
        <v>NEUTRAL</v>
      </c>
      <c r="AX40" s="18">
        <f>INDEX(BONUS_MALUS_GAIN[Modifier],
MATCH(tbl_product_preparations[[#This Row],[gain_modifier_group]],
BONUS_MALUS_GAIN[Group],0))</f>
        <v>0</v>
      </c>
      <c r="AY40" s="18">
        <f>INDEX(PREPARATION_MODIFIERS[lose_preparation_modifier],
MATCH(tbl_product_preparations[[#This Row],[preparation_key]],
PREPARATION_MODIFIERS[preparation_key],0))</f>
        <v>0</v>
      </c>
      <c r="AZ40" s="18">
        <f>INDEX(PREPARATION_MODIFIERS[maintain_preparation_modifier],
MATCH(tbl_product_preparations[[#This Row],[preparation_key]],
PREPARATION_MODIFIERS[preparation_key],0))</f>
        <v>0</v>
      </c>
      <c r="BA40" s="18">
        <f>INDEX(PREPARATION_MODIFIERS[gain_preparation_modifier],
MATCH(tbl_product_preparations[[#This Row],[preparation_key]],
PREPARATION_MODIFIERS[preparation_key],0))</f>
        <v>0</v>
      </c>
    </row>
    <row r="41" spans="1:53" x14ac:dyDescent="0.2">
      <c r="A41" s="31" t="s">
        <v>1127</v>
      </c>
      <c r="B41" s="31" t="s">
        <v>363</v>
      </c>
      <c r="C41" s="31" t="s">
        <v>160</v>
      </c>
      <c r="D41" s="31" t="s">
        <v>1133</v>
      </c>
      <c r="E41" s="53" t="str">
        <f>IF(tbl_product_preparations[[#This Row],[source_key]]="MANUFACTURER","MANUFACTURER",
IF(tbl_product_preparations[[#This Row],[source_key]]="CALCULATED","CALCULATED",
"REAL"))</f>
        <v>REAL</v>
      </c>
      <c r="F41" s="53" t="str">
        <f>IF(LEFT(tbl_product_preparations[[#This Row],[source_key]],4)="USDA","US","EU")</f>
        <v>EU</v>
      </c>
      <c r="G41" s="32">
        <v>32</v>
      </c>
      <c r="H41" s="18" t="str">
        <f>IF(
   ISNUMBER(tbl_product_preparations[[#This Row],[density_lookup]]),
   ROUND(tbl_product_preparations[[#This Row],[kcal_per_100g]]*tbl_product_preparations[[#This Row],[density_lookup]],1),
   ""
)</f>
        <v/>
      </c>
      <c r="I41" s="32">
        <v>0.7</v>
      </c>
      <c r="J41" s="32">
        <v>5.2</v>
      </c>
      <c r="K41" s="32">
        <v>0.3</v>
      </c>
      <c r="L41" s="32">
        <v>0</v>
      </c>
      <c r="M41" s="32">
        <v>2.9</v>
      </c>
      <c r="N41" s="32">
        <v>4.9000000000000004</v>
      </c>
      <c r="O41" s="46">
        <f>IF(tbl_product_preparations[[#This Row],[sugar_per_100g]]=0,tbl_product_preparations[[#This Row],[carbs_per_100g]],tbl_product_preparations[[#This Row],[sugar_per_100g]])</f>
        <v>4.9000000000000004</v>
      </c>
      <c r="P41" s="36">
        <v>2.5999999999999999E-2</v>
      </c>
      <c r="Q41" s="50">
        <f>IF(tbl_product_preparations[[#This Row],[sodium_per_100g]]=0,
tbl_product_preparations[[#This Row],[salt_per_100g]]/2.5,
tbl_product_preparations[[#This Row],[sodium_per_100g]])</f>
        <v>2.5999999999999999E-2</v>
      </c>
      <c r="R41" s="24">
        <f>ROUND(tbl_product_preparations[[#This Row],[sodium_per_100g]]*2.5,3)</f>
        <v>6.5000000000000002E-2</v>
      </c>
      <c r="S41" s="24">
        <f>IF(tbl_product_preparations[[#This Row],[salt_per_100g]]=0,
tbl_product_preparations[[#This Row],[sodium_per_100g]]*2.5,
tbl_product_preparations[[#This Row],[salt_per_100g]])</f>
        <v>6.5000000000000002E-2</v>
      </c>
      <c r="T41" s="32">
        <v>90.4</v>
      </c>
      <c r="U41" s="14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41" s="18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32.1</v>
      </c>
      <c r="W41" s="18">
        <f>IF(tbl_product_preparations[[#This Row],[kcal_per_100g]]=0,0,ABS((tbl_product_preparations[[#This Row],[kcal_per_100g]]-tbl_product_preparations[[#This Row],[kcal_calc]])/tbl_product_preparations[[#This Row],[kcal_per_100g]])*100)</f>
        <v>0.31250000000000444</v>
      </c>
      <c r="X41" s="18">
        <f>ROUND(tbl_product_preparations[[#This Row],[kcal_calc]],1)</f>
        <v>32.1</v>
      </c>
      <c r="Y41" s="18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99.52600000000001</v>
      </c>
      <c r="Z41" s="18" t="str">
        <f>IF(
  tbl_product_preparations[[#This Row],[macro_sum]] &lt;=
  100 + _xlfn.XLOOKUP("WATER_TOTAL_TOLERANCE",tbl_config[config_key],tbl_config[config_value]),
  "OK",
  "ERROR"
)</f>
        <v>OK</v>
      </c>
      <c r="AA41" s="14" t="str">
        <f>_xlfn.LET(
   _xlpm.d, _xlfn.XLOOKUP(tbl_product_preparations[[#This Row],[product_key]],tbl_products[product_key],tbl_products[density_g_per_ml]),
   IF(AND(ISNUMBER(_xlpm.d), _xlpm.d&gt;0), _xlpm.d, "")
)</f>
        <v/>
      </c>
      <c r="AB41" s="18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41" s="18" cm="1">
        <f t="array" ref="AC41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99.501247919268238</v>
      </c>
      <c r="AD41" s="18" cm="1">
        <f t="array" ref="AD41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95.008863380262682</v>
      </c>
      <c r="AE41" s="18" cm="1">
        <f t="array" ref="AE41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78.270453824186816</v>
      </c>
      <c r="AF41" s="18">
        <f>IF(tbl_product_preparations[[#This Row],[kcal_per_100g]]&lt;5,
 0,
 MAX(0,MIN(100,
  ((tbl_product_preparations[[#This Row],[protein_per_100g]]/tbl_product_preparations[[#This Row],[kcal_per_100g]]*100 - 1) / 7 * 100)
 ))
)</f>
        <v>16.964285714285715</v>
      </c>
      <c r="AG41" s="18">
        <f>IF(tbl_product_preparations[[#This Row],[kcal_per_100g]]&lt;5,
 0,
 MAX(0,MIN(100,(tbl_product_preparations[[#This Row],[fiber_per_100g]]/8*100)))
)</f>
        <v>36.25</v>
      </c>
      <c r="AH41" s="18">
        <f>MAX(0,MIN(100,100-(tbl_product_preparations[[#This Row],[sugar_per_100g]]/15*100)))</f>
        <v>67.333333333333329</v>
      </c>
      <c r="AI41" s="18">
        <f>MAX(0,100-(tbl_product_preparations[[#This Row],[alcohol_per_100g]]*50))</f>
        <v>100</v>
      </c>
      <c r="AJ41" s="18">
        <f>ROUND(tbl_product_preparations[[#This Row],[water_percent]],0)</f>
        <v>90</v>
      </c>
      <c r="AK41" s="18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75</v>
      </c>
      <c r="AL41" s="18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68</v>
      </c>
      <c r="AM41" s="18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59</v>
      </c>
      <c r="AN41" s="38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B</v>
      </c>
      <c r="AO41" s="38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B</v>
      </c>
      <c r="AP41" s="38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C</v>
      </c>
      <c r="AQ41" s="18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VEGETABLES</v>
      </c>
      <c r="AR41" s="18"/>
      <c r="AS41" s="18" t="str">
        <f>INDEX(tbl_products[lose_modifier_group],
MATCH(tbl_product_preparations[[#This Row],[product_key]],
tbl_products[product_key],0))</f>
        <v>VEGETABLES</v>
      </c>
      <c r="AT41" s="18">
        <f>INDEX(BONUS_MALUS_LOSE[Modifier],
MATCH(tbl_product_preparations[[#This Row],[lose_modifier_group]],
BONUS_MALUS_LOSE[Group],0))</f>
        <v>5</v>
      </c>
      <c r="AU41" s="18" t="str">
        <f>INDEX(tbl_products[maintain_modifier_group],
MATCH(tbl_product_preparations[[#This Row],[product_key]],
tbl_products[product_key],0))</f>
        <v>VEGETABLES</v>
      </c>
      <c r="AV41" s="18">
        <f>INDEX(BONUS_MALUS_MAINTAIN[Modifier],
MATCH(tbl_product_preparations[[#This Row],[maintain_modifier_group]],
BONUS_MALUS_MAINTAIN[Group],0))</f>
        <v>3</v>
      </c>
      <c r="AW41" s="18" t="str">
        <f>INDEX(tbl_products[gain_modifier_group],
MATCH(tbl_product_preparations[[#This Row],[product_key]],
tbl_products[product_key],0))</f>
        <v>VEGETABLES</v>
      </c>
      <c r="AX41" s="18">
        <f>INDEX(BONUS_MALUS_GAIN[Modifier],
MATCH(tbl_product_preparations[[#This Row],[gain_modifier_group]],
BONUS_MALUS_GAIN[Group],0))</f>
        <v>-2</v>
      </c>
      <c r="AY41" s="18">
        <f>INDEX(PREPARATION_MODIFIERS[lose_preparation_modifier],
MATCH(tbl_product_preparations[[#This Row],[preparation_key]],
PREPARATION_MODIFIERS[preparation_key],0))</f>
        <v>0</v>
      </c>
      <c r="AZ41" s="18">
        <f>INDEX(PREPARATION_MODIFIERS[maintain_preparation_modifier],
MATCH(tbl_product_preparations[[#This Row],[preparation_key]],
PREPARATION_MODIFIERS[preparation_key],0))</f>
        <v>0</v>
      </c>
      <c r="BA41" s="18">
        <f>INDEX(PREPARATION_MODIFIERS[gain_preparation_modifier],
MATCH(tbl_product_preparations[[#This Row],[preparation_key]],
PREPARATION_MODIFIERS[preparation_key],0))</f>
        <v>0</v>
      </c>
    </row>
    <row r="42" spans="1:53" x14ac:dyDescent="0.2">
      <c r="A42" s="31" t="s">
        <v>1127</v>
      </c>
      <c r="B42" s="31" t="s">
        <v>365</v>
      </c>
      <c r="C42" s="31" t="s">
        <v>160</v>
      </c>
      <c r="D42" s="31" t="s">
        <v>1134</v>
      </c>
      <c r="E42" s="53" t="str">
        <f>IF(tbl_product_preparations[[#This Row],[source_key]]="MANUFACTURER","MANUFACTURER",
IF(tbl_product_preparations[[#This Row],[source_key]]="CALCULATED","CALCULATED",
"REAL"))</f>
        <v>REAL</v>
      </c>
      <c r="F42" s="53" t="str">
        <f>IF(LEFT(tbl_product_preparations[[#This Row],[source_key]],4)="USDA","US","EU")</f>
        <v>EU</v>
      </c>
      <c r="G42" s="32">
        <v>32</v>
      </c>
      <c r="H42" s="18" t="str">
        <f>IF(
   ISNUMBER(tbl_product_preparations[[#This Row],[density_lookup]]),
   ROUND(tbl_product_preparations[[#This Row],[kcal_per_100g]]*tbl_product_preparations[[#This Row],[density_lookup]],1),
   ""
)</f>
        <v/>
      </c>
      <c r="I42" s="32">
        <v>0.8</v>
      </c>
      <c r="J42" s="32">
        <v>5.3</v>
      </c>
      <c r="K42" s="32">
        <v>0.3</v>
      </c>
      <c r="L42" s="32">
        <v>0</v>
      </c>
      <c r="M42" s="32">
        <v>2.8</v>
      </c>
      <c r="N42" s="32">
        <v>4.2</v>
      </c>
      <c r="O42" s="46">
        <f>IF(tbl_product_preparations[[#This Row],[sugar_per_100g]]=0,tbl_product_preparations[[#This Row],[carbs_per_100g]],tbl_product_preparations[[#This Row],[sugar_per_100g]])</f>
        <v>4.2</v>
      </c>
      <c r="P42" s="36">
        <v>2.8000000000000001E-2</v>
      </c>
      <c r="Q42" s="50">
        <f>IF(tbl_product_preparations[[#This Row],[sodium_per_100g]]=0,
tbl_product_preparations[[#This Row],[salt_per_100g]]/2.5,
tbl_product_preparations[[#This Row],[sodium_per_100g]])</f>
        <v>2.8000000000000001E-2</v>
      </c>
      <c r="R42" s="24">
        <f>ROUND(tbl_product_preparations[[#This Row],[sodium_per_100g]]*2.5,3)</f>
        <v>7.0000000000000007E-2</v>
      </c>
      <c r="S42" s="24">
        <f>IF(tbl_product_preparations[[#This Row],[salt_per_100g]]=0,
tbl_product_preparations[[#This Row],[sodium_per_100g]]*2.5,
tbl_product_preparations[[#This Row],[salt_per_100g]])</f>
        <v>7.0000000000000007E-2</v>
      </c>
      <c r="T42" s="32">
        <v>90.2</v>
      </c>
      <c r="U42" s="14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42" s="18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32.699999999999996</v>
      </c>
      <c r="W42" s="18">
        <f>IF(tbl_product_preparations[[#This Row],[kcal_per_100g]]=0,0,ABS((tbl_product_preparations[[#This Row],[kcal_per_100g]]-tbl_product_preparations[[#This Row],[kcal_calc]])/tbl_product_preparations[[#This Row],[kcal_per_100g]])*100)</f>
        <v>2.1874999999999867</v>
      </c>
      <c r="X42" s="18">
        <f>ROUND(tbl_product_preparations[[#This Row],[kcal_calc]],1)</f>
        <v>32.700000000000003</v>
      </c>
      <c r="Y42" s="18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99.427999999999997</v>
      </c>
      <c r="Z42" s="18" t="str">
        <f>IF(
  tbl_product_preparations[[#This Row],[macro_sum]] &lt;=
  100 + _xlfn.XLOOKUP("WATER_TOTAL_TOLERANCE",tbl_config[config_key],tbl_config[config_value]),
  "OK",
  "ERROR"
)</f>
        <v>OK</v>
      </c>
      <c r="AA42" s="14" t="str">
        <f>_xlfn.LET(
   _xlpm.d, _xlfn.XLOOKUP(tbl_product_preparations[[#This Row],[product_key]],tbl_products[product_key],tbl_products[density_g_per_ml]),
   IF(AND(ISNUMBER(_xlpm.d), _xlpm.d&gt;0), _xlpm.d, "")
)</f>
        <v/>
      </c>
      <c r="AB42" s="18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42" s="18" cm="1">
        <f t="array" ref="AC42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99.501247919268238</v>
      </c>
      <c r="AD42" s="18" cm="1">
        <f t="array" ref="AD42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95.008863380262682</v>
      </c>
      <c r="AE42" s="18" cm="1">
        <f t="array" ref="AE42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78.270453824186816</v>
      </c>
      <c r="AF42" s="18">
        <f>IF(tbl_product_preparations[[#This Row],[kcal_per_100g]]&lt;5,
 0,
 MAX(0,MIN(100,
  ((tbl_product_preparations[[#This Row],[protein_per_100g]]/tbl_product_preparations[[#This Row],[kcal_per_100g]]*100 - 1) / 7 * 100)
 ))
)</f>
        <v>21.428571428571427</v>
      </c>
      <c r="AG42" s="18">
        <f>IF(tbl_product_preparations[[#This Row],[kcal_per_100g]]&lt;5,
 0,
 MAX(0,MIN(100,(tbl_product_preparations[[#This Row],[fiber_per_100g]]/8*100)))
)</f>
        <v>35</v>
      </c>
      <c r="AH42" s="18">
        <f>MAX(0,MIN(100,100-(tbl_product_preparations[[#This Row],[sugar_per_100g]]/15*100)))</f>
        <v>72</v>
      </c>
      <c r="AI42" s="18">
        <f>MAX(0,100-(tbl_product_preparations[[#This Row],[alcohol_per_100g]]*50))</f>
        <v>100</v>
      </c>
      <c r="AJ42" s="18">
        <f>ROUND(tbl_product_preparations[[#This Row],[water_percent]],0)</f>
        <v>90</v>
      </c>
      <c r="AK42" s="18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76</v>
      </c>
      <c r="AL42" s="18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69</v>
      </c>
      <c r="AM42" s="18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60</v>
      </c>
      <c r="AN42" s="38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B</v>
      </c>
      <c r="AO42" s="38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B</v>
      </c>
      <c r="AP42" s="38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C</v>
      </c>
      <c r="AQ42" s="18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VEGETABLES</v>
      </c>
      <c r="AR42" s="18"/>
      <c r="AS42" s="18" t="str">
        <f>INDEX(tbl_products[lose_modifier_group],
MATCH(tbl_product_preparations[[#This Row],[product_key]],
tbl_products[product_key],0))</f>
        <v>VEGETABLES</v>
      </c>
      <c r="AT42" s="18">
        <f>INDEX(BONUS_MALUS_LOSE[Modifier],
MATCH(tbl_product_preparations[[#This Row],[lose_modifier_group]],
BONUS_MALUS_LOSE[Group],0))</f>
        <v>5</v>
      </c>
      <c r="AU42" s="18" t="str">
        <f>INDEX(tbl_products[maintain_modifier_group],
MATCH(tbl_product_preparations[[#This Row],[product_key]],
tbl_products[product_key],0))</f>
        <v>VEGETABLES</v>
      </c>
      <c r="AV42" s="18">
        <f>INDEX(BONUS_MALUS_MAINTAIN[Modifier],
MATCH(tbl_product_preparations[[#This Row],[maintain_modifier_group]],
BONUS_MALUS_MAINTAIN[Group],0))</f>
        <v>3</v>
      </c>
      <c r="AW42" s="18" t="str">
        <f>INDEX(tbl_products[gain_modifier_group],
MATCH(tbl_product_preparations[[#This Row],[product_key]],
tbl_products[product_key],0))</f>
        <v>VEGETABLES</v>
      </c>
      <c r="AX42" s="18">
        <f>INDEX(BONUS_MALUS_GAIN[Modifier],
MATCH(tbl_product_preparations[[#This Row],[gain_modifier_group]],
BONUS_MALUS_GAIN[Group],0))</f>
        <v>-2</v>
      </c>
      <c r="AY42" s="18">
        <f>INDEX(PREPARATION_MODIFIERS[lose_preparation_modifier],
MATCH(tbl_product_preparations[[#This Row],[preparation_key]],
PREPARATION_MODIFIERS[preparation_key],0))</f>
        <v>0</v>
      </c>
      <c r="AZ42" s="18">
        <f>INDEX(PREPARATION_MODIFIERS[maintain_preparation_modifier],
MATCH(tbl_product_preparations[[#This Row],[preparation_key]],
PREPARATION_MODIFIERS[preparation_key],0))</f>
        <v>0</v>
      </c>
      <c r="BA42" s="18">
        <f>INDEX(PREPARATION_MODIFIERS[gain_preparation_modifier],
MATCH(tbl_product_preparations[[#This Row],[preparation_key]],
PREPARATION_MODIFIERS[preparation_key],0))</f>
        <v>0</v>
      </c>
    </row>
    <row r="43" spans="1:53" x14ac:dyDescent="0.2">
      <c r="A43" s="31" t="s">
        <v>402</v>
      </c>
      <c r="B43" s="31" t="s">
        <v>363</v>
      </c>
      <c r="C43" s="31" t="s">
        <v>160</v>
      </c>
      <c r="D43" s="31" t="s">
        <v>409</v>
      </c>
      <c r="E43" s="53" t="str">
        <f>IF(tbl_product_preparations[[#This Row],[source_key]]="MANUFACTURER","MANUFACTURER",
IF(tbl_product_preparations[[#This Row],[source_key]]="CALCULATED","CALCULATED",
"REAL"))</f>
        <v>REAL</v>
      </c>
      <c r="F43" s="53" t="str">
        <f>IF(LEFT(tbl_product_preparations[[#This Row],[source_key]],4)="USDA","US","EU")</f>
        <v>EU</v>
      </c>
      <c r="G43" s="32">
        <v>22</v>
      </c>
      <c r="H43" s="18" t="str">
        <f>IF(
   ISNUMBER(tbl_product_preparations[[#This Row],[density_lookup]]),
   ROUND(tbl_product_preparations[[#This Row],[kcal_per_100g]]*tbl_product_preparations[[#This Row],[density_lookup]],1),
   ""
)</f>
        <v/>
      </c>
      <c r="I43" s="32">
        <v>1.8</v>
      </c>
      <c r="J43" s="32">
        <v>1.8</v>
      </c>
      <c r="K43" s="32">
        <v>0.4</v>
      </c>
      <c r="L43" s="32">
        <v>0</v>
      </c>
      <c r="M43" s="32">
        <v>2.2999999999999998</v>
      </c>
      <c r="N43" s="32">
        <v>0</v>
      </c>
      <c r="O43" s="46">
        <f>IF(tbl_product_preparations[[#This Row],[sugar_per_100g]]=0,tbl_product_preparations[[#This Row],[carbs_per_100g]],tbl_product_preparations[[#This Row],[sugar_per_100g]])</f>
        <v>1.8</v>
      </c>
      <c r="P43" s="36">
        <v>0.01</v>
      </c>
      <c r="Q43" s="50">
        <f>IF(tbl_product_preparations[[#This Row],[sodium_per_100g]]=0,
tbl_product_preparations[[#This Row],[salt_per_100g]]/2.5,
tbl_product_preparations[[#This Row],[sodium_per_100g]])</f>
        <v>0.01</v>
      </c>
      <c r="R43" s="24">
        <f>ROUND(tbl_product_preparations[[#This Row],[sodium_per_100g]]*2.5,3)</f>
        <v>2.5000000000000001E-2</v>
      </c>
      <c r="S43" s="24">
        <f>IF(tbl_product_preparations[[#This Row],[salt_per_100g]]=0,
tbl_product_preparations[[#This Row],[sodium_per_100g]]*2.5,
tbl_product_preparations[[#This Row],[salt_per_100g]])</f>
        <v>2.5000000000000001E-2</v>
      </c>
      <c r="T43" s="32">
        <v>93.4</v>
      </c>
      <c r="U43" s="14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43" s="18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22.6</v>
      </c>
      <c r="W43" s="18">
        <f>IF(tbl_product_preparations[[#This Row],[kcal_per_100g]]=0,0,ABS((tbl_product_preparations[[#This Row],[kcal_per_100g]]-tbl_product_preparations[[#This Row],[kcal_calc]])/tbl_product_preparations[[#This Row],[kcal_per_100g]])*100)</f>
        <v>2.7272727272727337</v>
      </c>
      <c r="X43" s="18">
        <f>ROUND(tbl_product_preparations[[#This Row],[kcal_calc]],1)</f>
        <v>22.6</v>
      </c>
      <c r="Y43" s="18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99.710000000000008</v>
      </c>
      <c r="Z43" s="18" t="str">
        <f>IF(
  tbl_product_preparations[[#This Row],[macro_sum]] &lt;=
  100 + _xlfn.XLOOKUP("WATER_TOTAL_TOLERANCE",tbl_config[config_key],tbl_config[config_value]),
  "OK",
  "ERROR"
)</f>
        <v>OK</v>
      </c>
      <c r="AA43" s="14" t="str">
        <f>_xlfn.LET(
   _xlpm.d, _xlfn.XLOOKUP(tbl_product_preparations[[#This Row],[product_key]],tbl_products[product_key],tbl_products[density_g_per_ml]),
   IF(AND(ISNUMBER(_xlpm.d), _xlpm.d&gt;0), _xlpm.d, "")
)</f>
        <v/>
      </c>
      <c r="AB43" s="18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43" s="18" cm="1">
        <f t="array" ref="AC43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92.311634638663577</v>
      </c>
      <c r="AD43" s="18" cm="1">
        <f t="array" ref="AD43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77.166867387452626</v>
      </c>
      <c r="AE43" s="18" cm="1">
        <f t="array" ref="AE43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63.68316143717432</v>
      </c>
      <c r="AF43" s="18">
        <f>IF(tbl_product_preparations[[#This Row],[kcal_per_100g]]&lt;5,
 0,
 MAX(0,MIN(100,
  ((tbl_product_preparations[[#This Row],[protein_per_100g]]/tbl_product_preparations[[#This Row],[kcal_per_100g]]*100 - 1) / 7 * 100)
 ))
)</f>
        <v>100</v>
      </c>
      <c r="AG43" s="18">
        <f>IF(tbl_product_preparations[[#This Row],[kcal_per_100g]]&lt;5,
 0,
 MAX(0,MIN(100,(tbl_product_preparations[[#This Row],[fiber_per_100g]]/8*100)))
)</f>
        <v>28.749999999999996</v>
      </c>
      <c r="AH43" s="18">
        <f>MAX(0,MIN(100,100-(tbl_product_preparations[[#This Row],[sugar_per_100g]]/15*100)))</f>
        <v>100</v>
      </c>
      <c r="AI43" s="18">
        <f>MAX(0,100-(tbl_product_preparations[[#This Row],[alcohol_per_100g]]*50))</f>
        <v>100</v>
      </c>
      <c r="AJ43" s="18">
        <f>ROUND(tbl_product_preparations[[#This Row],[water_percent]],0)</f>
        <v>93</v>
      </c>
      <c r="AK43" s="18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87</v>
      </c>
      <c r="AL43" s="18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81</v>
      </c>
      <c r="AM43" s="18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74</v>
      </c>
      <c r="AN43" s="38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A</v>
      </c>
      <c r="AO43" s="38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A</v>
      </c>
      <c r="AP43" s="38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B</v>
      </c>
      <c r="AQ43" s="18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VEGETABLES</v>
      </c>
      <c r="AR43" s="18"/>
      <c r="AS43" s="18" t="str">
        <f>INDEX(tbl_products[lose_modifier_group],
MATCH(tbl_product_preparations[[#This Row],[product_key]],
tbl_products[product_key],0))</f>
        <v>VEGETABLES</v>
      </c>
      <c r="AT43" s="18">
        <f>INDEX(BONUS_MALUS_LOSE[Modifier],
MATCH(tbl_product_preparations[[#This Row],[lose_modifier_group]],
BONUS_MALUS_LOSE[Group],0))</f>
        <v>5</v>
      </c>
      <c r="AU43" s="18" t="str">
        <f>INDEX(tbl_products[maintain_modifier_group],
MATCH(tbl_product_preparations[[#This Row],[product_key]],
tbl_products[product_key],0))</f>
        <v>VEGETABLES</v>
      </c>
      <c r="AV43" s="18">
        <f>INDEX(BONUS_MALUS_MAINTAIN[Modifier],
MATCH(tbl_product_preparations[[#This Row],[maintain_modifier_group]],
BONUS_MALUS_MAINTAIN[Group],0))</f>
        <v>3</v>
      </c>
      <c r="AW43" s="18" t="str">
        <f>INDEX(tbl_products[gain_modifier_group],
MATCH(tbl_product_preparations[[#This Row],[product_key]],
tbl_products[product_key],0))</f>
        <v>VEGETABLES</v>
      </c>
      <c r="AX43" s="18">
        <f>INDEX(BONUS_MALUS_GAIN[Modifier],
MATCH(tbl_product_preparations[[#This Row],[gain_modifier_group]],
BONUS_MALUS_GAIN[Group],0))</f>
        <v>-2</v>
      </c>
      <c r="AY43" s="18">
        <f>INDEX(PREPARATION_MODIFIERS[lose_preparation_modifier],
MATCH(tbl_product_preparations[[#This Row],[preparation_key]],
PREPARATION_MODIFIERS[preparation_key],0))</f>
        <v>0</v>
      </c>
      <c r="AZ43" s="18">
        <f>INDEX(PREPARATION_MODIFIERS[maintain_preparation_modifier],
MATCH(tbl_product_preparations[[#This Row],[preparation_key]],
PREPARATION_MODIFIERS[preparation_key],0))</f>
        <v>0</v>
      </c>
      <c r="BA43" s="18">
        <f>INDEX(PREPARATION_MODIFIERS[gain_preparation_modifier],
MATCH(tbl_product_preparations[[#This Row],[preparation_key]],
PREPARATION_MODIFIERS[preparation_key],0))</f>
        <v>0</v>
      </c>
    </row>
    <row r="44" spans="1:53" x14ac:dyDescent="0.2">
      <c r="A44" s="31" t="s">
        <v>402</v>
      </c>
      <c r="B44" s="31" t="s">
        <v>365</v>
      </c>
      <c r="C44" s="31" t="s">
        <v>160</v>
      </c>
      <c r="D44" s="31" t="s">
        <v>408</v>
      </c>
      <c r="E44" s="53" t="str">
        <f>IF(tbl_product_preparations[[#This Row],[source_key]]="MANUFACTURER","MANUFACTURER",
IF(tbl_product_preparations[[#This Row],[source_key]]="CALCULATED","CALCULATED",
"REAL"))</f>
        <v>REAL</v>
      </c>
      <c r="F44" s="53" t="str">
        <f>IF(LEFT(tbl_product_preparations[[#This Row],[source_key]],4)="USDA","US","EU")</f>
        <v>EU</v>
      </c>
      <c r="G44" s="32">
        <v>25</v>
      </c>
      <c r="H44" s="18" t="str">
        <f>IF(
   ISNUMBER(tbl_product_preparations[[#This Row],[density_lookup]]),
   ROUND(tbl_product_preparations[[#This Row],[kcal_per_100g]]*tbl_product_preparations[[#This Row],[density_lookup]],1),
   ""
)</f>
        <v/>
      </c>
      <c r="I44" s="32">
        <v>1.9</v>
      </c>
      <c r="J44" s="32">
        <v>3</v>
      </c>
      <c r="K44" s="32">
        <v>0.2</v>
      </c>
      <c r="L44" s="32">
        <v>0</v>
      </c>
      <c r="M44" s="32">
        <v>2.2000000000000002</v>
      </c>
      <c r="N44" s="32">
        <v>0</v>
      </c>
      <c r="O44" s="46">
        <f>IF(tbl_product_preparations[[#This Row],[sugar_per_100g]]=0,tbl_product_preparations[[#This Row],[carbs_per_100g]],tbl_product_preparations[[#This Row],[sugar_per_100g]])</f>
        <v>3</v>
      </c>
      <c r="P44" s="36">
        <v>8.0000000000000002E-3</v>
      </c>
      <c r="Q44" s="50">
        <f>IF(tbl_product_preparations[[#This Row],[sodium_per_100g]]=0,
tbl_product_preparations[[#This Row],[salt_per_100g]]/2.5,
tbl_product_preparations[[#This Row],[sodium_per_100g]])</f>
        <v>8.0000000000000002E-3</v>
      </c>
      <c r="R44" s="24">
        <f>ROUND(tbl_product_preparations[[#This Row],[sodium_per_100g]]*2.5,3)</f>
        <v>0.02</v>
      </c>
      <c r="S44" s="24">
        <f>IF(tbl_product_preparations[[#This Row],[salt_per_100g]]=0,
tbl_product_preparations[[#This Row],[sodium_per_100g]]*2.5,
tbl_product_preparations[[#This Row],[salt_per_100g]])</f>
        <v>0.02</v>
      </c>
      <c r="T44" s="32">
        <v>91.8</v>
      </c>
      <c r="U44" s="14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44" s="18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25.800000000000004</v>
      </c>
      <c r="W44" s="18">
        <f>IF(tbl_product_preparations[[#This Row],[kcal_per_100g]]=0,0,ABS((tbl_product_preparations[[#This Row],[kcal_per_100g]]-tbl_product_preparations[[#This Row],[kcal_calc]])/tbl_product_preparations[[#This Row],[kcal_per_100g]])*100)</f>
        <v>3.2000000000000166</v>
      </c>
      <c r="X44" s="18">
        <f>ROUND(tbl_product_preparations[[#This Row],[kcal_calc]],1)</f>
        <v>25.8</v>
      </c>
      <c r="Y44" s="18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99.108000000000004</v>
      </c>
      <c r="Z44" s="18" t="str">
        <f>IF(
  tbl_product_preparations[[#This Row],[macro_sum]] &lt;=
  100 + _xlfn.XLOOKUP("WATER_TOTAL_TOLERANCE",tbl_config[config_key],tbl_config[config_value]),
  "OK",
  "ERROR"
)</f>
        <v>OK</v>
      </c>
      <c r="AA44" s="14" t="str">
        <f>_xlfn.LET(
   _xlpm.d, _xlfn.XLOOKUP(tbl_product_preparations[[#This Row],[product_key]],tbl_products[product_key],tbl_products[density_g_per_ml]),
   IF(AND(ISNUMBER(_xlpm.d), _xlpm.d&gt;0), _xlpm.d, "")
)</f>
        <v/>
      </c>
      <c r="AB44" s="18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44" s="18" cm="1">
        <f t="array" ref="AC44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96.923323447634417</v>
      </c>
      <c r="AD44" s="18" cm="1">
        <f t="array" ref="AD44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83.527021141127193</v>
      </c>
      <c r="AE44" s="18" cm="1">
        <f t="array" ref="AE44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68.194075119034807</v>
      </c>
      <c r="AF44" s="18">
        <f>IF(tbl_product_preparations[[#This Row],[kcal_per_100g]]&lt;5,
 0,
 MAX(0,MIN(100,
  ((tbl_product_preparations[[#This Row],[protein_per_100g]]/tbl_product_preparations[[#This Row],[kcal_per_100g]]*100 - 1) / 7 * 100)
 ))
)</f>
        <v>94.285714285714278</v>
      </c>
      <c r="AG44" s="18">
        <f>IF(tbl_product_preparations[[#This Row],[kcal_per_100g]]&lt;5,
 0,
 MAX(0,MIN(100,(tbl_product_preparations[[#This Row],[fiber_per_100g]]/8*100)))
)</f>
        <v>27.500000000000004</v>
      </c>
      <c r="AH44" s="18">
        <f>MAX(0,MIN(100,100-(tbl_product_preparations[[#This Row],[sugar_per_100g]]/15*100)))</f>
        <v>100</v>
      </c>
      <c r="AI44" s="18">
        <f>MAX(0,100-(tbl_product_preparations[[#This Row],[alcohol_per_100g]]*50))</f>
        <v>100</v>
      </c>
      <c r="AJ44" s="18">
        <f>ROUND(tbl_product_preparations[[#This Row],[water_percent]],0)</f>
        <v>92</v>
      </c>
      <c r="AK44" s="18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88</v>
      </c>
      <c r="AL44" s="18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81</v>
      </c>
      <c r="AM44" s="18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75</v>
      </c>
      <c r="AN44" s="38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A</v>
      </c>
      <c r="AO44" s="38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A</v>
      </c>
      <c r="AP44" s="38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B</v>
      </c>
      <c r="AQ44" s="18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VEGETABLES</v>
      </c>
      <c r="AR44" s="18"/>
      <c r="AS44" s="18" t="str">
        <f>INDEX(tbl_products[lose_modifier_group],
MATCH(tbl_product_preparations[[#This Row],[product_key]],
tbl_products[product_key],0))</f>
        <v>VEGETABLES</v>
      </c>
      <c r="AT44" s="18">
        <f>INDEX(BONUS_MALUS_LOSE[Modifier],
MATCH(tbl_product_preparations[[#This Row],[lose_modifier_group]],
BONUS_MALUS_LOSE[Group],0))</f>
        <v>5</v>
      </c>
      <c r="AU44" s="18" t="str">
        <f>INDEX(tbl_products[maintain_modifier_group],
MATCH(tbl_product_preparations[[#This Row],[product_key]],
tbl_products[product_key],0))</f>
        <v>VEGETABLES</v>
      </c>
      <c r="AV44" s="18">
        <f>INDEX(BONUS_MALUS_MAINTAIN[Modifier],
MATCH(tbl_product_preparations[[#This Row],[maintain_modifier_group]],
BONUS_MALUS_MAINTAIN[Group],0))</f>
        <v>3</v>
      </c>
      <c r="AW44" s="18" t="str">
        <f>INDEX(tbl_products[gain_modifier_group],
MATCH(tbl_product_preparations[[#This Row],[product_key]],
tbl_products[product_key],0))</f>
        <v>VEGETABLES</v>
      </c>
      <c r="AX44" s="18">
        <f>INDEX(BONUS_MALUS_GAIN[Modifier],
MATCH(tbl_product_preparations[[#This Row],[gain_modifier_group]],
BONUS_MALUS_GAIN[Group],0))</f>
        <v>-2</v>
      </c>
      <c r="AY44" s="18">
        <f>INDEX(PREPARATION_MODIFIERS[lose_preparation_modifier],
MATCH(tbl_product_preparations[[#This Row],[preparation_key]],
PREPARATION_MODIFIERS[preparation_key],0))</f>
        <v>0</v>
      </c>
      <c r="AZ44" s="18">
        <f>INDEX(PREPARATION_MODIFIERS[maintain_preparation_modifier],
MATCH(tbl_product_preparations[[#This Row],[preparation_key]],
PREPARATION_MODIFIERS[preparation_key],0))</f>
        <v>0</v>
      </c>
      <c r="BA44" s="18">
        <f>INDEX(PREPARATION_MODIFIERS[gain_preparation_modifier],
MATCH(tbl_product_preparations[[#This Row],[preparation_key]],
PREPARATION_MODIFIERS[preparation_key],0))</f>
        <v>0</v>
      </c>
    </row>
    <row r="45" spans="1:53" x14ac:dyDescent="0.2">
      <c r="A45" s="31" t="s">
        <v>848</v>
      </c>
      <c r="B45" s="31" t="s">
        <v>115</v>
      </c>
      <c r="C45" s="31" t="s">
        <v>160</v>
      </c>
      <c r="D45" s="31" t="s">
        <v>860</v>
      </c>
      <c r="E45" s="53" t="str">
        <f>IF(tbl_product_preparations[[#This Row],[source_key]]="MANUFACTURER","MANUFACTURER",
IF(tbl_product_preparations[[#This Row],[source_key]]="CALCULATED","CALCULATED",
"REAL"))</f>
        <v>REAL</v>
      </c>
      <c r="F45" s="53" t="str">
        <f>IF(LEFT(tbl_product_preparations[[#This Row],[source_key]],4)="USDA","US","EU")</f>
        <v>EU</v>
      </c>
      <c r="G45" s="32">
        <v>52</v>
      </c>
      <c r="H45" s="18" t="str">
        <f>IF(
   ISNUMBER(tbl_product_preparations[[#This Row],[density_lookup]]),
   ROUND(tbl_product_preparations[[#This Row],[kcal_per_100g]]*tbl_product_preparations[[#This Row],[density_lookup]],1),
   ""
)</f>
        <v/>
      </c>
      <c r="I45" s="32">
        <v>1</v>
      </c>
      <c r="J45" s="32">
        <v>11</v>
      </c>
      <c r="K45" s="32">
        <v>0</v>
      </c>
      <c r="L45" s="32">
        <v>0</v>
      </c>
      <c r="M45" s="32">
        <v>2.1</v>
      </c>
      <c r="N45" s="32">
        <v>11</v>
      </c>
      <c r="O45" s="46">
        <f>IF(tbl_product_preparations[[#This Row],[sugar_per_100g]]=0,tbl_product_preparations[[#This Row],[carbs_per_100g]],tbl_product_preparations[[#This Row],[sugar_per_100g]])</f>
        <v>11</v>
      </c>
      <c r="P45" s="36">
        <v>1E-3</v>
      </c>
      <c r="Q45" s="50">
        <f>IF(tbl_product_preparations[[#This Row],[sodium_per_100g]]=0,
tbl_product_preparations[[#This Row],[salt_per_100g]]/2.5,
tbl_product_preparations[[#This Row],[sodium_per_100g]])</f>
        <v>1E-3</v>
      </c>
      <c r="R45" s="24">
        <f>ROUND(tbl_product_preparations[[#This Row],[sodium_per_100g]]*2.5,3)</f>
        <v>3.0000000000000001E-3</v>
      </c>
      <c r="S45" s="24">
        <f>IF(tbl_product_preparations[[#This Row],[salt_per_100g]]=0,
tbl_product_preparations[[#This Row],[sodium_per_100g]]*2.5,
tbl_product_preparations[[#This Row],[salt_per_100g]])</f>
        <v>3.0000000000000001E-3</v>
      </c>
      <c r="T45" s="32">
        <v>87</v>
      </c>
      <c r="U45" s="14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45" s="18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52.2</v>
      </c>
      <c r="W45" s="18">
        <f>IF(tbl_product_preparations[[#This Row],[kcal_per_100g]]=0,0,ABS((tbl_product_preparations[[#This Row],[kcal_per_100g]]-tbl_product_preparations[[#This Row],[kcal_calc]])/tbl_product_preparations[[#This Row],[kcal_per_100g]])*100)</f>
        <v>0.38461538461539008</v>
      </c>
      <c r="X45" s="18">
        <f>ROUND(tbl_product_preparations[[#This Row],[kcal_calc]],1)</f>
        <v>52.2</v>
      </c>
      <c r="Y45" s="18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101.101</v>
      </c>
      <c r="Z45" s="18" t="str">
        <f>IF(
  tbl_product_preparations[[#This Row],[macro_sum]] &lt;=
  100 + _xlfn.XLOOKUP("WATER_TOTAL_TOLERANCE",tbl_config[config_key],tbl_config[config_value]),
  "OK",
  "ERROR"
)</f>
        <v>OK</v>
      </c>
      <c r="AA45" s="14" t="str">
        <f>_xlfn.LET(
   _xlpm.d, _xlfn.XLOOKUP(tbl_product_preparations[[#This Row],[product_key]],tbl_products[product_key],tbl_products[density_g_per_ml]),
   IF(AND(ISNUMBER(_xlpm.d), _xlpm.d&gt;0), _xlpm.d, "")
)</f>
        <v/>
      </c>
      <c r="AB45" s="18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45" s="18" cm="1">
        <f t="array" ref="AC45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87.61264072352644</v>
      </c>
      <c r="AD45" s="18" cm="1">
        <f t="array" ref="AD45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82.400370978743723</v>
      </c>
      <c r="AE45" s="18" cm="1">
        <f t="array" ref="AE45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52.612196409345643</v>
      </c>
      <c r="AF45" s="18">
        <f>IF(tbl_product_preparations[[#This Row],[kcal_per_100g]]&lt;5,
 0,
 MAX(0,MIN(100,
  ((tbl_product_preparations[[#This Row],[protein_per_100g]]/tbl_product_preparations[[#This Row],[kcal_per_100g]]*100 - 1) / 7 * 100)
 ))
)</f>
        <v>13.186813186813188</v>
      </c>
      <c r="AG45" s="18">
        <f>IF(tbl_product_preparations[[#This Row],[kcal_per_100g]]&lt;5,
 0,
 MAX(0,MIN(100,(tbl_product_preparations[[#This Row],[fiber_per_100g]]/8*100)))
)</f>
        <v>26.25</v>
      </c>
      <c r="AH45" s="18">
        <f>MAX(0,MIN(100,100-(tbl_product_preparations[[#This Row],[sugar_per_100g]]/15*100)))</f>
        <v>26.666666666666671</v>
      </c>
      <c r="AI45" s="18">
        <f>MAX(0,100-(tbl_product_preparations[[#This Row],[alcohol_per_100g]]*50))</f>
        <v>100</v>
      </c>
      <c r="AJ45" s="18">
        <f>ROUND(tbl_product_preparations[[#This Row],[water_percent]],0)</f>
        <v>87</v>
      </c>
      <c r="AK45" s="18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62</v>
      </c>
      <c r="AL45" s="18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57</v>
      </c>
      <c r="AM45" s="18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42</v>
      </c>
      <c r="AN45" s="38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C</v>
      </c>
      <c r="AO45" s="38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C</v>
      </c>
      <c r="AP45" s="38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D</v>
      </c>
      <c r="AQ45" s="18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FRUITS</v>
      </c>
      <c r="AR45" s="18"/>
      <c r="AS45" s="18" t="str">
        <f>INDEX(tbl_products[lose_modifier_group],
MATCH(tbl_product_preparations[[#This Row],[product_key]],
tbl_products[product_key],0))</f>
        <v>FRUIT_WHOLE</v>
      </c>
      <c r="AT45" s="18">
        <f>INDEX(BONUS_MALUS_LOSE[Modifier],
MATCH(tbl_product_preparations[[#This Row],[lose_modifier_group]],
BONUS_MALUS_LOSE[Group],0))</f>
        <v>3</v>
      </c>
      <c r="AU45" s="18" t="str">
        <f>INDEX(tbl_products[maintain_modifier_group],
MATCH(tbl_product_preparations[[#This Row],[product_key]],
tbl_products[product_key],0))</f>
        <v>FRUIT_WHOLE</v>
      </c>
      <c r="AV45" s="18">
        <f>INDEX(BONUS_MALUS_MAINTAIN[Modifier],
MATCH(tbl_product_preparations[[#This Row],[maintain_modifier_group]],
BONUS_MALUS_MAINTAIN[Group],0))</f>
        <v>2</v>
      </c>
      <c r="AW45" s="18" t="str">
        <f>INDEX(tbl_products[gain_modifier_group],
MATCH(tbl_product_preparations[[#This Row],[product_key]],
tbl_products[product_key],0))</f>
        <v>FRUIT_WHOLE</v>
      </c>
      <c r="AX45" s="18">
        <f>INDEX(BONUS_MALUS_GAIN[Modifier],
MATCH(tbl_product_preparations[[#This Row],[gain_modifier_group]],
BONUS_MALUS_GAIN[Group],0))</f>
        <v>1</v>
      </c>
      <c r="AY45" s="18">
        <f>INDEX(PREPARATION_MODIFIERS[lose_preparation_modifier],
MATCH(tbl_product_preparations[[#This Row],[preparation_key]],
PREPARATION_MODIFIERS[preparation_key],0))</f>
        <v>0</v>
      </c>
      <c r="AZ45" s="18">
        <f>INDEX(PREPARATION_MODIFIERS[maintain_preparation_modifier],
MATCH(tbl_product_preparations[[#This Row],[preparation_key]],
PREPARATION_MODIFIERS[preparation_key],0))</f>
        <v>0</v>
      </c>
      <c r="BA45" s="18">
        <f>INDEX(PREPARATION_MODIFIERS[gain_preparation_modifier],
MATCH(tbl_product_preparations[[#This Row],[preparation_key]],
PREPARATION_MODIFIERS[preparation_key],0))</f>
        <v>0</v>
      </c>
    </row>
    <row r="46" spans="1:53" x14ac:dyDescent="0.2">
      <c r="A46" s="31" t="s">
        <v>849</v>
      </c>
      <c r="B46" s="31" t="s">
        <v>115</v>
      </c>
      <c r="C46" s="31" t="s">
        <v>160</v>
      </c>
      <c r="D46" s="31" t="s">
        <v>861</v>
      </c>
      <c r="E46" s="53" t="str">
        <f>IF(tbl_product_preparations[[#This Row],[source_key]]="MANUFACTURER","MANUFACTURER",
IF(tbl_product_preparations[[#This Row],[source_key]]="CALCULATED","CALCULATED",
"REAL"))</f>
        <v>REAL</v>
      </c>
      <c r="F46" s="53" t="str">
        <f>IF(LEFT(tbl_product_preparations[[#This Row],[source_key]],4)="USDA","US","EU")</f>
        <v>EU</v>
      </c>
      <c r="G46" s="32">
        <v>57</v>
      </c>
      <c r="H46" s="18" t="str">
        <f>IF(
   ISNUMBER(tbl_product_preparations[[#This Row],[density_lookup]]),
   ROUND(tbl_product_preparations[[#This Row],[kcal_per_100g]]*tbl_product_preparations[[#This Row],[density_lookup]],1),
   ""
)</f>
        <v/>
      </c>
      <c r="I46" s="32">
        <v>0.9</v>
      </c>
      <c r="J46" s="32">
        <v>11.5</v>
      </c>
      <c r="K46" s="32">
        <v>0.4</v>
      </c>
      <c r="L46" s="32">
        <v>0</v>
      </c>
      <c r="M46" s="32">
        <v>0.9</v>
      </c>
      <c r="N46" s="32">
        <v>11.5</v>
      </c>
      <c r="O46" s="46">
        <f>IF(tbl_product_preparations[[#This Row],[sugar_per_100g]]=0,tbl_product_preparations[[#This Row],[carbs_per_100g]],tbl_product_preparations[[#This Row],[sugar_per_100g]])</f>
        <v>11.5</v>
      </c>
      <c r="P46" s="36">
        <v>1E-3</v>
      </c>
      <c r="Q46" s="50">
        <f>IF(tbl_product_preparations[[#This Row],[sodium_per_100g]]=0,
tbl_product_preparations[[#This Row],[salt_per_100g]]/2.5,
tbl_product_preparations[[#This Row],[sodium_per_100g]])</f>
        <v>1E-3</v>
      </c>
      <c r="R46" s="24">
        <f>ROUND(tbl_product_preparations[[#This Row],[sodium_per_100g]]*2.5,3)</f>
        <v>3.0000000000000001E-3</v>
      </c>
      <c r="S46" s="24">
        <f>IF(tbl_product_preparations[[#This Row],[salt_per_100g]]=0,
tbl_product_preparations[[#This Row],[sodium_per_100g]]*2.5,
tbl_product_preparations[[#This Row],[salt_per_100g]])</f>
        <v>3.0000000000000001E-3</v>
      </c>
      <c r="T46" s="32">
        <v>86</v>
      </c>
      <c r="U46" s="14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46" s="18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55</v>
      </c>
      <c r="W46" s="18">
        <f>IF(tbl_product_preparations[[#This Row],[kcal_per_100g]]=0,0,ABS((tbl_product_preparations[[#This Row],[kcal_per_100g]]-tbl_product_preparations[[#This Row],[kcal_calc]])/tbl_product_preparations[[#This Row],[kcal_per_100g]])*100)</f>
        <v>3.5087719298245612</v>
      </c>
      <c r="X46" s="18">
        <f>ROUND(tbl_product_preparations[[#This Row],[kcal_calc]],1)</f>
        <v>55</v>
      </c>
      <c r="Y46" s="18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99.700999999999993</v>
      </c>
      <c r="Z46" s="18" t="str">
        <f>IF(
  tbl_product_preparations[[#This Row],[macro_sum]] &lt;=
  100 + _xlfn.XLOOKUP("WATER_TOTAL_TOLERANCE",tbl_config[config_key],tbl_config[config_value]),
  "OK",
  "ERROR"
)</f>
        <v>OK</v>
      </c>
      <c r="AA46" s="14" t="str">
        <f>_xlfn.LET(
   _xlpm.d, _xlfn.XLOOKUP(tbl_product_preparations[[#This Row],[product_key]],tbl_products[product_key],tbl_products[density_g_per_ml]),
   IF(AND(ISNUMBER(_xlpm.d), _xlpm.d&gt;0), _xlpm.d, "")
)</f>
        <v/>
      </c>
      <c r="AB46" s="18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46" s="18" cm="1">
        <f t="array" ref="AC46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93.334572775583226</v>
      </c>
      <c r="AD46" s="18" cm="1">
        <f t="array" ref="AD46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87.755356396403755</v>
      </c>
      <c r="AE46" s="18" cm="1">
        <f t="array" ref="AE46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57.622907367179991</v>
      </c>
      <c r="AF46" s="18">
        <f>IF(tbl_product_preparations[[#This Row],[kcal_per_100g]]&lt;5,
 0,
 MAX(0,MIN(100,
  ((tbl_product_preparations[[#This Row],[protein_per_100g]]/tbl_product_preparations[[#This Row],[kcal_per_100g]]*100 - 1) / 7 * 100)
 ))
)</f>
        <v>8.2706766917293244</v>
      </c>
      <c r="AG46" s="18">
        <f>IF(tbl_product_preparations[[#This Row],[kcal_per_100g]]&lt;5,
 0,
 MAX(0,MIN(100,(tbl_product_preparations[[#This Row],[fiber_per_100g]]/8*100)))
)</f>
        <v>11.25</v>
      </c>
      <c r="AH46" s="18">
        <f>MAX(0,MIN(100,100-(tbl_product_preparations[[#This Row],[sugar_per_100g]]/15*100)))</f>
        <v>23.333333333333329</v>
      </c>
      <c r="AI46" s="18">
        <f>MAX(0,100-(tbl_product_preparations[[#This Row],[alcohol_per_100g]]*50))</f>
        <v>100</v>
      </c>
      <c r="AJ46" s="18">
        <f>ROUND(tbl_product_preparations[[#This Row],[water_percent]],0)</f>
        <v>86</v>
      </c>
      <c r="AK46" s="18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60</v>
      </c>
      <c r="AL46" s="18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55</v>
      </c>
      <c r="AM46" s="18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43</v>
      </c>
      <c r="AN46" s="38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C</v>
      </c>
      <c r="AO46" s="38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C</v>
      </c>
      <c r="AP46" s="38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D</v>
      </c>
      <c r="AQ46" s="18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FRUITS</v>
      </c>
      <c r="AR46" s="18"/>
      <c r="AS46" s="18" t="str">
        <f>INDEX(tbl_products[lose_modifier_group],
MATCH(tbl_product_preparations[[#This Row],[product_key]],
tbl_products[product_key],0))</f>
        <v>FRUIT_WHOLE</v>
      </c>
      <c r="AT46" s="18">
        <f>INDEX(BONUS_MALUS_LOSE[Modifier],
MATCH(tbl_product_preparations[[#This Row],[lose_modifier_group]],
BONUS_MALUS_LOSE[Group],0))</f>
        <v>3</v>
      </c>
      <c r="AU46" s="18" t="str">
        <f>INDEX(tbl_products[maintain_modifier_group],
MATCH(tbl_product_preparations[[#This Row],[product_key]],
tbl_products[product_key],0))</f>
        <v>FRUIT_WHOLE</v>
      </c>
      <c r="AV46" s="18">
        <f>INDEX(BONUS_MALUS_MAINTAIN[Modifier],
MATCH(tbl_product_preparations[[#This Row],[maintain_modifier_group]],
BONUS_MALUS_MAINTAIN[Group],0))</f>
        <v>2</v>
      </c>
      <c r="AW46" s="18" t="str">
        <f>INDEX(tbl_products[gain_modifier_group],
MATCH(tbl_product_preparations[[#This Row],[product_key]],
tbl_products[product_key],0))</f>
        <v>FRUIT_WHOLE</v>
      </c>
      <c r="AX46" s="18">
        <f>INDEX(BONUS_MALUS_GAIN[Modifier],
MATCH(tbl_product_preparations[[#This Row],[gain_modifier_group]],
BONUS_MALUS_GAIN[Group],0))</f>
        <v>1</v>
      </c>
      <c r="AY46" s="18">
        <f>INDEX(PREPARATION_MODIFIERS[lose_preparation_modifier],
MATCH(tbl_product_preparations[[#This Row],[preparation_key]],
PREPARATION_MODIFIERS[preparation_key],0))</f>
        <v>0</v>
      </c>
      <c r="AZ46" s="18">
        <f>INDEX(PREPARATION_MODIFIERS[maintain_preparation_modifier],
MATCH(tbl_product_preparations[[#This Row],[preparation_key]],
PREPARATION_MODIFIERS[preparation_key],0))</f>
        <v>0</v>
      </c>
      <c r="BA46" s="18">
        <f>INDEX(PREPARATION_MODIFIERS[gain_preparation_modifier],
MATCH(tbl_product_preparations[[#This Row],[preparation_key]],
PREPARATION_MODIFIERS[preparation_key],0))</f>
        <v>0</v>
      </c>
    </row>
    <row r="47" spans="1:53" x14ac:dyDescent="0.2">
      <c r="A47" s="31" t="s">
        <v>972</v>
      </c>
      <c r="B47" s="31" t="s">
        <v>952</v>
      </c>
      <c r="C47" s="31" t="s">
        <v>160</v>
      </c>
      <c r="D47" s="31" t="s">
        <v>978</v>
      </c>
      <c r="E47" s="53" t="str">
        <f>IF(tbl_product_preparations[[#This Row],[source_key]]="MANUFACTURER","MANUFACTURER",
IF(tbl_product_preparations[[#This Row],[source_key]]="CALCULATED","CALCULATED",
"REAL"))</f>
        <v>REAL</v>
      </c>
      <c r="F47" s="53" t="str">
        <f>IF(LEFT(tbl_product_preparations[[#This Row],[source_key]],4)="USDA","US","EU")</f>
        <v>EU</v>
      </c>
      <c r="G47" s="32">
        <v>674</v>
      </c>
      <c r="H47" s="18" t="str">
        <f>IF(
   ISNUMBER(tbl_product_preparations[[#This Row],[density_lookup]]),
   ROUND(tbl_product_preparations[[#This Row],[kcal_per_100g]]*tbl_product_preparations[[#This Row],[density_lookup]],1),
   ""
)</f>
        <v/>
      </c>
      <c r="I47" s="32">
        <v>7.1</v>
      </c>
      <c r="J47" s="32">
        <v>8.6</v>
      </c>
      <c r="K47" s="32">
        <v>64.8</v>
      </c>
      <c r="L47" s="32">
        <v>0</v>
      </c>
      <c r="M47" s="32">
        <v>14.4</v>
      </c>
      <c r="N47" s="32">
        <v>7.6</v>
      </c>
      <c r="O47" s="46">
        <f>IF(tbl_product_preparations[[#This Row],[sugar_per_100g]]=0,tbl_product_preparations[[#This Row],[carbs_per_100g]],tbl_product_preparations[[#This Row],[sugar_per_100g]])</f>
        <v>7.6</v>
      </c>
      <c r="P47" s="36">
        <v>2.9000000000000001E-2</v>
      </c>
      <c r="Q47" s="50">
        <f>IF(tbl_product_preparations[[#This Row],[sodium_per_100g]]=0,
tbl_product_preparations[[#This Row],[salt_per_100g]]/2.5,
tbl_product_preparations[[#This Row],[sodium_per_100g]])</f>
        <v>2.9000000000000001E-2</v>
      </c>
      <c r="R47" s="24">
        <f>ROUND(tbl_product_preparations[[#This Row],[sodium_per_100g]]*2.5,3)</f>
        <v>7.2999999999999995E-2</v>
      </c>
      <c r="S47" s="24">
        <f>IF(tbl_product_preparations[[#This Row],[salt_per_100g]]=0,
tbl_product_preparations[[#This Row],[sodium_per_100g]]*2.5,
tbl_product_preparations[[#This Row],[salt_per_100g]])</f>
        <v>7.2999999999999995E-2</v>
      </c>
      <c r="T47" s="32">
        <v>5.3</v>
      </c>
      <c r="U47" s="14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47" s="18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674.79999999999984</v>
      </c>
      <c r="W47" s="18">
        <f>IF(tbl_product_preparations[[#This Row],[kcal_per_100g]]=0,0,ABS((tbl_product_preparations[[#This Row],[kcal_per_100g]]-tbl_product_preparations[[#This Row],[kcal_calc]])/tbl_product_preparations[[#This Row],[kcal_per_100g]])*100)</f>
        <v>0.11869436201778054</v>
      </c>
      <c r="X47" s="18">
        <f>ROUND(tbl_product_preparations[[#This Row],[kcal_calc]],1)</f>
        <v>674.8</v>
      </c>
      <c r="Y47" s="18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100.229</v>
      </c>
      <c r="Z47" s="18" t="str">
        <f>IF(
  tbl_product_preparations[[#This Row],[macro_sum]] &lt;=
  100 + _xlfn.XLOOKUP("WATER_TOTAL_TOLERANCE",tbl_config[config_key],tbl_config[config_value]),
  "OK",
  "ERROR"
)</f>
        <v>OK</v>
      </c>
      <c r="AA47" s="14" t="str">
        <f>_xlfn.LET(
   _xlpm.d, _xlfn.XLOOKUP(tbl_product_preparations[[#This Row],[product_key]],tbl_products[product_key],tbl_products[density_g_per_ml]),
   IF(AND(ISNUMBER(_xlpm.d), _xlpm.d&gt;0), _xlpm.d, "")
)</f>
        <v/>
      </c>
      <c r="AB47" s="18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47" s="18" cm="1">
        <f t="array" ref="AC47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5.2485578149218961E-7</v>
      </c>
      <c r="AD47" s="18" cm="1">
        <f t="array" ref="AD47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1.2479976313343742E-2</v>
      </c>
      <c r="AE47" s="18" cm="1">
        <f t="array" ref="AE47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9.7023700041286975</v>
      </c>
      <c r="AF47" s="18">
        <f>IF(tbl_product_preparations[[#This Row],[kcal_per_100g]]&lt;5,
 0,
 MAX(0,MIN(100,
  ((tbl_product_preparations[[#This Row],[protein_per_100g]]/tbl_product_preparations[[#This Row],[kcal_per_100g]]*100 - 1) / 7 * 100)
 ))
)</f>
        <v>0.76303518440017049</v>
      </c>
      <c r="AG47" s="18">
        <f>IF(tbl_product_preparations[[#This Row],[kcal_per_100g]]&lt;5,
 0,
 MAX(0,MIN(100,(tbl_product_preparations[[#This Row],[fiber_per_100g]]/8*100)))
)</f>
        <v>100</v>
      </c>
      <c r="AH47" s="18">
        <f>MAX(0,MIN(100,100-(tbl_product_preparations[[#This Row],[sugar_per_100g]]/15*100)))</f>
        <v>49.333333333333343</v>
      </c>
      <c r="AI47" s="18">
        <f>MAX(0,100-(tbl_product_preparations[[#This Row],[alcohol_per_100g]]*50))</f>
        <v>100</v>
      </c>
      <c r="AJ47" s="18">
        <f>ROUND(tbl_product_preparations[[#This Row],[water_percent]],0)</f>
        <v>5</v>
      </c>
      <c r="AK47" s="18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39</v>
      </c>
      <c r="AL47" s="18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31</v>
      </c>
      <c r="AM47" s="18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21</v>
      </c>
      <c r="AN47" s="38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D</v>
      </c>
      <c r="AO47" s="38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E</v>
      </c>
      <c r="AP47" s="38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E</v>
      </c>
      <c r="AQ47" s="18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DRIED_FRUIT</v>
      </c>
      <c r="AR47" s="19" t="s">
        <v>987</v>
      </c>
      <c r="AS47" s="18" t="str">
        <f>INDEX(tbl_products[lose_modifier_group],
MATCH(tbl_product_preparations[[#This Row],[product_key]],
tbl_products[product_key],0))</f>
        <v>FRUIT_WHOLE</v>
      </c>
      <c r="AT47" s="18">
        <f>INDEX(BONUS_MALUS_LOSE[Modifier],
MATCH(tbl_product_preparations[[#This Row],[lose_modifier_group]],
BONUS_MALUS_LOSE[Group],0))</f>
        <v>3</v>
      </c>
      <c r="AU47" s="18" t="str">
        <f>INDEX(tbl_products[maintain_modifier_group],
MATCH(tbl_product_preparations[[#This Row],[product_key]],
tbl_products[product_key],0))</f>
        <v>FRUIT_WHOLE</v>
      </c>
      <c r="AV47" s="18">
        <f>INDEX(BONUS_MALUS_MAINTAIN[Modifier],
MATCH(tbl_product_preparations[[#This Row],[maintain_modifier_group]],
BONUS_MALUS_MAINTAIN[Group],0))</f>
        <v>2</v>
      </c>
      <c r="AW47" s="18" t="str">
        <f>INDEX(tbl_products[gain_modifier_group],
MATCH(tbl_product_preparations[[#This Row],[product_key]],
tbl_products[product_key],0))</f>
        <v>FRUIT_WHOLE</v>
      </c>
      <c r="AX47" s="18">
        <f>INDEX(BONUS_MALUS_GAIN[Modifier],
MATCH(tbl_product_preparations[[#This Row],[gain_modifier_group]],
BONUS_MALUS_GAIN[Group],0))</f>
        <v>1</v>
      </c>
      <c r="AY47" s="18">
        <f>INDEX(PREPARATION_MODIFIERS[lose_preparation_modifier],
MATCH(tbl_product_preparations[[#This Row],[preparation_key]],
PREPARATION_MODIFIERS[preparation_key],0))</f>
        <v>0</v>
      </c>
      <c r="AZ47" s="18">
        <f>INDEX(PREPARATION_MODIFIERS[maintain_preparation_modifier],
MATCH(tbl_product_preparations[[#This Row],[preparation_key]],
PREPARATION_MODIFIERS[preparation_key],0))</f>
        <v>0</v>
      </c>
      <c r="BA47" s="18">
        <f>INDEX(PREPARATION_MODIFIERS[gain_preparation_modifier],
MATCH(tbl_product_preparations[[#This Row],[preparation_key]],
PREPARATION_MODIFIERS[preparation_key],0))</f>
        <v>0</v>
      </c>
    </row>
    <row r="48" spans="1:53" x14ac:dyDescent="0.2">
      <c r="A48" s="31" t="s">
        <v>972</v>
      </c>
      <c r="B48" s="31" t="s">
        <v>950</v>
      </c>
      <c r="C48" s="31" t="s">
        <v>160</v>
      </c>
      <c r="D48" s="31" t="s">
        <v>979</v>
      </c>
      <c r="E48" s="53" t="str">
        <f>IF(tbl_product_preparations[[#This Row],[source_key]]="MANUFACTURER","MANUFACTURER",
IF(tbl_product_preparations[[#This Row],[source_key]]="CALCULATED","CALCULATED",
"REAL"))</f>
        <v>REAL</v>
      </c>
      <c r="F48" s="53" t="str">
        <f>IF(LEFT(tbl_product_preparations[[#This Row],[source_key]],4)="USDA","US","EU")</f>
        <v>EU</v>
      </c>
      <c r="G48" s="32">
        <v>406</v>
      </c>
      <c r="H48" s="18" t="str">
        <f>IF(
   ISNUMBER(tbl_product_preparations[[#This Row],[density_lookup]]),
   ROUND(tbl_product_preparations[[#This Row],[kcal_per_100g]]*tbl_product_preparations[[#This Row],[density_lookup]],1),
   ""
)</f>
        <v/>
      </c>
      <c r="I48" s="32">
        <v>4</v>
      </c>
      <c r="J48" s="32">
        <v>3</v>
      </c>
      <c r="K48" s="32">
        <v>40</v>
      </c>
      <c r="L48" s="32">
        <v>0</v>
      </c>
      <c r="M48" s="32">
        <v>9</v>
      </c>
      <c r="N48" s="32">
        <v>1</v>
      </c>
      <c r="O48" s="46">
        <f>IF(tbl_product_preparations[[#This Row],[sugar_per_100g]]=0,tbl_product_preparations[[#This Row],[carbs_per_100g]],tbl_product_preparations[[#This Row],[sugar_per_100g]])</f>
        <v>1</v>
      </c>
      <c r="P48" s="36">
        <v>2.5000000000000001E-2</v>
      </c>
      <c r="Q48" s="50">
        <f>IF(tbl_product_preparations[[#This Row],[sodium_per_100g]]=0,
tbl_product_preparations[[#This Row],[salt_per_100g]]/2.5,
tbl_product_preparations[[#This Row],[sodium_per_100g]])</f>
        <v>2.5000000000000001E-2</v>
      </c>
      <c r="R48" s="24">
        <f>ROUND(tbl_product_preparations[[#This Row],[sodium_per_100g]]*2.5,3)</f>
        <v>6.3E-2</v>
      </c>
      <c r="S48" s="24">
        <f>IF(tbl_product_preparations[[#This Row],[salt_per_100g]]=0,
tbl_product_preparations[[#This Row],[sodium_per_100g]]*2.5,
tbl_product_preparations[[#This Row],[salt_per_100g]])</f>
        <v>6.3E-2</v>
      </c>
      <c r="T48" s="32">
        <v>38</v>
      </c>
      <c r="U48" s="14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48" s="18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406</v>
      </c>
      <c r="W48" s="18">
        <f>IF(tbl_product_preparations[[#This Row],[kcal_per_100g]]=0,0,ABS((tbl_product_preparations[[#This Row],[kcal_per_100g]]-tbl_product_preparations[[#This Row],[kcal_calc]])/tbl_product_preparations[[#This Row],[kcal_per_100g]])*100)</f>
        <v>0</v>
      </c>
      <c r="X48" s="18">
        <f>ROUND(tbl_product_preparations[[#This Row],[kcal_calc]],1)</f>
        <v>406</v>
      </c>
      <c r="Y48" s="18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94.025000000000006</v>
      </c>
      <c r="Z48" s="18" t="str">
        <f>IF(
  tbl_product_preparations[[#This Row],[macro_sum]] &lt;=
  100 + _xlfn.XLOOKUP("WATER_TOTAL_TOLERANCE",tbl_config[config_key],tbl_config[config_value]),
  "OK",
  "ERROR"
)</f>
        <v>OK</v>
      </c>
      <c r="AA48" s="14" t="str">
        <f>_xlfn.LET(
   _xlpm.d, _xlfn.XLOOKUP(tbl_product_preparations[[#This Row],[product_key]],tbl_products[product_key],tbl_products[density_g_per_ml]),
   IF(AND(ISNUMBER(_xlpm.d), _xlpm.d&gt;0), _xlpm.d, "")
)</f>
        <v/>
      </c>
      <c r="AB48" s="18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48" s="18" cm="1">
        <f t="array" ref="AC48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9.7209850203007805E-19</v>
      </c>
      <c r="AD48" s="18" cm="1">
        <f t="array" ref="AD48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4.0149843985787811E-10</v>
      </c>
      <c r="AE48" s="18" cm="1">
        <f t="array" ref="AE48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1.1645909499213329E-3</v>
      </c>
      <c r="AF48" s="18">
        <f>IF(tbl_product_preparations[[#This Row],[kcal_per_100g]]&lt;5,
 0,
 MAX(0,MIN(100,
  ((tbl_product_preparations[[#This Row],[protein_per_100g]]/tbl_product_preparations[[#This Row],[kcal_per_100g]]*100 - 1) / 7 * 100)
 ))
)</f>
        <v>0</v>
      </c>
      <c r="AG48" s="18">
        <f>IF(tbl_product_preparations[[#This Row],[kcal_per_100g]]&lt;5,
 0,
 MAX(0,MIN(100,(tbl_product_preparations[[#This Row],[fiber_per_100g]]/8*100)))
)</f>
        <v>100</v>
      </c>
      <c r="AH48" s="18">
        <f>MAX(0,MIN(100,100-(tbl_product_preparations[[#This Row],[sugar_per_100g]]/15*100)))</f>
        <v>93.333333333333329</v>
      </c>
      <c r="AI48" s="18">
        <f>MAX(0,100-(tbl_product_preparations[[#This Row],[alcohol_per_100g]]*50))</f>
        <v>100</v>
      </c>
      <c r="AJ48" s="18">
        <f>ROUND(tbl_product_preparations[[#This Row],[water_percent]],0)</f>
        <v>38</v>
      </c>
      <c r="AK48" s="18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46</v>
      </c>
      <c r="AL48" s="18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38</v>
      </c>
      <c r="AM48" s="18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20</v>
      </c>
      <c r="AN48" s="38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D</v>
      </c>
      <c r="AO48" s="38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D</v>
      </c>
      <c r="AP48" s="38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E</v>
      </c>
      <c r="AQ48" s="18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FRUITS</v>
      </c>
      <c r="AR48" s="18"/>
      <c r="AS48" s="18" t="str">
        <f>INDEX(tbl_products[lose_modifier_group],
MATCH(tbl_product_preparations[[#This Row],[product_key]],
tbl_products[product_key],0))</f>
        <v>FRUIT_WHOLE</v>
      </c>
      <c r="AT48" s="18">
        <f>INDEX(BONUS_MALUS_LOSE[Modifier],
MATCH(tbl_product_preparations[[#This Row],[lose_modifier_group]],
BONUS_MALUS_LOSE[Group],0))</f>
        <v>3</v>
      </c>
      <c r="AU48" s="18" t="str">
        <f>INDEX(tbl_products[maintain_modifier_group],
MATCH(tbl_product_preparations[[#This Row],[product_key]],
tbl_products[product_key],0))</f>
        <v>FRUIT_WHOLE</v>
      </c>
      <c r="AV48" s="18">
        <f>INDEX(BONUS_MALUS_MAINTAIN[Modifier],
MATCH(tbl_product_preparations[[#This Row],[maintain_modifier_group]],
BONUS_MALUS_MAINTAIN[Group],0))</f>
        <v>2</v>
      </c>
      <c r="AW48" s="18" t="str">
        <f>INDEX(tbl_products[gain_modifier_group],
MATCH(tbl_product_preparations[[#This Row],[product_key]],
tbl_products[product_key],0))</f>
        <v>FRUIT_WHOLE</v>
      </c>
      <c r="AX48" s="18">
        <f>INDEX(BONUS_MALUS_GAIN[Modifier],
MATCH(tbl_product_preparations[[#This Row],[gain_modifier_group]],
BONUS_MALUS_GAIN[Group],0))</f>
        <v>1</v>
      </c>
      <c r="AY48" s="18">
        <f>INDEX(PREPARATION_MODIFIERS[lose_preparation_modifier],
MATCH(tbl_product_preparations[[#This Row],[preparation_key]],
PREPARATION_MODIFIERS[preparation_key],0))</f>
        <v>0</v>
      </c>
      <c r="AZ48" s="18">
        <f>INDEX(PREPARATION_MODIFIERS[maintain_preparation_modifier],
MATCH(tbl_product_preparations[[#This Row],[preparation_key]],
PREPARATION_MODIFIERS[preparation_key],0))</f>
        <v>0</v>
      </c>
      <c r="BA48" s="18">
        <f>INDEX(PREPARATION_MODIFIERS[gain_preparation_modifier],
MATCH(tbl_product_preparations[[#This Row],[preparation_key]],
PREPARATION_MODIFIERS[preparation_key],0))</f>
        <v>0</v>
      </c>
    </row>
    <row r="49" spans="1:53" x14ac:dyDescent="0.2">
      <c r="A49" s="31" t="s">
        <v>236</v>
      </c>
      <c r="B49" s="31" t="s">
        <v>115</v>
      </c>
      <c r="C49" s="31" t="s">
        <v>245</v>
      </c>
      <c r="D49" s="31" t="s">
        <v>368</v>
      </c>
      <c r="E49" s="53" t="str">
        <f>IF(tbl_product_preparations[[#This Row],[source_key]]="MANUFACTURER","MANUFACTURER",
IF(tbl_product_preparations[[#This Row],[source_key]]="CALCULATED","CALCULATED",
"REAL"))</f>
        <v>REAL</v>
      </c>
      <c r="F49" s="53" t="str">
        <f>IF(LEFT(tbl_product_preparations[[#This Row],[source_key]],4)="USDA","US","EU")</f>
        <v>US</v>
      </c>
      <c r="G49" s="32">
        <v>0.6</v>
      </c>
      <c r="H49" s="18">
        <f>IF(
   ISNUMBER(tbl_product_preparations[[#This Row],[density_lookup]]),
   ROUND(tbl_product_preparations[[#This Row],[kcal_per_100g]]*tbl_product_preparations[[#This Row],[density_lookup]],1),
   ""
)</f>
        <v>0.6</v>
      </c>
      <c r="I49" s="35">
        <v>0.15</v>
      </c>
      <c r="J49" s="32">
        <v>0</v>
      </c>
      <c r="K49" s="32">
        <v>0</v>
      </c>
      <c r="L49" s="32">
        <v>0</v>
      </c>
      <c r="M49" s="32">
        <v>0</v>
      </c>
      <c r="N49" s="32">
        <v>0</v>
      </c>
      <c r="O49" s="46">
        <f>IF(tbl_product_preparations[[#This Row],[sugar_per_100g]]=0,tbl_product_preparations[[#This Row],[carbs_per_100g]],tbl_product_preparations[[#This Row],[sugar_per_100g]])</f>
        <v>0</v>
      </c>
      <c r="P49" s="36">
        <v>0</v>
      </c>
      <c r="Q49" s="50">
        <f>IF(tbl_product_preparations[[#This Row],[sodium_per_100g]]=0,
tbl_product_preparations[[#This Row],[salt_per_100g]]/2.5,
tbl_product_preparations[[#This Row],[sodium_per_100g]])</f>
        <v>0</v>
      </c>
      <c r="R49" s="24">
        <f>ROUND(tbl_product_preparations[[#This Row],[sodium_per_100g]]*2.5,3)</f>
        <v>0</v>
      </c>
      <c r="S49" s="24">
        <f>IF(tbl_product_preparations[[#This Row],[salt_per_100g]]=0,
tbl_product_preparations[[#This Row],[sodium_per_100g]]*2.5,
tbl_product_preparations[[#This Row],[salt_per_100g]])</f>
        <v>0</v>
      </c>
      <c r="T49" s="35">
        <v>99.4</v>
      </c>
      <c r="U49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LOW_ENERGY</v>
      </c>
      <c r="V49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0.6</v>
      </c>
      <c r="W49" s="19">
        <f>IF(
  tbl_product_preparations[[#This Row],[kcal_per_100g]]=0,
  0,
  ABS(
    (tbl_product_preparations[[#This Row],[kcal_per_100g]]-ROUND(tbl_product_preparations[[#This Row],[kcal_calc]],1))
    /tbl_product_preparations[[#This Row],[kcal_per_100g]]
  )*100
)</f>
        <v>0</v>
      </c>
      <c r="X49" s="19">
        <f>ROUND(tbl_product_preparations[[#This Row],[kcal_calc]],1)</f>
        <v>0.6</v>
      </c>
      <c r="Y49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99.550000000000011</v>
      </c>
      <c r="Z49" s="19" t="str">
        <f>IF(
  tbl_product_preparations[[#This Row],[macro_sum]] &lt;=
  100 + _xlfn.XLOOKUP("WATER_TOTAL_TOLERANCE",tbl_config[config_key],tbl_config[config_value]),
  "OK",
  "ERROR"
)</f>
        <v>OK</v>
      </c>
      <c r="AA49" s="15">
        <f>_xlfn.LET(
   _xlpm.d, _xlfn.XLOOKUP(tbl_product_preparations[[#This Row],[product_key]],tbl_products[product_key],tbl_products[density_g_per_ml]),
   IF(AND(ISNUMBER(_xlpm.d), _xlpm.d&gt;0), _xlpm.d, "")
)</f>
        <v>1</v>
      </c>
      <c r="AB49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>OK</v>
      </c>
      <c r="AC49" s="19" cm="1">
        <f t="array" ref="AC49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99</v>
      </c>
      <c r="AD49" s="19" cm="1">
        <f t="array" ref="AD49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99.25</v>
      </c>
      <c r="AE49" s="19" cm="1">
        <f t="array" ref="AE49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99.5</v>
      </c>
      <c r="AF49" s="19">
        <f>IF(tbl_product_preparations[[#This Row],[kcal_per_100g]]&lt;5,
 0,
 MAX(0,MIN(100,
  ((tbl_product_preparations[[#This Row],[protein_per_100g]]/tbl_product_preparations[[#This Row],[kcal_per_100g]]*100 - 1) / 7 * 100)
 ))
)</f>
        <v>0</v>
      </c>
      <c r="AG49" s="19">
        <f>IF(tbl_product_preparations[[#This Row],[kcal_per_100g]]&lt;5,
 0,
 MAX(0,MIN(100,(tbl_product_preparations[[#This Row],[fiber_per_100g]]/8*100)))
)</f>
        <v>0</v>
      </c>
      <c r="AH49" s="19">
        <f>MAX(0,MIN(100,100-(tbl_product_preparations[[#This Row],[sugar_per_100g]]/15*100)))</f>
        <v>100</v>
      </c>
      <c r="AI49" s="19">
        <f>MAX(0,100-(tbl_product_preparations[[#This Row],[alcohol_per_100g]]*50))</f>
        <v>100</v>
      </c>
      <c r="AJ49" s="19">
        <f>ROUND(tbl_product_preparations[[#This Row],[water_percent]],0)</f>
        <v>99</v>
      </c>
      <c r="AK49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65</v>
      </c>
      <c r="AL49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65</v>
      </c>
      <c r="AM49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55</v>
      </c>
      <c r="AN49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B</v>
      </c>
      <c r="AO49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B</v>
      </c>
      <c r="AP49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C</v>
      </c>
      <c r="AQ49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BEVERAGES</v>
      </c>
      <c r="AR49" s="19"/>
      <c r="AS49" s="19" t="str">
        <f>INDEX(tbl_products[lose_modifier_group],
MATCH(tbl_product_preparations[[#This Row],[product_key]],
tbl_products[product_key],0))</f>
        <v>NEUTRAL</v>
      </c>
      <c r="AT49" s="19">
        <f>INDEX(BONUS_MALUS_LOSE[Modifier],
MATCH(tbl_product_preparations[[#This Row],[lose_modifier_group]],
BONUS_MALUS_LOSE[Group],0))</f>
        <v>0</v>
      </c>
      <c r="AU49" s="19" t="str">
        <f>INDEX(tbl_products[maintain_modifier_group],
MATCH(tbl_product_preparations[[#This Row],[product_key]],
tbl_products[product_key],0))</f>
        <v>NEUTRAL</v>
      </c>
      <c r="AV49" s="19">
        <f>INDEX(BONUS_MALUS_MAINTAIN[Modifier],
MATCH(tbl_product_preparations[[#This Row],[maintain_modifier_group]],
BONUS_MALUS_MAINTAIN[Group],0))</f>
        <v>0</v>
      </c>
      <c r="AW49" s="19" t="str">
        <f>INDEX(tbl_products[gain_modifier_group],
MATCH(tbl_product_preparations[[#This Row],[product_key]],
tbl_products[product_key],0))</f>
        <v>LOW_CAL_DRINK</v>
      </c>
      <c r="AX49" s="19">
        <f>INDEX(BONUS_MALUS_GAIN[Modifier],
MATCH(tbl_product_preparations[[#This Row],[gain_modifier_group]],
BONUS_MALUS_GAIN[Group],0))</f>
        <v>-15</v>
      </c>
      <c r="AY49" s="19">
        <f>INDEX(PREPARATION_MODIFIERS[lose_preparation_modifier],
MATCH(tbl_product_preparations[[#This Row],[preparation_key]],
PREPARATION_MODIFIERS[preparation_key],0))</f>
        <v>0</v>
      </c>
      <c r="AZ49" s="19">
        <f>INDEX(PREPARATION_MODIFIERS[maintain_preparation_modifier],
MATCH(tbl_product_preparations[[#This Row],[preparation_key]],
PREPARATION_MODIFIERS[preparation_key],0))</f>
        <v>0</v>
      </c>
      <c r="BA49" s="19">
        <f>INDEX(PREPARATION_MODIFIERS[gain_preparation_modifier],
MATCH(tbl_product_preparations[[#This Row],[preparation_key]],
PREPARATION_MODIFIERS[preparation_key],0))</f>
        <v>0</v>
      </c>
    </row>
    <row r="50" spans="1:53" x14ac:dyDescent="0.2">
      <c r="A50" s="31" t="s">
        <v>236</v>
      </c>
      <c r="B50" s="31" t="s">
        <v>215</v>
      </c>
      <c r="C50" s="31" t="s">
        <v>176</v>
      </c>
      <c r="D50" s="34" t="s">
        <v>395</v>
      </c>
      <c r="E50" s="53" t="str">
        <f>IF(tbl_product_preparations[[#This Row],[source_key]]="MANUFACTURER","MANUFACTURER",
IF(tbl_product_preparations[[#This Row],[source_key]]="CALCULATED","CALCULATED",
"REAL"))</f>
        <v>CALCULATED</v>
      </c>
      <c r="F50" s="53" t="str">
        <f>IF(LEFT(tbl_product_preparations[[#This Row],[source_key]],4)="USDA","US","EU")</f>
        <v>EU</v>
      </c>
      <c r="G50" s="32">
        <v>4.8</v>
      </c>
      <c r="H50" s="18">
        <f>IF(
   ISNUMBER(tbl_product_preparations[[#This Row],[density_lookup]]),
   ROUND(tbl_product_preparations[[#This Row],[kcal_per_100g]]*tbl_product_preparations[[#This Row],[density_lookup]],1),
   ""
)</f>
        <v>4.8</v>
      </c>
      <c r="I50" s="35">
        <v>0.5</v>
      </c>
      <c r="J50" s="35">
        <v>0.35</v>
      </c>
      <c r="K50" s="35">
        <v>0.15</v>
      </c>
      <c r="L50" s="35">
        <v>0</v>
      </c>
      <c r="M50" s="32">
        <v>0</v>
      </c>
      <c r="N50" s="35">
        <v>0</v>
      </c>
      <c r="O50" s="47">
        <f>IF(tbl_product_preparations[[#This Row],[sugar_per_100g]]=0,tbl_product_preparations[[#This Row],[carbs_per_100g]],tbl_product_preparations[[#This Row],[sugar_per_100g]])</f>
        <v>0.35</v>
      </c>
      <c r="P50" s="37">
        <v>4.0000000000000001E-3</v>
      </c>
      <c r="Q50" s="48">
        <f>IF(tbl_product_preparations[[#This Row],[sodium_per_100g]]=0,
tbl_product_preparations[[#This Row],[salt_per_100g]]/2.5,
tbl_product_preparations[[#This Row],[sodium_per_100g]])</f>
        <v>4.0000000000000001E-3</v>
      </c>
      <c r="R50" s="24">
        <f>ROUND(tbl_product_preparations[[#This Row],[sodium_per_100g]]*2.5,3)</f>
        <v>0.01</v>
      </c>
      <c r="S50" s="24">
        <f>IF(tbl_product_preparations[[#This Row],[salt_per_100g]]=0,
tbl_product_preparations[[#This Row],[sodium_per_100g]]*2.5,
tbl_product_preparations[[#This Row],[salt_per_100g]])</f>
        <v>0.01</v>
      </c>
      <c r="T50" s="35">
        <v>98</v>
      </c>
      <c r="U50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LOW_ENERGY</v>
      </c>
      <c r="V50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4.75</v>
      </c>
      <c r="W50" s="19">
        <f>IF(tbl_product_preparations[[#This Row],[kcal_per_100g]]=0,0,ABS((tbl_product_preparations[[#This Row],[kcal_per_100g]]-tbl_product_preparations[[#This Row],[kcal_calc]])/tbl_product_preparations[[#This Row],[kcal_per_100g]])*100)</f>
        <v>1.041666666666663</v>
      </c>
      <c r="X50" s="19">
        <f>ROUND(tbl_product_preparations[[#This Row],[kcal_calc]],1)</f>
        <v>4.8</v>
      </c>
      <c r="Y50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99.004000000000005</v>
      </c>
      <c r="Z50" s="19" t="str">
        <f>IF(
  tbl_product_preparations[[#This Row],[macro_sum]] &lt;=
  100 + _xlfn.XLOOKUP("WATER_TOTAL_TOLERANCE",tbl_config[config_key],tbl_config[config_value]),
  "OK",
  "ERROR"
)</f>
        <v>OK</v>
      </c>
      <c r="AA50" s="15">
        <f>_xlfn.LET(
   _xlpm.d, _xlfn.XLOOKUP(tbl_product_preparations[[#This Row],[product_key]],tbl_products[product_key],tbl_products[density_g_per_ml]),
   IF(AND(ISNUMBER(_xlpm.d), _xlpm.d&gt;0), _xlpm.d, "")
)</f>
        <v>1</v>
      </c>
      <c r="AB50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>OK</v>
      </c>
      <c r="AC50" s="19" cm="1">
        <f t="array" ref="AC50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92</v>
      </c>
      <c r="AD50" s="19" cm="1">
        <f t="array" ref="AD50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94</v>
      </c>
      <c r="AE50" s="19" cm="1">
        <f t="array" ref="AE50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96</v>
      </c>
      <c r="AF50" s="19">
        <f>IF(tbl_product_preparations[[#This Row],[kcal_per_100g]]&lt;5,
 0,
 MAX(0,MIN(100,
  ((tbl_product_preparations[[#This Row],[protein_per_100g]]/tbl_product_preparations[[#This Row],[kcal_per_100g]]*100 - 1) / 7 * 100)
 ))
)</f>
        <v>0</v>
      </c>
      <c r="AG50" s="19">
        <f>IF(tbl_product_preparations[[#This Row],[kcal_per_100g]]&lt;5,
 0,
 MAX(0,MIN(100,(tbl_product_preparations[[#This Row],[fiber_per_100g]]/8*100)))
)</f>
        <v>0</v>
      </c>
      <c r="AH50" s="19">
        <f>MAX(0,MIN(100,100-(tbl_product_preparations[[#This Row],[sugar_per_100g]]/15*100)))</f>
        <v>100</v>
      </c>
      <c r="AI50" s="19">
        <f>MAX(0,100-(tbl_product_preparations[[#This Row],[alcohol_per_100g]]*50))</f>
        <v>100</v>
      </c>
      <c r="AJ50" s="19">
        <f>ROUND(tbl_product_preparations[[#This Row],[water_percent]],0)</f>
        <v>98</v>
      </c>
      <c r="AK50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62</v>
      </c>
      <c r="AL50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63</v>
      </c>
      <c r="AM50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53</v>
      </c>
      <c r="AN50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C</v>
      </c>
      <c r="AO50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C</v>
      </c>
      <c r="AP50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C</v>
      </c>
      <c r="AQ50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BEVERAGES</v>
      </c>
      <c r="AR50" s="19"/>
      <c r="AS50" s="19" t="str">
        <f>INDEX(tbl_products[lose_modifier_group],
MATCH(tbl_product_preparations[[#This Row],[product_key]],
tbl_products[product_key],0))</f>
        <v>NEUTRAL</v>
      </c>
      <c r="AT50" s="19">
        <f>INDEX(BONUS_MALUS_LOSE[Modifier],
MATCH(tbl_product_preparations[[#This Row],[lose_modifier_group]],
BONUS_MALUS_LOSE[Group],0))</f>
        <v>0</v>
      </c>
      <c r="AU50" s="19" t="str">
        <f>INDEX(tbl_products[maintain_modifier_group],
MATCH(tbl_product_preparations[[#This Row],[product_key]],
tbl_products[product_key],0))</f>
        <v>NEUTRAL</v>
      </c>
      <c r="AV50" s="19">
        <f>INDEX(BONUS_MALUS_MAINTAIN[Modifier],
MATCH(tbl_product_preparations[[#This Row],[maintain_modifier_group]],
BONUS_MALUS_MAINTAIN[Group],0))</f>
        <v>0</v>
      </c>
      <c r="AW50" s="19" t="str">
        <f>INDEX(tbl_products[gain_modifier_group],
MATCH(tbl_product_preparations[[#This Row],[product_key]],
tbl_products[product_key],0))</f>
        <v>LOW_CAL_DRINK</v>
      </c>
      <c r="AX50" s="19">
        <f>INDEX(BONUS_MALUS_GAIN[Modifier],
MATCH(tbl_product_preparations[[#This Row],[gain_modifier_group]],
BONUS_MALUS_GAIN[Group],0))</f>
        <v>-15</v>
      </c>
      <c r="AY50" s="19">
        <f>INDEX(PREPARATION_MODIFIERS[lose_preparation_modifier],
MATCH(tbl_product_preparations[[#This Row],[preparation_key]],
PREPARATION_MODIFIERS[preparation_key],0))</f>
        <v>0</v>
      </c>
      <c r="AZ50" s="19">
        <f>INDEX(PREPARATION_MODIFIERS[maintain_preparation_modifier],
MATCH(tbl_product_preparations[[#This Row],[preparation_key]],
PREPARATION_MODIFIERS[preparation_key],0))</f>
        <v>0</v>
      </c>
      <c r="BA50" s="19">
        <f>INDEX(PREPARATION_MODIFIERS[gain_preparation_modifier],
MATCH(tbl_product_preparations[[#This Row],[preparation_key]],
PREPARATION_MODIFIERS[preparation_key],0))</f>
        <v>0</v>
      </c>
    </row>
    <row r="51" spans="1:53" x14ac:dyDescent="0.2">
      <c r="A51" s="31" t="s">
        <v>236</v>
      </c>
      <c r="B51" s="31" t="s">
        <v>211</v>
      </c>
      <c r="C51" s="31" t="s">
        <v>176</v>
      </c>
      <c r="D51" s="31" t="s">
        <v>396</v>
      </c>
      <c r="E51" s="53" t="str">
        <f>IF(tbl_product_preparations[[#This Row],[source_key]]="MANUFACTURER","MANUFACTURER",
IF(tbl_product_preparations[[#This Row],[source_key]]="CALCULATED","CALCULATED",
"REAL"))</f>
        <v>CALCULATED</v>
      </c>
      <c r="F51" s="53" t="str">
        <f>IF(LEFT(tbl_product_preparations[[#This Row],[source_key]],4)="USDA","US","EU")</f>
        <v>EU</v>
      </c>
      <c r="G51" s="32">
        <v>10</v>
      </c>
      <c r="H51" s="18">
        <f>IF(
   ISNUMBER(tbl_product_preparations[[#This Row],[density_lookup]]),
   ROUND(tbl_product_preparations[[#This Row],[kcal_per_100g]]*tbl_product_preparations[[#This Row],[density_lookup]],1),
   ""
)</f>
        <v>10</v>
      </c>
      <c r="I51" s="35">
        <v>0</v>
      </c>
      <c r="J51" s="35">
        <v>2.5</v>
      </c>
      <c r="K51" s="32">
        <v>0</v>
      </c>
      <c r="L51" s="32">
        <v>0</v>
      </c>
      <c r="M51" s="32">
        <v>0</v>
      </c>
      <c r="N51" s="35">
        <v>2.5</v>
      </c>
      <c r="O51" s="47">
        <f>IF(tbl_product_preparations[[#This Row],[sugar_per_100g]]=0,tbl_product_preparations[[#This Row],[carbs_per_100g]],tbl_product_preparations[[#This Row],[sugar_per_100g]])</f>
        <v>2.5</v>
      </c>
      <c r="P51" s="37">
        <v>0</v>
      </c>
      <c r="Q51" s="48">
        <f>IF(tbl_product_preparations[[#This Row],[sodium_per_100g]]=0,
tbl_product_preparations[[#This Row],[salt_per_100g]]/2.5,
tbl_product_preparations[[#This Row],[sodium_per_100g]])</f>
        <v>0</v>
      </c>
      <c r="R51" s="24">
        <f>ROUND(tbl_product_preparations[[#This Row],[sodium_per_100g]]*2.5,3)</f>
        <v>0</v>
      </c>
      <c r="S51" s="24">
        <f>IF(tbl_product_preparations[[#This Row],[salt_per_100g]]=0,
tbl_product_preparations[[#This Row],[sodium_per_100g]]*2.5,
tbl_product_preparations[[#This Row],[salt_per_100g]])</f>
        <v>0</v>
      </c>
      <c r="T51" s="35">
        <v>97.5</v>
      </c>
      <c r="U51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51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10</v>
      </c>
      <c r="W51" s="19">
        <f>IF(tbl_product_preparations[[#This Row],[kcal_per_100g]]=0,0,ABS((tbl_product_preparations[[#This Row],[kcal_per_100g]]-tbl_product_preparations[[#This Row],[kcal_calc]])/tbl_product_preparations[[#This Row],[kcal_per_100g]])*100)</f>
        <v>0</v>
      </c>
      <c r="X51" s="19">
        <f>ROUND(tbl_product_preparations[[#This Row],[kcal_calc]],1)</f>
        <v>10</v>
      </c>
      <c r="Y51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100</v>
      </c>
      <c r="Z51" s="19" t="str">
        <f>IF(
  tbl_product_preparations[[#This Row],[macro_sum]] &lt;=
  100 + _xlfn.XLOOKUP("WATER_TOTAL_TOLERANCE",tbl_config[config_key],tbl_config[config_value]),
  "OK",
  "ERROR"
)</f>
        <v>OK</v>
      </c>
      <c r="AA51" s="15">
        <f>_xlfn.LET(
   _xlpm.d, _xlfn.XLOOKUP(tbl_product_preparations[[#This Row],[product_key]],tbl_products[product_key],tbl_products[density_g_per_ml]),
   IF(AND(ISNUMBER(_xlpm.d), _xlpm.d&gt;0), _xlpm.d, "")
)</f>
        <v>1</v>
      </c>
      <c r="AB51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>OK</v>
      </c>
      <c r="AC51" s="19" cm="1">
        <f t="array" ref="AC51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83.333333333333343</v>
      </c>
      <c r="AD51" s="19" cm="1">
        <f t="array" ref="AD51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87.5</v>
      </c>
      <c r="AE51" s="19" cm="1">
        <f t="array" ref="AE51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91.666666666666671</v>
      </c>
      <c r="AF51" s="19">
        <f>IF(tbl_product_preparations[[#This Row],[kcal_per_100g]]&lt;5,
 0,
 MAX(0,MIN(100,
  ((tbl_product_preparations[[#This Row],[protein_per_100g]]/tbl_product_preparations[[#This Row],[kcal_per_100g]]*100 - 1) / 7 * 100)
 ))
)</f>
        <v>0</v>
      </c>
      <c r="AG51" s="19">
        <f>IF(tbl_product_preparations[[#This Row],[kcal_per_100g]]&lt;5,
 0,
 MAX(0,MIN(100,(tbl_product_preparations[[#This Row],[fiber_per_100g]]/8*100)))
)</f>
        <v>0</v>
      </c>
      <c r="AH51" s="19">
        <f>MAX(0,MIN(100,100-(tbl_product_preparations[[#This Row],[sugar_per_100g]]/15*100)))</f>
        <v>83.333333333333343</v>
      </c>
      <c r="AI51" s="19">
        <f>MAX(0,100-(tbl_product_preparations[[#This Row],[alcohol_per_100g]]*50))</f>
        <v>100</v>
      </c>
      <c r="AJ51" s="19">
        <f>ROUND(tbl_product_preparations[[#This Row],[water_percent]],0)</f>
        <v>98</v>
      </c>
      <c r="AK51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57</v>
      </c>
      <c r="AL51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59</v>
      </c>
      <c r="AM51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49</v>
      </c>
      <c r="AN51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C</v>
      </c>
      <c r="AO51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C</v>
      </c>
      <c r="AP51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D</v>
      </c>
      <c r="AQ51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BEVERAGES</v>
      </c>
      <c r="AR51" s="19"/>
      <c r="AS51" s="19" t="str">
        <f>INDEX(tbl_products[lose_modifier_group],
MATCH(tbl_product_preparations[[#This Row],[product_key]],
tbl_products[product_key],0))</f>
        <v>NEUTRAL</v>
      </c>
      <c r="AT51" s="19">
        <f>INDEX(BONUS_MALUS_LOSE[Modifier],
MATCH(tbl_product_preparations[[#This Row],[lose_modifier_group]],
BONUS_MALUS_LOSE[Group],0))</f>
        <v>0</v>
      </c>
      <c r="AU51" s="19" t="str">
        <f>INDEX(tbl_products[maintain_modifier_group],
MATCH(tbl_product_preparations[[#This Row],[product_key]],
tbl_products[product_key],0))</f>
        <v>NEUTRAL</v>
      </c>
      <c r="AV51" s="19">
        <f>INDEX(BONUS_MALUS_MAINTAIN[Modifier],
MATCH(tbl_product_preparations[[#This Row],[maintain_modifier_group]],
BONUS_MALUS_MAINTAIN[Group],0))</f>
        <v>0</v>
      </c>
      <c r="AW51" s="19" t="str">
        <f>INDEX(tbl_products[gain_modifier_group],
MATCH(tbl_product_preparations[[#This Row],[product_key]],
tbl_products[product_key],0))</f>
        <v>LOW_CAL_DRINK</v>
      </c>
      <c r="AX51" s="19">
        <f>INDEX(BONUS_MALUS_GAIN[Modifier],
MATCH(tbl_product_preparations[[#This Row],[gain_modifier_group]],
BONUS_MALUS_GAIN[Group],0))</f>
        <v>-15</v>
      </c>
      <c r="AY51" s="19">
        <f>INDEX(PREPARATION_MODIFIERS[lose_preparation_modifier],
MATCH(tbl_product_preparations[[#This Row],[preparation_key]],
PREPARATION_MODIFIERS[preparation_key],0))</f>
        <v>0</v>
      </c>
      <c r="AZ51" s="19">
        <f>INDEX(PREPARATION_MODIFIERS[maintain_preparation_modifier],
MATCH(tbl_product_preparations[[#This Row],[preparation_key]],
PREPARATION_MODIFIERS[preparation_key],0))</f>
        <v>0</v>
      </c>
      <c r="BA51" s="19">
        <f>INDEX(PREPARATION_MODIFIERS[gain_preparation_modifier],
MATCH(tbl_product_preparations[[#This Row],[preparation_key]],
PREPARATION_MODIFIERS[preparation_key],0))</f>
        <v>0</v>
      </c>
    </row>
    <row r="52" spans="1:53" x14ac:dyDescent="0.2">
      <c r="A52" s="31" t="s">
        <v>236</v>
      </c>
      <c r="B52" s="31" t="s">
        <v>217</v>
      </c>
      <c r="C52" s="31" t="s">
        <v>176</v>
      </c>
      <c r="D52" s="34" t="s">
        <v>397</v>
      </c>
      <c r="E52" s="53" t="str">
        <f>IF(tbl_product_preparations[[#This Row],[source_key]]="MANUFACTURER","MANUFACTURER",
IF(tbl_product_preparations[[#This Row],[source_key]]="CALCULATED","CALCULATED",
"REAL"))</f>
        <v>CALCULATED</v>
      </c>
      <c r="F52" s="53" t="str">
        <f>IF(LEFT(tbl_product_preparations[[#This Row],[source_key]],4)="USDA","US","EU")</f>
        <v>EU</v>
      </c>
      <c r="G52" s="32">
        <v>14.8</v>
      </c>
      <c r="H52" s="18">
        <f>IF(
   ISNUMBER(tbl_product_preparations[[#This Row],[density_lookup]]),
   ROUND(tbl_product_preparations[[#This Row],[kcal_per_100g]]*tbl_product_preparations[[#This Row],[density_lookup]],1),
   ""
)</f>
        <v>14.8</v>
      </c>
      <c r="I52" s="35">
        <v>0.5</v>
      </c>
      <c r="J52" s="35">
        <v>2.85</v>
      </c>
      <c r="K52" s="35">
        <v>0.15</v>
      </c>
      <c r="L52" s="35">
        <v>0</v>
      </c>
      <c r="M52" s="32">
        <v>0</v>
      </c>
      <c r="N52" s="35">
        <v>2.5</v>
      </c>
      <c r="O52" s="47">
        <f>IF(tbl_product_preparations[[#This Row],[sugar_per_100g]]=0,tbl_product_preparations[[#This Row],[carbs_per_100g]],tbl_product_preparations[[#This Row],[sugar_per_100g]])</f>
        <v>2.5</v>
      </c>
      <c r="P52" s="37">
        <v>0</v>
      </c>
      <c r="Q52" s="48">
        <f>IF(tbl_product_preparations[[#This Row],[sodium_per_100g]]=0,
tbl_product_preparations[[#This Row],[salt_per_100g]]/2.5,
tbl_product_preparations[[#This Row],[sodium_per_100g]])</f>
        <v>0</v>
      </c>
      <c r="R52" s="24">
        <f>ROUND(tbl_product_preparations[[#This Row],[sodium_per_100g]]*2.5,3)</f>
        <v>0</v>
      </c>
      <c r="S52" s="24">
        <f>IF(tbl_product_preparations[[#This Row],[salt_per_100g]]=0,
tbl_product_preparations[[#This Row],[sodium_per_100g]]*2.5,
tbl_product_preparations[[#This Row],[salt_per_100g]])</f>
        <v>0</v>
      </c>
      <c r="T52" s="35">
        <v>96</v>
      </c>
      <c r="U52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52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14.75</v>
      </c>
      <c r="W52" s="19">
        <f>IF(tbl_product_preparations[[#This Row],[kcal_per_100g]]=0,0,ABS((tbl_product_preparations[[#This Row],[kcal_per_100g]]-tbl_product_preparations[[#This Row],[kcal_calc]])/tbl_product_preparations[[#This Row],[kcal_per_100g]])*100)</f>
        <v>0.3378378378378426</v>
      </c>
      <c r="X52" s="19">
        <f>ROUND(tbl_product_preparations[[#This Row],[kcal_calc]],1)</f>
        <v>14.8</v>
      </c>
      <c r="Y52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99.5</v>
      </c>
      <c r="Z52" s="19" t="str">
        <f>IF(
  tbl_product_preparations[[#This Row],[macro_sum]] &lt;=
  100 + _xlfn.XLOOKUP("WATER_TOTAL_TOLERANCE",tbl_config[config_key],tbl_config[config_value]),
  "OK",
  "ERROR"
)</f>
        <v>OK</v>
      </c>
      <c r="AA52" s="15">
        <f>_xlfn.LET(
   _xlpm.d, _xlfn.XLOOKUP(tbl_product_preparations[[#This Row],[product_key]],tbl_products[product_key],tbl_products[density_g_per_ml]),
   IF(AND(ISNUMBER(_xlpm.d), _xlpm.d&gt;0), _xlpm.d, "")
)</f>
        <v>1</v>
      </c>
      <c r="AB52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>OK</v>
      </c>
      <c r="AC52" s="19" cm="1">
        <f t="array" ref="AC52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75.333333333333329</v>
      </c>
      <c r="AD52" s="19" cm="1">
        <f t="array" ref="AD52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81.5</v>
      </c>
      <c r="AE52" s="19" cm="1">
        <f t="array" ref="AE52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87.666666666666671</v>
      </c>
      <c r="AF52" s="19">
        <f>IF(tbl_product_preparations[[#This Row],[kcal_per_100g]]&lt;5,
 0,
 MAX(0,MIN(100,
  ((tbl_product_preparations[[#This Row],[protein_per_100g]]/tbl_product_preparations[[#This Row],[kcal_per_100g]]*100 - 1) / 7 * 100)
 ))
)</f>
        <v>33.976833976833973</v>
      </c>
      <c r="AG52" s="19">
        <f>IF(tbl_product_preparations[[#This Row],[kcal_per_100g]]&lt;5,
 0,
 MAX(0,MIN(100,(tbl_product_preparations[[#This Row],[fiber_per_100g]]/8*100)))
)</f>
        <v>0</v>
      </c>
      <c r="AH52" s="19">
        <f>MAX(0,MIN(100,100-(tbl_product_preparations[[#This Row],[sugar_per_100g]]/15*100)))</f>
        <v>83.333333333333343</v>
      </c>
      <c r="AI52" s="19">
        <f>MAX(0,100-(tbl_product_preparations[[#This Row],[alcohol_per_100g]]*50))</f>
        <v>100</v>
      </c>
      <c r="AJ52" s="19">
        <f>ROUND(tbl_product_preparations[[#This Row],[water_percent]],0)</f>
        <v>96</v>
      </c>
      <c r="AK52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59</v>
      </c>
      <c r="AL52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63</v>
      </c>
      <c r="AM52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55</v>
      </c>
      <c r="AN52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C</v>
      </c>
      <c r="AO52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C</v>
      </c>
      <c r="AP52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C</v>
      </c>
      <c r="AQ52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BEVERAGES</v>
      </c>
      <c r="AR52" s="19"/>
      <c r="AS52" s="19" t="str">
        <f>INDEX(tbl_products[lose_modifier_group],
MATCH(tbl_product_preparations[[#This Row],[product_key]],
tbl_products[product_key],0))</f>
        <v>NEUTRAL</v>
      </c>
      <c r="AT52" s="19">
        <f>INDEX(BONUS_MALUS_LOSE[Modifier],
MATCH(tbl_product_preparations[[#This Row],[lose_modifier_group]],
BONUS_MALUS_LOSE[Group],0))</f>
        <v>0</v>
      </c>
      <c r="AU52" s="19" t="str">
        <f>INDEX(tbl_products[maintain_modifier_group],
MATCH(tbl_product_preparations[[#This Row],[product_key]],
tbl_products[product_key],0))</f>
        <v>NEUTRAL</v>
      </c>
      <c r="AV52" s="19">
        <f>INDEX(BONUS_MALUS_MAINTAIN[Modifier],
MATCH(tbl_product_preparations[[#This Row],[maintain_modifier_group]],
BONUS_MALUS_MAINTAIN[Group],0))</f>
        <v>0</v>
      </c>
      <c r="AW52" s="19" t="str">
        <f>INDEX(tbl_products[gain_modifier_group],
MATCH(tbl_product_preparations[[#This Row],[product_key]],
tbl_products[product_key],0))</f>
        <v>LOW_CAL_DRINK</v>
      </c>
      <c r="AX52" s="19">
        <f>INDEX(BONUS_MALUS_GAIN[Modifier],
MATCH(tbl_product_preparations[[#This Row],[gain_modifier_group]],
BONUS_MALUS_GAIN[Group],0))</f>
        <v>-15</v>
      </c>
      <c r="AY52" s="19">
        <f>INDEX(PREPARATION_MODIFIERS[lose_preparation_modifier],
MATCH(tbl_product_preparations[[#This Row],[preparation_key]],
PREPARATION_MODIFIERS[preparation_key],0))</f>
        <v>0</v>
      </c>
      <c r="AZ52" s="19">
        <f>INDEX(PREPARATION_MODIFIERS[maintain_preparation_modifier],
MATCH(tbl_product_preparations[[#This Row],[preparation_key]],
PREPARATION_MODIFIERS[preparation_key],0))</f>
        <v>0</v>
      </c>
      <c r="BA52" s="19">
        <f>INDEX(PREPARATION_MODIFIERS[gain_preparation_modifier],
MATCH(tbl_product_preparations[[#This Row],[preparation_key]],
PREPARATION_MODIFIERS[preparation_key],0))</f>
        <v>0</v>
      </c>
    </row>
    <row r="53" spans="1:53" x14ac:dyDescent="0.2">
      <c r="A53" s="31" t="s">
        <v>326</v>
      </c>
      <c r="B53" s="31" t="s">
        <v>115</v>
      </c>
      <c r="C53" s="31" t="s">
        <v>245</v>
      </c>
      <c r="D53" s="31" t="s">
        <v>369</v>
      </c>
      <c r="E53" s="53" t="str">
        <f>IF(tbl_product_preparations[[#This Row],[source_key]]="MANUFACTURER","MANUFACTURER",
IF(tbl_product_preparations[[#This Row],[source_key]]="CALCULATED","CALCULATED",
"REAL"))</f>
        <v>REAL</v>
      </c>
      <c r="F53" s="53" t="str">
        <f>IF(LEFT(tbl_product_preparations[[#This Row],[source_key]],4)="USDA","US","EU")</f>
        <v>US</v>
      </c>
      <c r="G53" s="32">
        <v>42</v>
      </c>
      <c r="H53" s="18">
        <f>IF(
   ISNUMBER(tbl_product_preparations[[#This Row],[density_lookup]]),
   ROUND(tbl_product_preparations[[#This Row],[kcal_per_100g]]*tbl_product_preparations[[#This Row],[density_lookup]],1),
   ""
)</f>
        <v>43.7</v>
      </c>
      <c r="I53" s="35">
        <v>0</v>
      </c>
      <c r="J53" s="35">
        <v>10.4</v>
      </c>
      <c r="K53" s="35">
        <v>0.25</v>
      </c>
      <c r="L53" s="35">
        <v>0</v>
      </c>
      <c r="M53" s="32">
        <v>0</v>
      </c>
      <c r="N53" s="35">
        <v>9.94</v>
      </c>
      <c r="O53" s="47">
        <f>IF(tbl_product_preparations[[#This Row],[sugar_per_100g]]=0,tbl_product_preparations[[#This Row],[carbs_per_100g]],tbl_product_preparations[[#This Row],[sugar_per_100g]])</f>
        <v>9.94</v>
      </c>
      <c r="P53" s="37">
        <v>3.0000000000000001E-3</v>
      </c>
      <c r="Q53" s="48">
        <f>IF(tbl_product_preparations[[#This Row],[sodium_per_100g]]=0,
tbl_product_preparations[[#This Row],[salt_per_100g]]/2.5,
tbl_product_preparations[[#This Row],[sodium_per_100g]])</f>
        <v>3.0000000000000001E-3</v>
      </c>
      <c r="R53" s="24">
        <f>ROUND(tbl_product_preparations[[#This Row],[sodium_per_100g]]*2.5,3)</f>
        <v>8.0000000000000002E-3</v>
      </c>
      <c r="S53" s="24">
        <f>IF(tbl_product_preparations[[#This Row],[salt_per_100g]]=0,
tbl_product_preparations[[#This Row],[sodium_per_100g]]*2.5,
tbl_product_preparations[[#This Row],[salt_per_100g]])</f>
        <v>8.0000000000000002E-3</v>
      </c>
      <c r="T53" s="35">
        <v>89.4</v>
      </c>
      <c r="U53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53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43.85</v>
      </c>
      <c r="W53" s="19">
        <f>IF(tbl_product_preparations[[#This Row],[kcal_per_100g]]=0,0,ABS((tbl_product_preparations[[#This Row],[kcal_per_100g]]-tbl_product_preparations[[#This Row],[kcal_calc]])/tbl_product_preparations[[#This Row],[kcal_per_100g]])*100)</f>
        <v>4.4047619047619078</v>
      </c>
      <c r="X53" s="19">
        <f>ROUND(tbl_product_preparations[[#This Row],[kcal_calc]],1)</f>
        <v>43.9</v>
      </c>
      <c r="Y53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100.05300000000001</v>
      </c>
      <c r="Z53" s="19" t="str">
        <f>IF(
  tbl_product_preparations[[#This Row],[macro_sum]] &lt;=
  100 + _xlfn.XLOOKUP("WATER_TOTAL_TOLERANCE",tbl_config[config_key],tbl_config[config_value]),
  "OK",
  "ERROR"
)</f>
        <v>OK</v>
      </c>
      <c r="AA53" s="15">
        <f>_xlfn.LET(
   _xlpm.d, _xlfn.XLOOKUP(tbl_product_preparations[[#This Row],[product_key]],tbl_products[product_key],tbl_products[density_g_per_ml]),
   IF(AND(ISNUMBER(_xlpm.d), _xlpm.d&gt;0), _xlpm.d, "")
)</f>
        <v>1.04</v>
      </c>
      <c r="AB53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>OK</v>
      </c>
      <c r="AC53" s="19" cm="1">
        <f t="array" ref="AC53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30</v>
      </c>
      <c r="AD53" s="19" cm="1">
        <f t="array" ref="AD53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47.5</v>
      </c>
      <c r="AE53" s="19" cm="1">
        <f t="array" ref="AE53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65</v>
      </c>
      <c r="AF53" s="19">
        <f>IF(tbl_product_preparations[[#This Row],[kcal_per_100g]]&lt;5,
 0,
 MAX(0,MIN(100,
  ((tbl_product_preparations[[#This Row],[protein_per_100g]]/tbl_product_preparations[[#This Row],[kcal_per_100g]]*100 - 1) / 7 * 100)
 ))
)</f>
        <v>0</v>
      </c>
      <c r="AG53" s="19">
        <f>IF(tbl_product_preparations[[#This Row],[kcal_per_100g]]&lt;5,
 0,
 MAX(0,MIN(100,(tbl_product_preparations[[#This Row],[fiber_per_100g]]/8*100)))
)</f>
        <v>0</v>
      </c>
      <c r="AH53" s="19">
        <f>MAX(0,MIN(100,100-(tbl_product_preparations[[#This Row],[sugar_per_100g]]/15*100)))</f>
        <v>33.733333333333334</v>
      </c>
      <c r="AI53" s="19">
        <f>MAX(0,100-(tbl_product_preparations[[#This Row],[alcohol_per_100g]]*50))</f>
        <v>100</v>
      </c>
      <c r="AJ53" s="19">
        <f>ROUND(tbl_product_preparations[[#This Row],[water_percent]],0)</f>
        <v>89</v>
      </c>
      <c r="AK53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18</v>
      </c>
      <c r="AL53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39</v>
      </c>
      <c r="AM53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39</v>
      </c>
      <c r="AN53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E</v>
      </c>
      <c r="AO53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D</v>
      </c>
      <c r="AP53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D</v>
      </c>
      <c r="AQ53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BEVERAGES</v>
      </c>
      <c r="AR53" s="19"/>
      <c r="AS53" s="19" t="str">
        <f>INDEX(tbl_products[lose_modifier_group],
MATCH(tbl_product_preparations[[#This Row],[product_key]],
tbl_products[product_key],0))</f>
        <v>SODA_SUGARY</v>
      </c>
      <c r="AT53" s="19">
        <f>INDEX(BONUS_MALUS_LOSE[Modifier],
MATCH(tbl_product_preparations[[#This Row],[lose_modifier_group]],
BONUS_MALUS_LOSE[Group],0))</f>
        <v>-15</v>
      </c>
      <c r="AU53" s="19" t="str">
        <f>INDEX(tbl_products[maintain_modifier_group],
MATCH(tbl_product_preparations[[#This Row],[product_key]],
tbl_products[product_key],0))</f>
        <v>SODA_SUGARY</v>
      </c>
      <c r="AV53" s="19">
        <f>INDEX(BONUS_MALUS_MAINTAIN[Modifier],
MATCH(tbl_product_preparations[[#This Row],[maintain_modifier_group]],
BONUS_MALUS_MAINTAIN[Group],0))</f>
        <v>-10</v>
      </c>
      <c r="AW53" s="19" t="str">
        <f>INDEX(tbl_products[gain_modifier_group],
MATCH(tbl_product_preparations[[#This Row],[product_key]],
tbl_products[product_key],0))</f>
        <v>SODA_SUGARY</v>
      </c>
      <c r="AX53" s="19">
        <f>INDEX(BONUS_MALUS_GAIN[Modifier],
MATCH(tbl_product_preparations[[#This Row],[gain_modifier_group]],
BONUS_MALUS_GAIN[Group],0))</f>
        <v>-5</v>
      </c>
      <c r="AY53" s="19">
        <f>INDEX(PREPARATION_MODIFIERS[lose_preparation_modifier],
MATCH(tbl_product_preparations[[#This Row],[preparation_key]],
PREPARATION_MODIFIERS[preparation_key],0))</f>
        <v>0</v>
      </c>
      <c r="AZ53" s="19">
        <f>INDEX(PREPARATION_MODIFIERS[maintain_preparation_modifier],
MATCH(tbl_product_preparations[[#This Row],[preparation_key]],
PREPARATION_MODIFIERS[preparation_key],0))</f>
        <v>0</v>
      </c>
      <c r="BA53" s="19">
        <f>INDEX(PREPARATION_MODIFIERS[gain_preparation_modifier],
MATCH(tbl_product_preparations[[#This Row],[preparation_key]],
PREPARATION_MODIFIERS[preparation_key],0))</f>
        <v>0</v>
      </c>
    </row>
    <row r="54" spans="1:53" x14ac:dyDescent="0.2">
      <c r="A54" s="31" t="s">
        <v>336</v>
      </c>
      <c r="B54" s="31" t="s">
        <v>115</v>
      </c>
      <c r="C54" s="31" t="s">
        <v>176</v>
      </c>
      <c r="D54" s="31" t="s">
        <v>337</v>
      </c>
      <c r="E54" s="53" t="str">
        <f>IF(tbl_product_preparations[[#This Row],[source_key]]="MANUFACTURER","MANUFACTURER",
IF(tbl_product_preparations[[#This Row],[source_key]]="CALCULATED","CALCULATED",
"REAL"))</f>
        <v>CALCULATED</v>
      </c>
      <c r="F54" s="53" t="str">
        <f>IF(LEFT(tbl_product_preparations[[#This Row],[source_key]],4)="USDA","US","EU")</f>
        <v>EU</v>
      </c>
      <c r="G54" s="32">
        <v>0.8</v>
      </c>
      <c r="H54" s="18">
        <f>IF(
   ISNUMBER(tbl_product_preparations[[#This Row],[density_lookup]]),
   ROUND(tbl_product_preparations[[#This Row],[kcal_per_100g]]*tbl_product_preparations[[#This Row],[density_lookup]],1),
   ""
)</f>
        <v>0.8</v>
      </c>
      <c r="I54" s="35">
        <v>0</v>
      </c>
      <c r="J54" s="35">
        <v>0.2</v>
      </c>
      <c r="K54" s="35">
        <v>0</v>
      </c>
      <c r="L54" s="35">
        <v>0</v>
      </c>
      <c r="M54" s="32">
        <v>0</v>
      </c>
      <c r="N54" s="35">
        <v>0</v>
      </c>
      <c r="O54" s="47">
        <f>IF(tbl_product_preparations[[#This Row],[sugar_per_100g]]=0,tbl_product_preparations[[#This Row],[carbs_per_100g]],tbl_product_preparations[[#This Row],[sugar_per_100g]])</f>
        <v>0.2</v>
      </c>
      <c r="P54" s="37">
        <v>1.4999999999999999E-2</v>
      </c>
      <c r="Q54" s="48">
        <f>IF(tbl_product_preparations[[#This Row],[sodium_per_100g]]=0,
tbl_product_preparations[[#This Row],[salt_per_100g]]/2.5,
tbl_product_preparations[[#This Row],[sodium_per_100g]])</f>
        <v>1.4999999999999999E-2</v>
      </c>
      <c r="R54" s="24">
        <f>ROUND(tbl_product_preparations[[#This Row],[sodium_per_100g]]*2.5,3)</f>
        <v>3.7999999999999999E-2</v>
      </c>
      <c r="S54" s="24">
        <f>IF(tbl_product_preparations[[#This Row],[salt_per_100g]]=0,
tbl_product_preparations[[#This Row],[sodium_per_100g]]*2.5,
tbl_product_preparations[[#This Row],[salt_per_100g]])</f>
        <v>3.7999999999999999E-2</v>
      </c>
      <c r="T54" s="35">
        <v>99.6</v>
      </c>
      <c r="U54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LOW_ENERGY</v>
      </c>
      <c r="V54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0.8</v>
      </c>
      <c r="W54" s="19">
        <f>IF(tbl_product_preparations[[#This Row],[kcal_per_100g]]=0,0,ABS((tbl_product_preparations[[#This Row],[kcal_per_100g]]-tbl_product_preparations[[#This Row],[kcal_calc]])/tbl_product_preparations[[#This Row],[kcal_per_100g]])*100)</f>
        <v>0</v>
      </c>
      <c r="X54" s="19">
        <f>ROUND(tbl_product_preparations[[#This Row],[kcal_calc]],1)</f>
        <v>0.8</v>
      </c>
      <c r="Y54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99.814999999999998</v>
      </c>
      <c r="Z54" s="19" t="str">
        <f>IF(
  tbl_product_preparations[[#This Row],[macro_sum]] &lt;=
  100 + _xlfn.XLOOKUP("WATER_TOTAL_TOLERANCE",tbl_config[config_key],tbl_config[config_value]),
  "OK",
  "ERROR"
)</f>
        <v>OK</v>
      </c>
      <c r="AA54" s="15">
        <f>_xlfn.LET(
   _xlpm.d, _xlfn.XLOOKUP(tbl_product_preparations[[#This Row],[product_key]],tbl_products[product_key],tbl_products[density_g_per_ml]),
   IF(AND(ISNUMBER(_xlpm.d), _xlpm.d&gt;0), _xlpm.d, "")
)</f>
        <v>1</v>
      </c>
      <c r="AB54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>OK</v>
      </c>
      <c r="AC54" s="19" cm="1">
        <f t="array" ref="AC54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98.666666666666671</v>
      </c>
      <c r="AD54" s="19" cm="1">
        <f t="array" ref="AD54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99</v>
      </c>
      <c r="AE54" s="19" cm="1">
        <f t="array" ref="AE54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99.333333333333329</v>
      </c>
      <c r="AF54" s="19">
        <f>IF(tbl_product_preparations[[#This Row],[kcal_per_100g]]&lt;5,
 0,
 MAX(0,MIN(100,
  ((tbl_product_preparations[[#This Row],[protein_per_100g]]/tbl_product_preparations[[#This Row],[kcal_per_100g]]*100 - 1) / 7 * 100)
 ))
)</f>
        <v>0</v>
      </c>
      <c r="AG54" s="19">
        <f>IF(tbl_product_preparations[[#This Row],[kcal_per_100g]]&lt;5,
 0,
 MAX(0,MIN(100,(tbl_product_preparations[[#This Row],[fiber_per_100g]]/8*100)))
)</f>
        <v>0</v>
      </c>
      <c r="AH54" s="19">
        <f>MAX(0,MIN(100,100-(tbl_product_preparations[[#This Row],[sugar_per_100g]]/15*100)))</f>
        <v>100</v>
      </c>
      <c r="AI54" s="19">
        <f>MAX(0,100-(tbl_product_preparations[[#This Row],[alcohol_per_100g]]*50))</f>
        <v>100</v>
      </c>
      <c r="AJ54" s="19">
        <f>ROUND(tbl_product_preparations[[#This Row],[water_percent]],0)</f>
        <v>100</v>
      </c>
      <c r="AK54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57</v>
      </c>
      <c r="AL54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65</v>
      </c>
      <c r="AM54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55</v>
      </c>
      <c r="AN54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C</v>
      </c>
      <c r="AO54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B</v>
      </c>
      <c r="AP54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C</v>
      </c>
      <c r="AQ54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BEVERAGES</v>
      </c>
      <c r="AR54" s="19"/>
      <c r="AS54" s="19" t="str">
        <f>INDEX(tbl_products[lose_modifier_group],
MATCH(tbl_product_preparations[[#This Row],[product_key]],
tbl_products[product_key],0))</f>
        <v>SODA_ZERO</v>
      </c>
      <c r="AT54" s="19">
        <f>INDEX(BONUS_MALUS_LOSE[Modifier],
MATCH(tbl_product_preparations[[#This Row],[lose_modifier_group]],
BONUS_MALUS_LOSE[Group],0))</f>
        <v>-8</v>
      </c>
      <c r="AU54" s="19" t="str">
        <f>INDEX(tbl_products[maintain_modifier_group],
MATCH(tbl_product_preparations[[#This Row],[product_key]],
tbl_products[product_key],0))</f>
        <v>SODA_ZERO</v>
      </c>
      <c r="AV54" s="19">
        <f>INDEX(BONUS_MALUS_MAINTAIN[Modifier],
MATCH(tbl_product_preparations[[#This Row],[maintain_modifier_group]],
BONUS_MALUS_MAINTAIN[Group],0))</f>
        <v>-4</v>
      </c>
      <c r="AW54" s="19" t="str">
        <f>INDEX(tbl_products[gain_modifier_group],
MATCH(tbl_product_preparations[[#This Row],[product_key]],
tbl_products[product_key],0))</f>
        <v>LOW_CAL_DRINK</v>
      </c>
      <c r="AX54" s="19">
        <f>INDEX(BONUS_MALUS_GAIN[Modifier],
MATCH(tbl_product_preparations[[#This Row],[gain_modifier_group]],
BONUS_MALUS_GAIN[Group],0))</f>
        <v>-15</v>
      </c>
      <c r="AY54" s="19">
        <f>INDEX(PREPARATION_MODIFIERS[lose_preparation_modifier],
MATCH(tbl_product_preparations[[#This Row],[preparation_key]],
PREPARATION_MODIFIERS[preparation_key],0))</f>
        <v>0</v>
      </c>
      <c r="AZ54" s="19">
        <f>INDEX(PREPARATION_MODIFIERS[maintain_preparation_modifier],
MATCH(tbl_product_preparations[[#This Row],[preparation_key]],
PREPARATION_MODIFIERS[preparation_key],0))</f>
        <v>0</v>
      </c>
      <c r="BA54" s="19">
        <f>INDEX(PREPARATION_MODIFIERS[gain_preparation_modifier],
MATCH(tbl_product_preparations[[#This Row],[preparation_key]],
PREPARATION_MODIFIERS[preparation_key],0))</f>
        <v>0</v>
      </c>
    </row>
    <row r="55" spans="1:53" x14ac:dyDescent="0.2">
      <c r="A55" s="31" t="s">
        <v>328</v>
      </c>
      <c r="B55" s="31" t="s">
        <v>115</v>
      </c>
      <c r="C55" s="31" t="s">
        <v>176</v>
      </c>
      <c r="D55" s="31" t="s">
        <v>329</v>
      </c>
      <c r="E55" s="53" t="str">
        <f>IF(tbl_product_preparations[[#This Row],[source_key]]="MANUFACTURER","MANUFACTURER",
IF(tbl_product_preparations[[#This Row],[source_key]]="CALCULATED","CALCULATED",
"REAL"))</f>
        <v>CALCULATED</v>
      </c>
      <c r="F55" s="53" t="str">
        <f>IF(LEFT(tbl_product_preparations[[#This Row],[source_key]],4)="USDA","US","EU")</f>
        <v>EU</v>
      </c>
      <c r="G55" s="32">
        <v>0</v>
      </c>
      <c r="H55" s="18">
        <f>IF(
   ISNUMBER(tbl_product_preparations[[#This Row],[density_lookup]]),
   ROUND(tbl_product_preparations[[#This Row],[kcal_per_100g]]*tbl_product_preparations[[#This Row],[density_lookup]],1),
   ""
)</f>
        <v>0</v>
      </c>
      <c r="I55" s="35">
        <v>0</v>
      </c>
      <c r="J55" s="35">
        <v>0</v>
      </c>
      <c r="K55" s="35">
        <v>0</v>
      </c>
      <c r="L55" s="35">
        <v>0</v>
      </c>
      <c r="M55" s="32">
        <v>0</v>
      </c>
      <c r="N55" s="35">
        <v>0</v>
      </c>
      <c r="O55" s="47">
        <f>IF(tbl_product_preparations[[#This Row],[sugar_per_100g]]=0,tbl_product_preparations[[#This Row],[carbs_per_100g]],tbl_product_preparations[[#This Row],[sugar_per_100g]])</f>
        <v>0</v>
      </c>
      <c r="P55" s="37">
        <v>1.4999999999999999E-2</v>
      </c>
      <c r="Q55" s="48">
        <f>IF(tbl_product_preparations[[#This Row],[sodium_per_100g]]=0,
tbl_product_preparations[[#This Row],[salt_per_100g]]/2.5,
tbl_product_preparations[[#This Row],[sodium_per_100g]])</f>
        <v>1.4999999999999999E-2</v>
      </c>
      <c r="R55" s="24">
        <f>ROUND(tbl_product_preparations[[#This Row],[sodium_per_100g]]*2.5,3)</f>
        <v>3.7999999999999999E-2</v>
      </c>
      <c r="S55" s="24">
        <f>IF(tbl_product_preparations[[#This Row],[salt_per_100g]]=0,
tbl_product_preparations[[#This Row],[sodium_per_100g]]*2.5,
tbl_product_preparations[[#This Row],[salt_per_100g]])</f>
        <v>3.7999999999999999E-2</v>
      </c>
      <c r="T55" s="35">
        <v>99.8</v>
      </c>
      <c r="U55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LOW_ENERGY</v>
      </c>
      <c r="V55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0</v>
      </c>
      <c r="W55" s="19">
        <f>IF(tbl_product_preparations[[#This Row],[kcal_per_100g]]=0,0,ABS((tbl_product_preparations[[#This Row],[kcal_per_100g]]-tbl_product_preparations[[#This Row],[kcal_calc]])/tbl_product_preparations[[#This Row],[kcal_per_100g]])*100)</f>
        <v>0</v>
      </c>
      <c r="X55" s="19">
        <f>ROUND(tbl_product_preparations[[#This Row],[kcal_calc]],1)</f>
        <v>0</v>
      </c>
      <c r="Y55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99.814999999999998</v>
      </c>
      <c r="Z55" s="19" t="str">
        <f>IF(
  tbl_product_preparations[[#This Row],[macro_sum]] &lt;=
  100 + _xlfn.XLOOKUP("WATER_TOTAL_TOLERANCE",tbl_config[config_key],tbl_config[config_value]),
  "OK",
  "ERROR"
)</f>
        <v>OK</v>
      </c>
      <c r="AA55" s="15">
        <f>_xlfn.LET(
   _xlpm.d, _xlfn.XLOOKUP(tbl_product_preparations[[#This Row],[product_key]],tbl_products[product_key],tbl_products[density_g_per_ml]),
   IF(AND(ISNUMBER(_xlpm.d), _xlpm.d&gt;0), _xlpm.d, "")
)</f>
        <v>1.01</v>
      </c>
      <c r="AB55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>OK</v>
      </c>
      <c r="AC55" s="19" cm="1">
        <f t="array" ref="AC55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100</v>
      </c>
      <c r="AD55" s="19" cm="1">
        <f t="array" ref="AD55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100</v>
      </c>
      <c r="AE55" s="19" cm="1">
        <f t="array" ref="AE55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100</v>
      </c>
      <c r="AF55" s="19">
        <f>IF(tbl_product_preparations[[#This Row],[kcal_per_100g]]&lt;5,
 0,
 MAX(0,MIN(100,
  ((tbl_product_preparations[[#This Row],[protein_per_100g]]/tbl_product_preparations[[#This Row],[kcal_per_100g]]*100 - 1) / 7 * 100)
 ))
)</f>
        <v>0</v>
      </c>
      <c r="AG55" s="19">
        <f>IF(tbl_product_preparations[[#This Row],[kcal_per_100g]]&lt;5,
 0,
 MAX(0,MIN(100,(tbl_product_preparations[[#This Row],[fiber_per_100g]]/8*100)))
)</f>
        <v>0</v>
      </c>
      <c r="AH55" s="19">
        <f>MAX(0,MIN(100,100-(tbl_product_preparations[[#This Row],[sugar_per_100g]]/15*100)))</f>
        <v>100</v>
      </c>
      <c r="AI55" s="19">
        <f>MAX(0,100-(tbl_product_preparations[[#This Row],[alcohol_per_100g]]*50))</f>
        <v>100</v>
      </c>
      <c r="AJ55" s="19">
        <f>ROUND(tbl_product_preparations[[#This Row],[water_percent]],0)</f>
        <v>100</v>
      </c>
      <c r="AK55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57</v>
      </c>
      <c r="AL55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65</v>
      </c>
      <c r="AM55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55</v>
      </c>
      <c r="AN55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C</v>
      </c>
      <c r="AO55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B</v>
      </c>
      <c r="AP55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C</v>
      </c>
      <c r="AQ55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BEVERAGES</v>
      </c>
      <c r="AR55" s="19"/>
      <c r="AS55" s="19" t="str">
        <f>INDEX(tbl_products[lose_modifier_group],
MATCH(tbl_product_preparations[[#This Row],[product_key]],
tbl_products[product_key],0))</f>
        <v>SODA_ZERO</v>
      </c>
      <c r="AT55" s="19">
        <f>INDEX(BONUS_MALUS_LOSE[Modifier],
MATCH(tbl_product_preparations[[#This Row],[lose_modifier_group]],
BONUS_MALUS_LOSE[Group],0))</f>
        <v>-8</v>
      </c>
      <c r="AU55" s="19" t="str">
        <f>INDEX(tbl_products[maintain_modifier_group],
MATCH(tbl_product_preparations[[#This Row],[product_key]],
tbl_products[product_key],0))</f>
        <v>SODA_ZERO</v>
      </c>
      <c r="AV55" s="19">
        <f>INDEX(BONUS_MALUS_MAINTAIN[Modifier],
MATCH(tbl_product_preparations[[#This Row],[maintain_modifier_group]],
BONUS_MALUS_MAINTAIN[Group],0))</f>
        <v>-4</v>
      </c>
      <c r="AW55" s="19" t="str">
        <f>INDEX(tbl_products[gain_modifier_group],
MATCH(tbl_product_preparations[[#This Row],[product_key]],
tbl_products[product_key],0))</f>
        <v>LOW_CAL_DRINK</v>
      </c>
      <c r="AX55" s="19">
        <f>INDEX(BONUS_MALUS_GAIN[Modifier],
MATCH(tbl_product_preparations[[#This Row],[gain_modifier_group]],
BONUS_MALUS_GAIN[Group],0))</f>
        <v>-15</v>
      </c>
      <c r="AY55" s="19">
        <f>INDEX(PREPARATION_MODIFIERS[lose_preparation_modifier],
MATCH(tbl_product_preparations[[#This Row],[preparation_key]],
PREPARATION_MODIFIERS[preparation_key],0))</f>
        <v>0</v>
      </c>
      <c r="AZ55" s="19">
        <f>INDEX(PREPARATION_MODIFIERS[maintain_preparation_modifier],
MATCH(tbl_product_preparations[[#This Row],[preparation_key]],
PREPARATION_MODIFIERS[preparation_key],0))</f>
        <v>0</v>
      </c>
      <c r="BA55" s="19">
        <f>INDEX(PREPARATION_MODIFIERS[gain_preparation_modifier],
MATCH(tbl_product_preparations[[#This Row],[preparation_key]],
PREPARATION_MODIFIERS[preparation_key],0))</f>
        <v>0</v>
      </c>
    </row>
    <row r="56" spans="1:53" x14ac:dyDescent="0.2">
      <c r="A56" s="31" t="s">
        <v>490</v>
      </c>
      <c r="B56" s="31" t="s">
        <v>115</v>
      </c>
      <c r="C56" s="31" t="s">
        <v>170</v>
      </c>
      <c r="D56" s="31" t="s">
        <v>523</v>
      </c>
      <c r="E56" s="53" t="str">
        <f>IF(tbl_product_preparations[[#This Row],[source_key]]="MANUFACTURER","MANUFACTURER",
IF(tbl_product_preparations[[#This Row],[source_key]]="CALCULATED","CALCULATED",
"REAL"))</f>
        <v>MANUFACTURER</v>
      </c>
      <c r="F56" s="53" t="str">
        <f>IF(LEFT(tbl_product_preparations[[#This Row],[source_key]],4)="USDA","US","EU")</f>
        <v>EU</v>
      </c>
      <c r="G56" s="32">
        <v>385</v>
      </c>
      <c r="H56" s="18" t="str">
        <f>IF(
   ISNUMBER(tbl_product_preparations[[#This Row],[density_lookup]]),
   ROUND(tbl_product_preparations[[#This Row],[kcal_per_100g]]*tbl_product_preparations[[#This Row],[density_lookup]],1),
   ""
)</f>
        <v/>
      </c>
      <c r="I56" s="35">
        <v>13</v>
      </c>
      <c r="J56" s="35">
        <v>64</v>
      </c>
      <c r="K56" s="35">
        <v>5.9</v>
      </c>
      <c r="L56" s="35">
        <v>0</v>
      </c>
      <c r="M56" s="32">
        <v>12</v>
      </c>
      <c r="N56" s="35">
        <v>3.4</v>
      </c>
      <c r="O56" s="47">
        <f>IF(tbl_product_preparations[[#This Row],[sugar_per_100g]]=0,tbl_product_preparations[[#This Row],[carbs_per_100g]],tbl_product_preparations[[#This Row],[sugar_per_100g]])</f>
        <v>3.4</v>
      </c>
      <c r="P56" s="37">
        <v>0.28000000000000003</v>
      </c>
      <c r="Q56" s="48">
        <f>IF(tbl_product_preparations[[#This Row],[sodium_per_100g]]=0,
tbl_product_preparations[[#This Row],[salt_per_100g]]/2.5,
tbl_product_preparations[[#This Row],[sodium_per_100g]])</f>
        <v>0.28000000000000003</v>
      </c>
      <c r="R56" s="24">
        <f>ROUND(tbl_product_preparations[[#This Row],[sodium_per_100g]]*2.5,3)</f>
        <v>0.7</v>
      </c>
      <c r="S56" s="24">
        <f>IF(tbl_product_preparations[[#This Row],[salt_per_100g]]=0,
tbl_product_preparations[[#This Row],[sodium_per_100g]]*2.5,
tbl_product_preparations[[#This Row],[salt_per_100g]])</f>
        <v>0.7</v>
      </c>
      <c r="T56" s="35">
        <v>0</v>
      </c>
      <c r="U56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56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385.1</v>
      </c>
      <c r="W56" s="19">
        <f>IF(tbl_product_preparations[[#This Row],[kcal_per_100g]]=0,0,ABS((tbl_product_preparations[[#This Row],[kcal_per_100g]]-tbl_product_preparations[[#This Row],[kcal_calc]])/tbl_product_preparations[[#This Row],[kcal_per_100g]])*100)</f>
        <v>2.5974025974031877E-2</v>
      </c>
      <c r="X56" s="19">
        <f>ROUND(tbl_product_preparations[[#This Row],[kcal_calc]],1)</f>
        <v>385.1</v>
      </c>
      <c r="Y56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95.18</v>
      </c>
      <c r="Z56" s="19" t="str">
        <f>IF(
  tbl_product_preparations[[#This Row],[macro_sum]] &lt;=
  100 + _xlfn.XLOOKUP("WATER_TOTAL_TOLERANCE",tbl_config[config_key],tbl_config[config_value]),
  "OK",
  "ERROR"
)</f>
        <v>OK</v>
      </c>
      <c r="AA56" s="15" t="str">
        <f>_xlfn.LET(
   _xlpm.d, _xlfn.XLOOKUP(tbl_product_preparations[[#This Row],[product_key]],tbl_products[product_key],tbl_products[density_g_per_ml]),
   IF(AND(ISNUMBER(_xlpm.d), _xlpm.d&gt;0), _xlpm.d, "")
)</f>
        <v/>
      </c>
      <c r="AB56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56" s="19" cm="1">
        <f t="array" ref="AC56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3.7507921624293719</v>
      </c>
      <c r="AD56" s="19" cm="1">
        <f t="array" ref="AD56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64.019167561379319</v>
      </c>
      <c r="AE56" s="19" cm="1">
        <f t="array" ref="AE56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99.913232109567559</v>
      </c>
      <c r="AF56" s="19">
        <f>IF(tbl_product_preparations[[#This Row],[kcal_per_100g]]&lt;5,
 0,
 MAX(0,MIN(100,
  ((tbl_product_preparations[[#This Row],[protein_per_100g]]/tbl_product_preparations[[#This Row],[kcal_per_100g]]*100 - 1) / 7 * 100)
 ))
)</f>
        <v>33.951762523191093</v>
      </c>
      <c r="AG56" s="19">
        <f>IF(tbl_product_preparations[[#This Row],[kcal_per_100g]]&lt;5,
 0,
 MAX(0,MIN(100,(tbl_product_preparations[[#This Row],[fiber_per_100g]]/8*100)))
)</f>
        <v>100</v>
      </c>
      <c r="AH56" s="19">
        <f>MAX(0,MIN(100,100-(tbl_product_preparations[[#This Row],[sugar_per_100g]]/15*100)))</f>
        <v>77.333333333333343</v>
      </c>
      <c r="AI56" s="19">
        <f>MAX(0,100-(tbl_product_preparations[[#This Row],[alcohol_per_100g]]*50))</f>
        <v>100</v>
      </c>
      <c r="AJ56" s="19">
        <f>ROUND(tbl_product_preparations[[#This Row],[water_percent]],0)</f>
        <v>0</v>
      </c>
      <c r="AK56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44</v>
      </c>
      <c r="AL56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62</v>
      </c>
      <c r="AM56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81</v>
      </c>
      <c r="AN56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D</v>
      </c>
      <c r="AO56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C</v>
      </c>
      <c r="AP56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A</v>
      </c>
      <c r="AQ56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GRAINS</v>
      </c>
      <c r="AR56" s="19"/>
      <c r="AS56" s="19" t="str">
        <f>INDEX(tbl_products[lose_modifier_group],
MATCH(tbl_product_preparations[[#This Row],[product_key]],
tbl_products[product_key],0))</f>
        <v>NEUTRAL</v>
      </c>
      <c r="AT56" s="19">
        <f>INDEX(BONUS_MALUS_LOSE[Modifier],
MATCH(tbl_product_preparations[[#This Row],[lose_modifier_group]],
BONUS_MALUS_LOSE[Group],0))</f>
        <v>0</v>
      </c>
      <c r="AU56" s="19" t="str">
        <f>INDEX(tbl_products[maintain_modifier_group],
MATCH(tbl_product_preparations[[#This Row],[product_key]],
tbl_products[product_key],0))</f>
        <v>NEUTRAL</v>
      </c>
      <c r="AV56" s="19">
        <f>INDEX(BONUS_MALUS_MAINTAIN[Modifier],
MATCH(tbl_product_preparations[[#This Row],[maintain_modifier_group]],
BONUS_MALUS_MAINTAIN[Group],0))</f>
        <v>0</v>
      </c>
      <c r="AW56" s="19" t="str">
        <f>INDEX(tbl_products[gain_modifier_group],
MATCH(tbl_product_preparations[[#This Row],[product_key]],
tbl_products[product_key],0))</f>
        <v>NEUTRAL</v>
      </c>
      <c r="AX56" s="19">
        <f>INDEX(BONUS_MALUS_GAIN[Modifier],
MATCH(tbl_product_preparations[[#This Row],[gain_modifier_group]],
BONUS_MALUS_GAIN[Group],0))</f>
        <v>0</v>
      </c>
      <c r="AY56" s="19">
        <f>INDEX(PREPARATION_MODIFIERS[lose_preparation_modifier],
MATCH(tbl_product_preparations[[#This Row],[preparation_key]],
PREPARATION_MODIFIERS[preparation_key],0))</f>
        <v>0</v>
      </c>
      <c r="AZ56" s="19">
        <f>INDEX(PREPARATION_MODIFIERS[maintain_preparation_modifier],
MATCH(tbl_product_preparations[[#This Row],[preparation_key]],
PREPARATION_MODIFIERS[preparation_key],0))</f>
        <v>0</v>
      </c>
      <c r="BA56" s="19">
        <f>INDEX(PREPARATION_MODIFIERS[gain_preparation_modifier],
MATCH(tbl_product_preparations[[#This Row],[preparation_key]],
PREPARATION_MODIFIERS[preparation_key],0))</f>
        <v>0</v>
      </c>
    </row>
    <row r="57" spans="1:53" x14ac:dyDescent="0.2">
      <c r="A57" s="31" t="s">
        <v>1027</v>
      </c>
      <c r="B57" s="31" t="s">
        <v>363</v>
      </c>
      <c r="C57" s="31" t="s">
        <v>160</v>
      </c>
      <c r="D57" s="31" t="s">
        <v>1045</v>
      </c>
      <c r="E57" s="53" t="str">
        <f>IF(tbl_product_preparations[[#This Row],[source_key]]="MANUFACTURER","MANUFACTURER",
IF(tbl_product_preparations[[#This Row],[source_key]]="CALCULATED","CALCULATED",
"REAL"))</f>
        <v>REAL</v>
      </c>
      <c r="F57" s="53" t="str">
        <f>IF(LEFT(tbl_product_preparations[[#This Row],[source_key]],4)="USDA","US","EU")</f>
        <v>EU</v>
      </c>
      <c r="G57" s="32">
        <v>17</v>
      </c>
      <c r="H57" s="18" t="str">
        <f>IF(
   ISNUMBER(tbl_product_preparations[[#This Row],[density_lookup]]),
   ROUND(tbl_product_preparations[[#This Row],[kcal_per_100g]]*tbl_product_preparations[[#This Row],[density_lookup]],1),
   ""
)</f>
        <v/>
      </c>
      <c r="I57" s="35">
        <v>1</v>
      </c>
      <c r="J57" s="35">
        <v>3</v>
      </c>
      <c r="K57" s="35">
        <v>0</v>
      </c>
      <c r="L57" s="35">
        <v>0</v>
      </c>
      <c r="M57" s="32">
        <v>0.3</v>
      </c>
      <c r="N57" s="35">
        <v>3</v>
      </c>
      <c r="O57" s="47">
        <f>IF(tbl_product_preparations[[#This Row],[sugar_per_100g]]=0,tbl_product_preparations[[#This Row],[carbs_per_100g]],tbl_product_preparations[[#This Row],[sugar_per_100g]])</f>
        <v>3</v>
      </c>
      <c r="P57" s="37">
        <v>5.0000000000000001E-3</v>
      </c>
      <c r="Q57" s="48">
        <f>IF(tbl_product_preparations[[#This Row],[sodium_per_100g]]=0,
tbl_product_preparations[[#This Row],[salt_per_100g]]/2.5,
tbl_product_preparations[[#This Row],[sodium_per_100g]])</f>
        <v>5.0000000000000001E-3</v>
      </c>
      <c r="R57" s="24">
        <f>ROUND(tbl_product_preparations[[#This Row],[sodium_per_100g]]*2.5,3)</f>
        <v>1.2999999999999999E-2</v>
      </c>
      <c r="S57" s="24">
        <f>IF(tbl_product_preparations[[#This Row],[salt_per_100g]]=0,
tbl_product_preparations[[#This Row],[sodium_per_100g]]*2.5,
tbl_product_preparations[[#This Row],[salt_per_100g]])</f>
        <v>1.2999999999999999E-2</v>
      </c>
      <c r="T57" s="35">
        <v>97</v>
      </c>
      <c r="U57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57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16.600000000000001</v>
      </c>
      <c r="W57" s="19">
        <f>IF(tbl_product_preparations[[#This Row],[kcal_per_100g]]=0,0,ABS((tbl_product_preparations[[#This Row],[kcal_per_100g]]-tbl_product_preparations[[#This Row],[kcal_calc]])/tbl_product_preparations[[#This Row],[kcal_per_100g]])*100)</f>
        <v>2.3529411764705799</v>
      </c>
      <c r="X57" s="19">
        <f>ROUND(tbl_product_preparations[[#This Row],[kcal_calc]],1)</f>
        <v>16.600000000000001</v>
      </c>
      <c r="Y57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101.30500000000001</v>
      </c>
      <c r="Z57" s="19" t="str">
        <f>IF(
  tbl_product_preparations[[#This Row],[macro_sum]] &lt;=
  100 + _xlfn.XLOOKUP("WATER_TOTAL_TOLERANCE",tbl_config[config_key],tbl_config[config_value]),
  "OK",
  "ERROR"
)</f>
        <v>OK</v>
      </c>
      <c r="AA57" s="15" t="str">
        <f>_xlfn.LET(
   _xlpm.d, _xlfn.XLOOKUP(tbl_product_preparations[[#This Row],[product_key]],tbl_products[product_key],tbl_products[density_g_per_ml]),
   IF(AND(ISNUMBER(_xlpm.d), _xlpm.d&gt;0), _xlpm.d, "")
)</f>
        <v/>
      </c>
      <c r="AB57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57" s="19" cm="1">
        <f t="array" ref="AC57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80.957164866788688</v>
      </c>
      <c r="AD57" s="19" cm="1">
        <f t="array" ref="AD57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65.494763048588325</v>
      </c>
      <c r="AE57" s="19" cm="1">
        <f t="array" ref="AE57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56.112448482017442</v>
      </c>
      <c r="AF57" s="19">
        <f>IF(tbl_product_preparations[[#This Row],[kcal_per_100g]]&lt;5,
 0,
 MAX(0,MIN(100,
  ((tbl_product_preparations[[#This Row],[protein_per_100g]]/tbl_product_preparations[[#This Row],[kcal_per_100g]]*100 - 1) / 7 * 100)
 ))
)</f>
        <v>69.747899159663859</v>
      </c>
      <c r="AG57" s="19">
        <f>IF(tbl_product_preparations[[#This Row],[kcal_per_100g]]&lt;5,
 0,
 MAX(0,MIN(100,(tbl_product_preparations[[#This Row],[fiber_per_100g]]/8*100)))
)</f>
        <v>3.75</v>
      </c>
      <c r="AH57" s="19">
        <f>MAX(0,MIN(100,100-(tbl_product_preparations[[#This Row],[sugar_per_100g]]/15*100)))</f>
        <v>80</v>
      </c>
      <c r="AI57" s="19">
        <f>MAX(0,100-(tbl_product_preparations[[#This Row],[alcohol_per_100g]]*50))</f>
        <v>100</v>
      </c>
      <c r="AJ57" s="19">
        <f>ROUND(tbl_product_preparations[[#This Row],[water_percent]],0)</f>
        <v>97</v>
      </c>
      <c r="AK57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72</v>
      </c>
      <c r="AL57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65</v>
      </c>
      <c r="AM57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59</v>
      </c>
      <c r="AN57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B</v>
      </c>
      <c r="AO57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B</v>
      </c>
      <c r="AP57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C</v>
      </c>
      <c r="AQ57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VEGETABLES</v>
      </c>
      <c r="AR57" s="19"/>
      <c r="AS57" s="19" t="str">
        <f>INDEX(tbl_products[lose_modifier_group],
MATCH(tbl_product_preparations[[#This Row],[product_key]],
tbl_products[product_key],0))</f>
        <v>VEGETABLES</v>
      </c>
      <c r="AT57" s="19">
        <f>INDEX(BONUS_MALUS_LOSE[Modifier],
MATCH(tbl_product_preparations[[#This Row],[lose_modifier_group]],
BONUS_MALUS_LOSE[Group],0))</f>
        <v>5</v>
      </c>
      <c r="AU57" s="19" t="str">
        <f>INDEX(tbl_products[maintain_modifier_group],
MATCH(tbl_product_preparations[[#This Row],[product_key]],
tbl_products[product_key],0))</f>
        <v>VEGETABLES</v>
      </c>
      <c r="AV57" s="19">
        <f>INDEX(BONUS_MALUS_MAINTAIN[Modifier],
MATCH(tbl_product_preparations[[#This Row],[maintain_modifier_group]],
BONUS_MALUS_MAINTAIN[Group],0))</f>
        <v>3</v>
      </c>
      <c r="AW57" s="19" t="str">
        <f>INDEX(tbl_products[gain_modifier_group],
MATCH(tbl_product_preparations[[#This Row],[product_key]],
tbl_products[product_key],0))</f>
        <v>VEGETABLES</v>
      </c>
      <c r="AX57" s="19">
        <f>INDEX(BONUS_MALUS_GAIN[Modifier],
MATCH(tbl_product_preparations[[#This Row],[gain_modifier_group]],
BONUS_MALUS_GAIN[Group],0))</f>
        <v>-2</v>
      </c>
      <c r="AY57" s="19">
        <f>INDEX(PREPARATION_MODIFIERS[lose_preparation_modifier],
MATCH(tbl_product_preparations[[#This Row],[preparation_key]],
PREPARATION_MODIFIERS[preparation_key],0))</f>
        <v>0</v>
      </c>
      <c r="AZ57" s="19">
        <f>INDEX(PREPARATION_MODIFIERS[maintain_preparation_modifier],
MATCH(tbl_product_preparations[[#This Row],[preparation_key]],
PREPARATION_MODIFIERS[preparation_key],0))</f>
        <v>0</v>
      </c>
      <c r="BA57" s="19">
        <f>INDEX(PREPARATION_MODIFIERS[gain_preparation_modifier],
MATCH(tbl_product_preparations[[#This Row],[preparation_key]],
PREPARATION_MODIFIERS[preparation_key],0))</f>
        <v>0</v>
      </c>
    </row>
    <row r="58" spans="1:53" x14ac:dyDescent="0.2">
      <c r="A58" s="31" t="s">
        <v>1027</v>
      </c>
      <c r="B58" s="31" t="s">
        <v>1033</v>
      </c>
      <c r="C58" s="31" t="s">
        <v>160</v>
      </c>
      <c r="D58" s="31" t="s">
        <v>1046</v>
      </c>
      <c r="E58" s="53" t="str">
        <f>IF(tbl_product_preparations[[#This Row],[source_key]]="MANUFACTURER","MANUFACTURER",
IF(tbl_product_preparations[[#This Row],[source_key]]="CALCULATED","CALCULATED",
"REAL"))</f>
        <v>REAL</v>
      </c>
      <c r="F58" s="53" t="str">
        <f>IF(LEFT(tbl_product_preparations[[#This Row],[source_key]],4)="USDA","US","EU")</f>
        <v>EU</v>
      </c>
      <c r="G58" s="32">
        <v>13</v>
      </c>
      <c r="H58" s="18" t="str">
        <f>IF(
   ISNUMBER(tbl_product_preparations[[#This Row],[density_lookup]]),
   ROUND(tbl_product_preparations[[#This Row],[kcal_per_100g]]*tbl_product_preparations[[#This Row],[density_lookup]],1),
   ""
)</f>
        <v/>
      </c>
      <c r="I58" s="35">
        <v>0.7</v>
      </c>
      <c r="J58" s="35">
        <v>1.3</v>
      </c>
      <c r="K58" s="35">
        <v>0.4</v>
      </c>
      <c r="L58" s="35">
        <v>0</v>
      </c>
      <c r="M58" s="32">
        <v>0.6</v>
      </c>
      <c r="N58" s="35">
        <v>1.3</v>
      </c>
      <c r="O58" s="47">
        <f>IF(tbl_product_preparations[[#This Row],[sugar_per_100g]]=0,tbl_product_preparations[[#This Row],[carbs_per_100g]],tbl_product_preparations[[#This Row],[sugar_per_100g]])</f>
        <v>1.3</v>
      </c>
      <c r="P58" s="37">
        <v>2E-3</v>
      </c>
      <c r="Q58" s="48">
        <f>IF(tbl_product_preparations[[#This Row],[sodium_per_100g]]=0,
tbl_product_preparations[[#This Row],[salt_per_100g]]/2.5,
tbl_product_preparations[[#This Row],[sodium_per_100g]])</f>
        <v>2E-3</v>
      </c>
      <c r="R58" s="24">
        <f>ROUND(tbl_product_preparations[[#This Row],[sodium_per_100g]]*2.5,3)</f>
        <v>5.0000000000000001E-3</v>
      </c>
      <c r="S58" s="24">
        <f>IF(tbl_product_preparations[[#This Row],[salt_per_100g]]=0,
tbl_product_preparations[[#This Row],[sodium_per_100g]]*2.5,
tbl_product_preparations[[#This Row],[salt_per_100g]])</f>
        <v>5.0000000000000001E-3</v>
      </c>
      <c r="T58" s="35">
        <v>96.7</v>
      </c>
      <c r="U58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58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12.799999999999999</v>
      </c>
      <c r="W58" s="19">
        <f>IF(tbl_product_preparations[[#This Row],[kcal_per_100g]]=0,0,ABS((tbl_product_preparations[[#This Row],[kcal_per_100g]]-tbl_product_preparations[[#This Row],[kcal_calc]])/tbl_product_preparations[[#This Row],[kcal_per_100g]])*100)</f>
        <v>1.5384615384615468</v>
      </c>
      <c r="X58" s="19">
        <f>ROUND(tbl_product_preparations[[#This Row],[kcal_calc]],1)</f>
        <v>12.8</v>
      </c>
      <c r="Y58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99.701999999999998</v>
      </c>
      <c r="Z58" s="19" t="str">
        <f>IF(
  tbl_product_preparations[[#This Row],[macro_sum]] &lt;=
  100 + _xlfn.XLOOKUP("WATER_TOTAL_TOLERANCE",tbl_config[config_key],tbl_config[config_value]),
  "OK",
  "ERROR"
)</f>
        <v>OK</v>
      </c>
      <c r="AA58" s="15" t="str">
        <f>_xlfn.LET(
   _xlpm.d, _xlfn.XLOOKUP(tbl_product_preparations[[#This Row],[product_key]],tbl_products[product_key],tbl_products[density_g_per_ml]),
   IF(AND(ISNUMBER(_xlpm.d), _xlpm.d&gt;0), _xlpm.d, "")
)</f>
        <v/>
      </c>
      <c r="AB58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58" s="19" cm="1">
        <f t="array" ref="AC58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69.680477549603481</v>
      </c>
      <c r="AD58" s="19" cm="1">
        <f t="array" ref="AD58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55.810955541668264</v>
      </c>
      <c r="AE58" s="19" cm="1">
        <f t="array" ref="AE58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50.141935103294045</v>
      </c>
      <c r="AF58" s="19">
        <f>IF(tbl_product_preparations[[#This Row],[kcal_per_100g]]&lt;5,
 0,
 MAX(0,MIN(100,
  ((tbl_product_preparations[[#This Row],[protein_per_100g]]/tbl_product_preparations[[#This Row],[kcal_per_100g]]*100 - 1) / 7 * 100)
 ))
)</f>
        <v>62.637362637362628</v>
      </c>
      <c r="AG58" s="19">
        <f>IF(tbl_product_preparations[[#This Row],[kcal_per_100g]]&lt;5,
 0,
 MAX(0,MIN(100,(tbl_product_preparations[[#This Row],[fiber_per_100g]]/8*100)))
)</f>
        <v>7.5</v>
      </c>
      <c r="AH58" s="19">
        <f>MAX(0,MIN(100,100-(tbl_product_preparations[[#This Row],[sugar_per_100g]]/15*100)))</f>
        <v>91.333333333333329</v>
      </c>
      <c r="AI58" s="19">
        <f>MAX(0,100-(tbl_product_preparations[[#This Row],[alcohol_per_100g]]*50))</f>
        <v>100</v>
      </c>
      <c r="AJ58" s="19">
        <f>ROUND(tbl_product_preparations[[#This Row],[water_percent]],0)</f>
        <v>97</v>
      </c>
      <c r="AK58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69</v>
      </c>
      <c r="AL58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62</v>
      </c>
      <c r="AM58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56</v>
      </c>
      <c r="AN58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B</v>
      </c>
      <c r="AO58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C</v>
      </c>
      <c r="AP58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C</v>
      </c>
      <c r="AQ58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VEGETABLES</v>
      </c>
      <c r="AR58" s="19"/>
      <c r="AS58" s="19" t="str">
        <f>INDEX(tbl_products[lose_modifier_group],
MATCH(tbl_product_preparations[[#This Row],[product_key]],
tbl_products[product_key],0))</f>
        <v>VEGETABLES</v>
      </c>
      <c r="AT58" s="19">
        <f>INDEX(BONUS_MALUS_LOSE[Modifier],
MATCH(tbl_product_preparations[[#This Row],[lose_modifier_group]],
BONUS_MALUS_LOSE[Group],0))</f>
        <v>5</v>
      </c>
      <c r="AU58" s="19" t="str">
        <f>INDEX(tbl_products[maintain_modifier_group],
MATCH(tbl_product_preparations[[#This Row],[product_key]],
tbl_products[product_key],0))</f>
        <v>VEGETABLES</v>
      </c>
      <c r="AV58" s="19">
        <f>INDEX(BONUS_MALUS_MAINTAIN[Modifier],
MATCH(tbl_product_preparations[[#This Row],[maintain_modifier_group]],
BONUS_MALUS_MAINTAIN[Group],0))</f>
        <v>3</v>
      </c>
      <c r="AW58" s="19" t="str">
        <f>INDEX(tbl_products[gain_modifier_group],
MATCH(tbl_product_preparations[[#This Row],[product_key]],
tbl_products[product_key],0))</f>
        <v>VEGETABLES</v>
      </c>
      <c r="AX58" s="19">
        <f>INDEX(BONUS_MALUS_GAIN[Modifier],
MATCH(tbl_product_preparations[[#This Row],[gain_modifier_group]],
BONUS_MALUS_GAIN[Group],0))</f>
        <v>-2</v>
      </c>
      <c r="AY58" s="19">
        <f>INDEX(PREPARATION_MODIFIERS[lose_preparation_modifier],
MATCH(tbl_product_preparations[[#This Row],[preparation_key]],
PREPARATION_MODIFIERS[preparation_key],0))</f>
        <v>0</v>
      </c>
      <c r="AZ58" s="19">
        <f>INDEX(PREPARATION_MODIFIERS[maintain_preparation_modifier],
MATCH(tbl_product_preparations[[#This Row],[preparation_key]],
PREPARATION_MODIFIERS[preparation_key],0))</f>
        <v>0</v>
      </c>
      <c r="BA58" s="19">
        <f>INDEX(PREPARATION_MODIFIERS[gain_preparation_modifier],
MATCH(tbl_product_preparations[[#This Row],[preparation_key]],
PREPARATION_MODIFIERS[preparation_key],0))</f>
        <v>0</v>
      </c>
    </row>
    <row r="59" spans="1:53" x14ac:dyDescent="0.2">
      <c r="A59" s="31" t="s">
        <v>1027</v>
      </c>
      <c r="B59" s="31" t="s">
        <v>1035</v>
      </c>
      <c r="C59" s="31" t="s">
        <v>160</v>
      </c>
      <c r="D59" s="31" t="s">
        <v>1047</v>
      </c>
      <c r="E59" s="53" t="str">
        <f>IF(tbl_product_preparations[[#This Row],[source_key]]="MANUFACTURER","MANUFACTURER",
IF(tbl_product_preparations[[#This Row],[source_key]]="CALCULATED","CALCULATED",
"REAL"))</f>
        <v>REAL</v>
      </c>
      <c r="F59" s="53" t="str">
        <f>IF(LEFT(tbl_product_preparations[[#This Row],[source_key]],4)="USDA","US","EU")</f>
        <v>EU</v>
      </c>
      <c r="G59" s="32">
        <v>15</v>
      </c>
      <c r="H59" s="18" t="str">
        <f>IF(
   ISNUMBER(tbl_product_preparations[[#This Row],[density_lookup]]),
   ROUND(tbl_product_preparations[[#This Row],[kcal_per_100g]]*tbl_product_preparations[[#This Row],[density_lookup]],1),
   ""
)</f>
        <v/>
      </c>
      <c r="I59" s="35">
        <v>0.6</v>
      </c>
      <c r="J59" s="35">
        <v>2.5</v>
      </c>
      <c r="K59" s="35">
        <v>0.2</v>
      </c>
      <c r="L59" s="35">
        <v>0</v>
      </c>
      <c r="M59" s="32">
        <v>0.3</v>
      </c>
      <c r="N59" s="35">
        <v>1.7</v>
      </c>
      <c r="O59" s="47">
        <f>IF(tbl_product_preparations[[#This Row],[sugar_per_100g]]=0,tbl_product_preparations[[#This Row],[carbs_per_100g]],tbl_product_preparations[[#This Row],[sugar_per_100g]])</f>
        <v>1.7</v>
      </c>
      <c r="P59" s="37">
        <v>2E-3</v>
      </c>
      <c r="Q59" s="48">
        <f>IF(tbl_product_preparations[[#This Row],[sodium_per_100g]]=0,
tbl_product_preparations[[#This Row],[salt_per_100g]]/2.5,
tbl_product_preparations[[#This Row],[sodium_per_100g]])</f>
        <v>2E-3</v>
      </c>
      <c r="R59" s="24">
        <f>ROUND(tbl_product_preparations[[#This Row],[sodium_per_100g]]*2.5,3)</f>
        <v>5.0000000000000001E-3</v>
      </c>
      <c r="S59" s="24">
        <f>IF(tbl_product_preparations[[#This Row],[salt_per_100g]]=0,
tbl_product_preparations[[#This Row],[sodium_per_100g]]*2.5,
tbl_product_preparations[[#This Row],[salt_per_100g]])</f>
        <v>5.0000000000000001E-3</v>
      </c>
      <c r="T59" s="35">
        <v>96.1</v>
      </c>
      <c r="U59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59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14.8</v>
      </c>
      <c r="W59" s="19">
        <f>IF(tbl_product_preparations[[#This Row],[kcal_per_100g]]=0,0,ABS((tbl_product_preparations[[#This Row],[kcal_per_100g]]-tbl_product_preparations[[#This Row],[kcal_calc]])/tbl_product_preparations[[#This Row],[kcal_per_100g]])*100)</f>
        <v>1.3333333333333286</v>
      </c>
      <c r="X59" s="19">
        <f>ROUND(tbl_product_preparations[[#This Row],[kcal_calc]],1)</f>
        <v>14.8</v>
      </c>
      <c r="Y59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99.701999999999998</v>
      </c>
      <c r="Z59" s="19" t="str">
        <f>IF(
  tbl_product_preparations[[#This Row],[macro_sum]] &lt;=
  100 + _xlfn.XLOOKUP("WATER_TOTAL_TOLERANCE",tbl_config[config_key],tbl_config[config_value]),
  "OK",
  "ERROR"
)</f>
        <v>OK</v>
      </c>
      <c r="AA59" s="15" t="str">
        <f>_xlfn.LET(
   _xlpm.d, _xlfn.XLOOKUP(tbl_product_preparations[[#This Row],[product_key]],tbl_products[product_key],tbl_products[density_g_per_ml]),
   IF(AND(ISNUMBER(_xlpm.d), _xlpm.d&gt;0), _xlpm.d, "")
)</f>
        <v/>
      </c>
      <c r="AB59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59" s="19" cm="1">
        <f t="array" ref="AC59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75.483960198900732</v>
      </c>
      <c r="AD59" s="19" cm="1">
        <f t="array" ref="AD59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60.653065971263345</v>
      </c>
      <c r="AE59" s="19" cm="1">
        <f t="array" ref="AE59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53.109599103534521</v>
      </c>
      <c r="AF59" s="19">
        <f>IF(tbl_product_preparations[[#This Row],[kcal_per_100g]]&lt;5,
 0,
 MAX(0,MIN(100,
  ((tbl_product_preparations[[#This Row],[protein_per_100g]]/tbl_product_preparations[[#This Row],[kcal_per_100g]]*100 - 1) / 7 * 100)
 ))
)</f>
        <v>42.857142857142854</v>
      </c>
      <c r="AG59" s="19">
        <f>IF(tbl_product_preparations[[#This Row],[kcal_per_100g]]&lt;5,
 0,
 MAX(0,MIN(100,(tbl_product_preparations[[#This Row],[fiber_per_100g]]/8*100)))
)</f>
        <v>3.75</v>
      </c>
      <c r="AH59" s="19">
        <f>MAX(0,MIN(100,100-(tbl_product_preparations[[#This Row],[sugar_per_100g]]/15*100)))</f>
        <v>88.666666666666671</v>
      </c>
      <c r="AI59" s="19">
        <f>MAX(0,100-(tbl_product_preparations[[#This Row],[alcohol_per_100g]]*50))</f>
        <v>100</v>
      </c>
      <c r="AJ59" s="19">
        <f>ROUND(tbl_product_preparations[[#This Row],[water_percent]],0)</f>
        <v>96</v>
      </c>
      <c r="AK59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67</v>
      </c>
      <c r="AL59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59</v>
      </c>
      <c r="AM59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52</v>
      </c>
      <c r="AN59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B</v>
      </c>
      <c r="AO59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C</v>
      </c>
      <c r="AP59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C</v>
      </c>
      <c r="AQ59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VEGETABLES</v>
      </c>
      <c r="AR59" s="19"/>
      <c r="AS59" s="19" t="str">
        <f>INDEX(tbl_products[lose_modifier_group],
MATCH(tbl_product_preparations[[#This Row],[product_key]],
tbl_products[product_key],0))</f>
        <v>VEGETABLES</v>
      </c>
      <c r="AT59" s="19">
        <f>INDEX(BONUS_MALUS_LOSE[Modifier],
MATCH(tbl_product_preparations[[#This Row],[lose_modifier_group]],
BONUS_MALUS_LOSE[Group],0))</f>
        <v>5</v>
      </c>
      <c r="AU59" s="19" t="str">
        <f>INDEX(tbl_products[maintain_modifier_group],
MATCH(tbl_product_preparations[[#This Row],[product_key]],
tbl_products[product_key],0))</f>
        <v>VEGETABLES</v>
      </c>
      <c r="AV59" s="19">
        <f>INDEX(BONUS_MALUS_MAINTAIN[Modifier],
MATCH(tbl_product_preparations[[#This Row],[maintain_modifier_group]],
BONUS_MALUS_MAINTAIN[Group],0))</f>
        <v>3</v>
      </c>
      <c r="AW59" s="19" t="str">
        <f>INDEX(tbl_products[gain_modifier_group],
MATCH(tbl_product_preparations[[#This Row],[product_key]],
tbl_products[product_key],0))</f>
        <v>VEGETABLES</v>
      </c>
      <c r="AX59" s="19">
        <f>INDEX(BONUS_MALUS_GAIN[Modifier],
MATCH(tbl_product_preparations[[#This Row],[gain_modifier_group]],
BONUS_MALUS_GAIN[Group],0))</f>
        <v>-2</v>
      </c>
      <c r="AY59" s="19">
        <f>INDEX(PREPARATION_MODIFIERS[lose_preparation_modifier],
MATCH(tbl_product_preparations[[#This Row],[preparation_key]],
PREPARATION_MODIFIERS[preparation_key],0))</f>
        <v>0</v>
      </c>
      <c r="AZ59" s="19">
        <f>INDEX(PREPARATION_MODIFIERS[maintain_preparation_modifier],
MATCH(tbl_product_preparations[[#This Row],[preparation_key]],
PREPARATION_MODIFIERS[preparation_key],0))</f>
        <v>0</v>
      </c>
      <c r="BA59" s="19">
        <f>INDEX(PREPARATION_MODIFIERS[gain_preparation_modifier],
MATCH(tbl_product_preparations[[#This Row],[preparation_key]],
PREPARATION_MODIFIERS[preparation_key],0))</f>
        <v>0</v>
      </c>
    </row>
    <row r="60" spans="1:53" x14ac:dyDescent="0.2">
      <c r="A60" s="31" t="s">
        <v>964</v>
      </c>
      <c r="B60" s="31" t="s">
        <v>952</v>
      </c>
      <c r="C60" s="31" t="s">
        <v>160</v>
      </c>
      <c r="D60" s="31" t="s">
        <v>970</v>
      </c>
      <c r="E60" s="53" t="str">
        <f>IF(tbl_product_preparations[[#This Row],[source_key]]="MANUFACTURER","MANUFACTURER",
IF(tbl_product_preparations[[#This Row],[source_key]]="CALCULATED","CALCULATED",
"REAL"))</f>
        <v>REAL</v>
      </c>
      <c r="F60" s="53" t="str">
        <f>IF(LEFT(tbl_product_preparations[[#This Row],[source_key]],4)="USDA","US","EU")</f>
        <v>EU</v>
      </c>
      <c r="G60" s="32">
        <v>305</v>
      </c>
      <c r="H60" s="18" t="str">
        <f>IF(
   ISNUMBER(tbl_product_preparations[[#This Row],[density_lookup]]),
   ROUND(tbl_product_preparations[[#This Row],[kcal_per_100g]]*tbl_product_preparations[[#This Row],[density_lookup]],1),
   ""
)</f>
        <v/>
      </c>
      <c r="I60" s="35">
        <v>2</v>
      </c>
      <c r="J60" s="35">
        <v>70.5</v>
      </c>
      <c r="K60" s="35">
        <v>0</v>
      </c>
      <c r="L60" s="35">
        <v>0</v>
      </c>
      <c r="M60" s="32">
        <v>7.5</v>
      </c>
      <c r="N60" s="35">
        <v>70.5</v>
      </c>
      <c r="O60" s="47">
        <f>IF(tbl_product_preparations[[#This Row],[sugar_per_100g]]=0,tbl_product_preparations[[#This Row],[carbs_per_100g]],tbl_product_preparations[[#This Row],[sugar_per_100g]])</f>
        <v>70.5</v>
      </c>
      <c r="P60" s="37">
        <v>0.01</v>
      </c>
      <c r="Q60" s="48">
        <f>IF(tbl_product_preparations[[#This Row],[sodium_per_100g]]=0,
tbl_product_preparations[[#This Row],[salt_per_100g]]/2.5,
tbl_product_preparations[[#This Row],[sodium_per_100g]])</f>
        <v>0.01</v>
      </c>
      <c r="R60" s="24">
        <f>ROUND(tbl_product_preparations[[#This Row],[sodium_per_100g]]*2.5,3)</f>
        <v>2.5000000000000001E-2</v>
      </c>
      <c r="S60" s="24">
        <f>IF(tbl_product_preparations[[#This Row],[salt_per_100g]]=0,
tbl_product_preparations[[#This Row],[sodium_per_100g]]*2.5,
tbl_product_preparations[[#This Row],[salt_per_100g]])</f>
        <v>2.5000000000000001E-2</v>
      </c>
      <c r="T60" s="35">
        <v>20</v>
      </c>
      <c r="U60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60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305</v>
      </c>
      <c r="W60" s="19">
        <f>IF(tbl_product_preparations[[#This Row],[kcal_per_100g]]=0,0,ABS((tbl_product_preparations[[#This Row],[kcal_per_100g]]-tbl_product_preparations[[#This Row],[kcal_calc]])/tbl_product_preparations[[#This Row],[kcal_per_100g]])*100)</f>
        <v>0</v>
      </c>
      <c r="X60" s="19">
        <f>ROUND(tbl_product_preparations[[#This Row],[kcal_calc]],1)</f>
        <v>305</v>
      </c>
      <c r="Y60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100.01</v>
      </c>
      <c r="Z60" s="19" t="str">
        <f>IF(
  tbl_product_preparations[[#This Row],[macro_sum]] &lt;=
  100 + _xlfn.XLOOKUP("WATER_TOTAL_TOLERANCE",tbl_config[config_key],tbl_config[config_value]),
  "OK",
  "ERROR"
)</f>
        <v>OK</v>
      </c>
      <c r="AA60" s="15" t="str">
        <f>_xlfn.LET(
   _xlpm.d, _xlfn.XLOOKUP(tbl_product_preparations[[#This Row],[product_key]],tbl_products[product_key],tbl_products[density_g_per_ml]),
   IF(AND(ISNUMBER(_xlpm.d), _xlpm.d&gt;0), _xlpm.d, "")
)</f>
        <v/>
      </c>
      <c r="AB60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60" s="19" cm="1">
        <f t="array" ref="AC60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29.502265617444284</v>
      </c>
      <c r="AD60" s="19" cm="1">
        <f t="array" ref="AD60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85.963276360254227</v>
      </c>
      <c r="AE60" s="19" cm="1">
        <f t="array" ref="AE60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95.599748183309998</v>
      </c>
      <c r="AF60" s="19">
        <f>IF(tbl_product_preparations[[#This Row],[kcal_per_100g]]&lt;5,
 0,
 MAX(0,MIN(100,
  ((tbl_product_preparations[[#This Row],[protein_per_100g]]/tbl_product_preparations[[#This Row],[kcal_per_100g]]*100 - 1) / 7 * 100)
 ))
)</f>
        <v>0</v>
      </c>
      <c r="AG60" s="19">
        <f>IF(tbl_product_preparations[[#This Row],[kcal_per_100g]]&lt;5,
 0,
 MAX(0,MIN(100,(tbl_product_preparations[[#This Row],[fiber_per_100g]]/8*100)))
)</f>
        <v>93.75</v>
      </c>
      <c r="AH60" s="19">
        <f>MAX(0,MIN(100,100-(tbl_product_preparations[[#This Row],[sugar_per_100g]]/15*100)))</f>
        <v>0</v>
      </c>
      <c r="AI60" s="19">
        <f>MAX(0,100-(tbl_product_preparations[[#This Row],[alcohol_per_100g]]*50))</f>
        <v>100</v>
      </c>
      <c r="AJ60" s="19">
        <f>ROUND(tbl_product_preparations[[#This Row],[water_percent]],0)</f>
        <v>20</v>
      </c>
      <c r="AK60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44</v>
      </c>
      <c r="AL60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56</v>
      </c>
      <c r="AM60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63</v>
      </c>
      <c r="AN60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D</v>
      </c>
      <c r="AO60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C</v>
      </c>
      <c r="AP60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C</v>
      </c>
      <c r="AQ60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DRIED_FRUIT</v>
      </c>
      <c r="AR60" s="19" t="s">
        <v>987</v>
      </c>
      <c r="AS60" s="19" t="str">
        <f>INDEX(tbl_products[lose_modifier_group],
MATCH(tbl_product_preparations[[#This Row],[product_key]],
tbl_products[product_key],0))</f>
        <v>FRUIT_WHOLE</v>
      </c>
      <c r="AT60" s="19">
        <f>INDEX(BONUS_MALUS_LOSE[Modifier],
MATCH(tbl_product_preparations[[#This Row],[lose_modifier_group]],
BONUS_MALUS_LOSE[Group],0))</f>
        <v>3</v>
      </c>
      <c r="AU60" s="19" t="str">
        <f>INDEX(tbl_products[maintain_modifier_group],
MATCH(tbl_product_preparations[[#This Row],[product_key]],
tbl_products[product_key],0))</f>
        <v>FRUIT_WHOLE</v>
      </c>
      <c r="AV60" s="19">
        <f>INDEX(BONUS_MALUS_MAINTAIN[Modifier],
MATCH(tbl_product_preparations[[#This Row],[maintain_modifier_group]],
BONUS_MALUS_MAINTAIN[Group],0))</f>
        <v>2</v>
      </c>
      <c r="AW60" s="19" t="str">
        <f>INDEX(tbl_products[gain_modifier_group],
MATCH(tbl_product_preparations[[#This Row],[product_key]],
tbl_products[product_key],0))</f>
        <v>FRUIT_WHOLE</v>
      </c>
      <c r="AX60" s="19">
        <f>INDEX(BONUS_MALUS_GAIN[Modifier],
MATCH(tbl_product_preparations[[#This Row],[gain_modifier_group]],
BONUS_MALUS_GAIN[Group],0))</f>
        <v>1</v>
      </c>
      <c r="AY60" s="19">
        <f>INDEX(PREPARATION_MODIFIERS[lose_preparation_modifier],
MATCH(tbl_product_preparations[[#This Row],[preparation_key]],
PREPARATION_MODIFIERS[preparation_key],0))</f>
        <v>0</v>
      </c>
      <c r="AZ60" s="19">
        <f>INDEX(PREPARATION_MODIFIERS[maintain_preparation_modifier],
MATCH(tbl_product_preparations[[#This Row],[preparation_key]],
PREPARATION_MODIFIERS[preparation_key],0))</f>
        <v>0</v>
      </c>
      <c r="BA60" s="19">
        <f>INDEX(PREPARATION_MODIFIERS[gain_preparation_modifier],
MATCH(tbl_product_preparations[[#This Row],[preparation_key]],
PREPARATION_MODIFIERS[preparation_key],0))</f>
        <v>0</v>
      </c>
    </row>
    <row r="61" spans="1:53" x14ac:dyDescent="0.2">
      <c r="A61" s="31" t="s">
        <v>964</v>
      </c>
      <c r="B61" s="31" t="s">
        <v>950</v>
      </c>
      <c r="C61" s="31" t="s">
        <v>160</v>
      </c>
      <c r="D61" s="31" t="s">
        <v>971</v>
      </c>
      <c r="E61" s="53" t="str">
        <f>IF(tbl_product_preparations[[#This Row],[source_key]]="MANUFACTURER","MANUFACTURER",
IF(tbl_product_preparations[[#This Row],[source_key]]="CALCULATED","CALCULATED",
"REAL"))</f>
        <v>REAL</v>
      </c>
      <c r="F61" s="53" t="str">
        <f>IF(LEFT(tbl_product_preparations[[#This Row],[source_key]],4)="USDA","US","EU")</f>
        <v>EU</v>
      </c>
      <c r="G61" s="32">
        <v>139</v>
      </c>
      <c r="H61" s="18" t="str">
        <f>IF(
   ISNUMBER(tbl_product_preparations[[#This Row],[density_lookup]]),
   ROUND(tbl_product_preparations[[#This Row],[kcal_per_100g]]*tbl_product_preparations[[#This Row],[density_lookup]],1),
   ""
)</f>
        <v/>
      </c>
      <c r="I61" s="35">
        <v>1.5</v>
      </c>
      <c r="J61" s="35">
        <v>31.3</v>
      </c>
      <c r="K61" s="35">
        <v>0.1</v>
      </c>
      <c r="L61" s="35">
        <v>0</v>
      </c>
      <c r="M61" s="32">
        <v>3.6</v>
      </c>
      <c r="N61" s="35">
        <v>31.3</v>
      </c>
      <c r="O61" s="47">
        <f>IF(tbl_product_preparations[[#This Row],[sugar_per_100g]]=0,tbl_product_preparations[[#This Row],[carbs_per_100g]],tbl_product_preparations[[#This Row],[sugar_per_100g]])</f>
        <v>31.3</v>
      </c>
      <c r="P61" s="37">
        <v>7.0000000000000001E-3</v>
      </c>
      <c r="Q61" s="48">
        <f>IF(tbl_product_preparations[[#This Row],[sodium_per_100g]]=0,
tbl_product_preparations[[#This Row],[salt_per_100g]]/2.5,
tbl_product_preparations[[#This Row],[sodium_per_100g]])</f>
        <v>7.0000000000000001E-3</v>
      </c>
      <c r="R61" s="24">
        <f>ROUND(tbl_product_preparations[[#This Row],[sodium_per_100g]]*2.5,3)</f>
        <v>1.7999999999999999E-2</v>
      </c>
      <c r="S61" s="24">
        <f>IF(tbl_product_preparations[[#This Row],[salt_per_100g]]=0,
tbl_product_preparations[[#This Row],[sodium_per_100g]]*2.5,
tbl_product_preparations[[#This Row],[salt_per_100g]])</f>
        <v>1.7999999999999999E-2</v>
      </c>
      <c r="T61" s="35">
        <v>60.7</v>
      </c>
      <c r="U61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61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139.29999999999998</v>
      </c>
      <c r="W61" s="19">
        <f>IF(tbl_product_preparations[[#This Row],[kcal_per_100g]]=0,0,ABS((tbl_product_preparations[[#This Row],[kcal_per_100g]]-tbl_product_preparations[[#This Row],[kcal_calc]])/tbl_product_preparations[[#This Row],[kcal_per_100g]])*100)</f>
        <v>0.21582733812948413</v>
      </c>
      <c r="X61" s="19">
        <f>ROUND(tbl_product_preparations[[#This Row],[kcal_calc]],1)</f>
        <v>139.30000000000001</v>
      </c>
      <c r="Y61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97.206999999999994</v>
      </c>
      <c r="Z61" s="19" t="str">
        <f>IF(
  tbl_product_preparations[[#This Row],[macro_sum]] &lt;=
  100 + _xlfn.XLOOKUP("WATER_TOTAL_TOLERANCE",tbl_config[config_key],tbl_config[config_value]),
  "OK",
  "ERROR"
)</f>
        <v>OK</v>
      </c>
      <c r="AA61" s="15" t="str">
        <f>_xlfn.LET(
   _xlpm.d, _xlfn.XLOOKUP(tbl_product_preparations[[#This Row],[product_key]],tbl_products[product_key],tbl_products[density_g_per_ml]),
   IF(AND(ISNUMBER(_xlpm.d), _xlpm.d&gt;0), _xlpm.d, "")
)</f>
        <v/>
      </c>
      <c r="AB61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61" s="19" cm="1">
        <f t="array" ref="AC61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14.323547765935796</v>
      </c>
      <c r="AD61" s="19" cm="1">
        <f t="array" ref="AD61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42.337110285304945</v>
      </c>
      <c r="AE61" s="19" cm="1">
        <f t="array" ref="AE61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95.109731847710847</v>
      </c>
      <c r="AF61" s="19">
        <f>IF(tbl_product_preparations[[#This Row],[kcal_per_100g]]&lt;5,
 0,
 MAX(0,MIN(100,
  ((tbl_product_preparations[[#This Row],[protein_per_100g]]/tbl_product_preparations[[#This Row],[kcal_per_100g]]*100 - 1) / 7 * 100)
 ))
)</f>
        <v>1.1305241521068852</v>
      </c>
      <c r="AG61" s="19">
        <f>IF(tbl_product_preparations[[#This Row],[kcal_per_100g]]&lt;5,
 0,
 MAX(0,MIN(100,(tbl_product_preparations[[#This Row],[fiber_per_100g]]/8*100)))
)</f>
        <v>45</v>
      </c>
      <c r="AH61" s="19">
        <f>MAX(0,MIN(100,100-(tbl_product_preparations[[#This Row],[sugar_per_100g]]/15*100)))</f>
        <v>0</v>
      </c>
      <c r="AI61" s="19">
        <f>MAX(0,100-(tbl_product_preparations[[#This Row],[alcohol_per_100g]]*50))</f>
        <v>100</v>
      </c>
      <c r="AJ61" s="19">
        <f>ROUND(tbl_product_preparations[[#This Row],[water_percent]],0)</f>
        <v>61</v>
      </c>
      <c r="AK61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33</v>
      </c>
      <c r="AL61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38</v>
      </c>
      <c r="AM61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61</v>
      </c>
      <c r="AN61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E</v>
      </c>
      <c r="AO61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D</v>
      </c>
      <c r="AP61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C</v>
      </c>
      <c r="AQ61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FRUITS</v>
      </c>
      <c r="AR61" s="19"/>
      <c r="AS61" s="19" t="str">
        <f>INDEX(tbl_products[lose_modifier_group],
MATCH(tbl_product_preparations[[#This Row],[product_key]],
tbl_products[product_key],0))</f>
        <v>FRUIT_WHOLE</v>
      </c>
      <c r="AT61" s="19">
        <f>INDEX(BONUS_MALUS_LOSE[Modifier],
MATCH(tbl_product_preparations[[#This Row],[lose_modifier_group]],
BONUS_MALUS_LOSE[Group],0))</f>
        <v>3</v>
      </c>
      <c r="AU61" s="19" t="str">
        <f>INDEX(tbl_products[maintain_modifier_group],
MATCH(tbl_product_preparations[[#This Row],[product_key]],
tbl_products[product_key],0))</f>
        <v>FRUIT_WHOLE</v>
      </c>
      <c r="AV61" s="19">
        <f>INDEX(BONUS_MALUS_MAINTAIN[Modifier],
MATCH(tbl_product_preparations[[#This Row],[maintain_modifier_group]],
BONUS_MALUS_MAINTAIN[Group],0))</f>
        <v>2</v>
      </c>
      <c r="AW61" s="19" t="str">
        <f>INDEX(tbl_products[gain_modifier_group],
MATCH(tbl_product_preparations[[#This Row],[product_key]],
tbl_products[product_key],0))</f>
        <v>FRUIT_WHOLE</v>
      </c>
      <c r="AX61" s="19">
        <f>INDEX(BONUS_MALUS_GAIN[Modifier],
MATCH(tbl_product_preparations[[#This Row],[gain_modifier_group]],
BONUS_MALUS_GAIN[Group],0))</f>
        <v>1</v>
      </c>
      <c r="AY61" s="19">
        <f>INDEX(PREPARATION_MODIFIERS[lose_preparation_modifier],
MATCH(tbl_product_preparations[[#This Row],[preparation_key]],
PREPARATION_MODIFIERS[preparation_key],0))</f>
        <v>0</v>
      </c>
      <c r="AZ61" s="19">
        <f>INDEX(PREPARATION_MODIFIERS[maintain_preparation_modifier],
MATCH(tbl_product_preparations[[#This Row],[preparation_key]],
PREPARATION_MODIFIERS[preparation_key],0))</f>
        <v>0</v>
      </c>
      <c r="BA61" s="19">
        <f>INDEX(PREPARATION_MODIFIERS[gain_preparation_modifier],
MATCH(tbl_product_preparations[[#This Row],[preparation_key]],
PREPARATION_MODIFIERS[preparation_key],0))</f>
        <v>0</v>
      </c>
    </row>
    <row r="62" spans="1:53" x14ac:dyDescent="0.2">
      <c r="A62" s="31" t="s">
        <v>944</v>
      </c>
      <c r="B62" s="31" t="s">
        <v>952</v>
      </c>
      <c r="C62" s="31" t="s">
        <v>160</v>
      </c>
      <c r="D62" s="31" t="s">
        <v>962</v>
      </c>
      <c r="E62" s="53" t="str">
        <f>IF(tbl_product_preparations[[#This Row],[source_key]]="MANUFACTURER","MANUFACTURER",
IF(tbl_product_preparations[[#This Row],[source_key]]="CALCULATED","CALCULATED",
"REAL"))</f>
        <v>REAL</v>
      </c>
      <c r="F62" s="53" t="str">
        <f>IF(LEFT(tbl_product_preparations[[#This Row],[source_key]],4)="USDA","US","EU")</f>
        <v>EU</v>
      </c>
      <c r="G62" s="32">
        <v>259</v>
      </c>
      <c r="H62" s="18" t="str">
        <f>IF(
   ISNUMBER(tbl_product_preparations[[#This Row],[density_lookup]]),
   ROUND(tbl_product_preparations[[#This Row],[kcal_per_100g]]*tbl_product_preparations[[#This Row],[density_lookup]],1),
   ""
)</f>
        <v/>
      </c>
      <c r="I62" s="35">
        <v>3.3</v>
      </c>
      <c r="J62" s="35">
        <v>54.1</v>
      </c>
      <c r="K62" s="35">
        <v>0.9</v>
      </c>
      <c r="L62" s="35">
        <v>0</v>
      </c>
      <c r="M62" s="32">
        <v>9.8000000000000007</v>
      </c>
      <c r="N62" s="35">
        <v>47.9</v>
      </c>
      <c r="O62" s="47">
        <f>IF(tbl_product_preparations[[#This Row],[sugar_per_100g]]=0,tbl_product_preparations[[#This Row],[carbs_per_100g]],tbl_product_preparations[[#This Row],[sugar_per_100g]])</f>
        <v>47.9</v>
      </c>
      <c r="P62" s="37">
        <v>0.01</v>
      </c>
      <c r="Q62" s="48">
        <f>IF(tbl_product_preparations[[#This Row],[sodium_per_100g]]=0,
tbl_product_preparations[[#This Row],[salt_per_100g]]/2.5,
tbl_product_preparations[[#This Row],[sodium_per_100g]])</f>
        <v>0.01</v>
      </c>
      <c r="R62" s="24">
        <f>ROUND(tbl_product_preparations[[#This Row],[sodium_per_100g]]*2.5,3)</f>
        <v>2.5000000000000001E-2</v>
      </c>
      <c r="S62" s="24">
        <f>IF(tbl_product_preparations[[#This Row],[salt_per_100g]]=0,
tbl_product_preparations[[#This Row],[sodium_per_100g]]*2.5,
tbl_product_preparations[[#This Row],[salt_per_100g]])</f>
        <v>2.5000000000000001E-2</v>
      </c>
      <c r="T62" s="35">
        <v>30.1</v>
      </c>
      <c r="U62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62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257.3</v>
      </c>
      <c r="W62" s="19">
        <f>IF(tbl_product_preparations[[#This Row],[kcal_per_100g]]=0,0,ABS((tbl_product_preparations[[#This Row],[kcal_per_100g]]-tbl_product_preparations[[#This Row],[kcal_calc]])/tbl_product_preparations[[#This Row],[kcal_per_100g]])*100)</f>
        <v>0.65637065637065195</v>
      </c>
      <c r="X62" s="19">
        <f>ROUND(tbl_product_preparations[[#This Row],[kcal_calc]],1)</f>
        <v>257.3</v>
      </c>
      <c r="Y62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98.210000000000008</v>
      </c>
      <c r="Z62" s="19" t="str">
        <f>IF(
  tbl_product_preparations[[#This Row],[macro_sum]] &lt;=
  100 + _xlfn.XLOOKUP("WATER_TOTAL_TOLERANCE",tbl_config[config_key],tbl_config[config_value]),
  "OK",
  "ERROR"
)</f>
        <v>OK</v>
      </c>
      <c r="AA62" s="15" t="str">
        <f>_xlfn.LET(
   _xlpm.d, _xlfn.XLOOKUP(tbl_product_preparations[[#This Row],[product_key]],tbl_products[product_key],tbl_products[density_g_per_ml]),
   IF(AND(ISNUMBER(_xlpm.d), _xlpm.d&gt;0), _xlpm.d, "")
)</f>
        <v/>
      </c>
      <c r="AB62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62" s="19" cm="1">
        <f t="array" ref="AC62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61.411189685762622</v>
      </c>
      <c r="AD62" s="19" cm="1">
        <f t="array" ref="AD62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99.595819018951346</v>
      </c>
      <c r="AE62" s="19" cm="1">
        <f t="array" ref="AE62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83.191731656977922</v>
      </c>
      <c r="AF62" s="19">
        <f>IF(tbl_product_preparations[[#This Row],[kcal_per_100g]]&lt;5,
 0,
 MAX(0,MIN(100,
  ((tbl_product_preparations[[#This Row],[protein_per_100g]]/tbl_product_preparations[[#This Row],[kcal_per_100g]]*100 - 1) / 7 * 100)
 ))
)</f>
        <v>3.9161610590182008</v>
      </c>
      <c r="AG62" s="19">
        <f>IF(tbl_product_preparations[[#This Row],[kcal_per_100g]]&lt;5,
 0,
 MAX(0,MIN(100,(tbl_product_preparations[[#This Row],[fiber_per_100g]]/8*100)))
)</f>
        <v>100</v>
      </c>
      <c r="AH62" s="19">
        <f>MAX(0,MIN(100,100-(tbl_product_preparations[[#This Row],[sugar_per_100g]]/15*100)))</f>
        <v>0</v>
      </c>
      <c r="AI62" s="19">
        <f>MAX(0,100-(tbl_product_preparations[[#This Row],[alcohol_per_100g]]*50))</f>
        <v>100</v>
      </c>
      <c r="AJ62" s="19">
        <f>ROUND(tbl_product_preparations[[#This Row],[water_percent]],0)</f>
        <v>30</v>
      </c>
      <c r="AK62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58</v>
      </c>
      <c r="AL62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64</v>
      </c>
      <c r="AM62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58</v>
      </c>
      <c r="AN62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C</v>
      </c>
      <c r="AO62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C</v>
      </c>
      <c r="AP62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C</v>
      </c>
      <c r="AQ62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DRIED_FRUIT</v>
      </c>
      <c r="AR62" s="19" t="s">
        <v>987</v>
      </c>
      <c r="AS62" s="19" t="str">
        <f>INDEX(tbl_products[lose_modifier_group],
MATCH(tbl_product_preparations[[#This Row],[product_key]],
tbl_products[product_key],0))</f>
        <v>FRUIT_WHOLE</v>
      </c>
      <c r="AT62" s="19">
        <f>INDEX(BONUS_MALUS_LOSE[Modifier],
MATCH(tbl_product_preparations[[#This Row],[lose_modifier_group]],
BONUS_MALUS_LOSE[Group],0))</f>
        <v>3</v>
      </c>
      <c r="AU62" s="19" t="str">
        <f>INDEX(tbl_products[maintain_modifier_group],
MATCH(tbl_product_preparations[[#This Row],[product_key]],
tbl_products[product_key],0))</f>
        <v>FRUIT_WHOLE</v>
      </c>
      <c r="AV62" s="19">
        <f>INDEX(BONUS_MALUS_MAINTAIN[Modifier],
MATCH(tbl_product_preparations[[#This Row],[maintain_modifier_group]],
BONUS_MALUS_MAINTAIN[Group],0))</f>
        <v>2</v>
      </c>
      <c r="AW62" s="19" t="str">
        <f>INDEX(tbl_products[gain_modifier_group],
MATCH(tbl_product_preparations[[#This Row],[product_key]],
tbl_products[product_key],0))</f>
        <v>FRUIT_WHOLE</v>
      </c>
      <c r="AX62" s="19">
        <f>INDEX(BONUS_MALUS_GAIN[Modifier],
MATCH(tbl_product_preparations[[#This Row],[gain_modifier_group]],
BONUS_MALUS_GAIN[Group],0))</f>
        <v>1</v>
      </c>
      <c r="AY62" s="19">
        <f>INDEX(PREPARATION_MODIFIERS[lose_preparation_modifier],
MATCH(tbl_product_preparations[[#This Row],[preparation_key]],
PREPARATION_MODIFIERS[preparation_key],0))</f>
        <v>0</v>
      </c>
      <c r="AZ62" s="19">
        <f>INDEX(PREPARATION_MODIFIERS[maintain_preparation_modifier],
MATCH(tbl_product_preparations[[#This Row],[preparation_key]],
PREPARATION_MODIFIERS[preparation_key],0))</f>
        <v>0</v>
      </c>
      <c r="BA62" s="19">
        <f>INDEX(PREPARATION_MODIFIERS[gain_preparation_modifier],
MATCH(tbl_product_preparations[[#This Row],[preparation_key]],
PREPARATION_MODIFIERS[preparation_key],0))</f>
        <v>0</v>
      </c>
    </row>
    <row r="63" spans="1:53" x14ac:dyDescent="0.2">
      <c r="A63" s="31" t="s">
        <v>944</v>
      </c>
      <c r="B63" s="31" t="s">
        <v>950</v>
      </c>
      <c r="C63" s="31" t="s">
        <v>160</v>
      </c>
      <c r="D63" s="31" t="s">
        <v>963</v>
      </c>
      <c r="E63" s="53" t="str">
        <f>IF(tbl_product_preparations[[#This Row],[source_key]]="MANUFACTURER","MANUFACTURER",
IF(tbl_product_preparations[[#This Row],[source_key]]="CALCULATED","CALCULATED",
"REAL"))</f>
        <v>REAL</v>
      </c>
      <c r="F63" s="53" t="str">
        <f>IF(LEFT(tbl_product_preparations[[#This Row],[source_key]],4)="USDA","US","EU")</f>
        <v>EU</v>
      </c>
      <c r="G63" s="32">
        <v>84</v>
      </c>
      <c r="H63" s="18" t="str">
        <f>IF(
   ISNUMBER(tbl_product_preparations[[#This Row],[density_lookup]]),
   ROUND(tbl_product_preparations[[#This Row],[kcal_per_100g]]*tbl_product_preparations[[#This Row],[density_lookup]],1),
   ""
)</f>
        <v/>
      </c>
      <c r="I63" s="35">
        <v>1</v>
      </c>
      <c r="J63" s="35">
        <v>19</v>
      </c>
      <c r="K63" s="35">
        <v>0</v>
      </c>
      <c r="L63" s="35">
        <v>0</v>
      </c>
      <c r="M63" s="32">
        <v>2</v>
      </c>
      <c r="N63" s="35">
        <v>19</v>
      </c>
      <c r="O63" s="47">
        <f>IF(tbl_product_preparations[[#This Row],[sugar_per_100g]]=0,tbl_product_preparations[[#This Row],[carbs_per_100g]],tbl_product_preparations[[#This Row],[sugar_per_100g]])</f>
        <v>19</v>
      </c>
      <c r="P63" s="37">
        <v>1E-3</v>
      </c>
      <c r="Q63" s="48">
        <f>IF(tbl_product_preparations[[#This Row],[sodium_per_100g]]=0,
tbl_product_preparations[[#This Row],[salt_per_100g]]/2.5,
tbl_product_preparations[[#This Row],[sodium_per_100g]])</f>
        <v>1E-3</v>
      </c>
      <c r="R63" s="24">
        <f>ROUND(tbl_product_preparations[[#This Row],[sodium_per_100g]]*2.5,3)</f>
        <v>3.0000000000000001E-3</v>
      </c>
      <c r="S63" s="24">
        <f>IF(tbl_product_preparations[[#This Row],[salt_per_100g]]=0,
tbl_product_preparations[[#This Row],[sodium_per_100g]]*2.5,
tbl_product_preparations[[#This Row],[salt_per_100g]])</f>
        <v>3.0000000000000001E-3</v>
      </c>
      <c r="T63" s="35">
        <v>80</v>
      </c>
      <c r="U63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63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84</v>
      </c>
      <c r="W63" s="19">
        <f>IF(tbl_product_preparations[[#This Row],[kcal_per_100g]]=0,0,ABS((tbl_product_preparations[[#This Row],[kcal_per_100g]]-tbl_product_preparations[[#This Row],[kcal_calc]])/tbl_product_preparations[[#This Row],[kcal_per_100g]])*100)</f>
        <v>0</v>
      </c>
      <c r="X63" s="19">
        <f>ROUND(tbl_product_preparations[[#This Row],[kcal_calc]],1)</f>
        <v>84</v>
      </c>
      <c r="Y63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102.001</v>
      </c>
      <c r="Z63" s="19" t="str">
        <f>IF(
  tbl_product_preparations[[#This Row],[macro_sum]] &lt;=
  100 + _xlfn.XLOOKUP("WATER_TOTAL_TOLERANCE",tbl_config[config_key],tbl_config[config_value]),
  "OK",
  "ERROR"
)</f>
        <v>ERROR</v>
      </c>
      <c r="AA63" s="15" t="str">
        <f>_xlfn.LET(
   _xlpm.d, _xlfn.XLOOKUP(tbl_product_preparations[[#This Row],[product_key]],tbl_products[product_key],tbl_products[density_g_per_ml]),
   IF(AND(ISNUMBER(_xlpm.d), _xlpm.d&gt;0), _xlpm.d, "")
)</f>
        <v/>
      </c>
      <c r="AB63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63" s="19" cm="1">
        <f t="array" ref="AC63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92.311634638663577</v>
      </c>
      <c r="AD63" s="19" cm="1">
        <f t="array" ref="AD63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99.605717613819095</v>
      </c>
      <c r="AE63" s="19" cm="1">
        <f t="array" ref="AE63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83.527021141127193</v>
      </c>
      <c r="AF63" s="19">
        <f>IF(tbl_product_preparations[[#This Row],[kcal_per_100g]]&lt;5,
 0,
 MAX(0,MIN(100,
  ((tbl_product_preparations[[#This Row],[protein_per_100g]]/tbl_product_preparations[[#This Row],[kcal_per_100g]]*100 - 1) / 7 * 100)
 ))
)</f>
        <v>2.7210884353741496</v>
      </c>
      <c r="AG63" s="19">
        <f>IF(tbl_product_preparations[[#This Row],[kcal_per_100g]]&lt;5,
 0,
 MAX(0,MIN(100,(tbl_product_preparations[[#This Row],[fiber_per_100g]]/8*100)))
)</f>
        <v>25</v>
      </c>
      <c r="AH63" s="19">
        <f>MAX(0,MIN(100,100-(tbl_product_preparations[[#This Row],[sugar_per_100g]]/15*100)))</f>
        <v>0</v>
      </c>
      <c r="AI63" s="19">
        <f>MAX(0,100-(tbl_product_preparations[[#This Row],[alcohol_per_100g]]*50))</f>
        <v>100</v>
      </c>
      <c r="AJ63" s="19">
        <f>ROUND(tbl_product_preparations[[#This Row],[water_percent]],0)</f>
        <v>80</v>
      </c>
      <c r="AK63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59</v>
      </c>
      <c r="AL63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57</v>
      </c>
      <c r="AM63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54</v>
      </c>
      <c r="AN63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C</v>
      </c>
      <c r="AO63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C</v>
      </c>
      <c r="AP63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C</v>
      </c>
      <c r="AQ63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FRUITS</v>
      </c>
      <c r="AR63" s="19"/>
      <c r="AS63" s="19" t="str">
        <f>INDEX(tbl_products[lose_modifier_group],
MATCH(tbl_product_preparations[[#This Row],[product_key]],
tbl_products[product_key],0))</f>
        <v>FRUIT_WHOLE</v>
      </c>
      <c r="AT63" s="19">
        <f>INDEX(BONUS_MALUS_LOSE[Modifier],
MATCH(tbl_product_preparations[[#This Row],[lose_modifier_group]],
BONUS_MALUS_LOSE[Group],0))</f>
        <v>3</v>
      </c>
      <c r="AU63" s="19" t="str">
        <f>INDEX(tbl_products[maintain_modifier_group],
MATCH(tbl_product_preparations[[#This Row],[product_key]],
tbl_products[product_key],0))</f>
        <v>FRUIT_WHOLE</v>
      </c>
      <c r="AV63" s="19">
        <f>INDEX(BONUS_MALUS_MAINTAIN[Modifier],
MATCH(tbl_product_preparations[[#This Row],[maintain_modifier_group]],
BONUS_MALUS_MAINTAIN[Group],0))</f>
        <v>2</v>
      </c>
      <c r="AW63" s="19" t="str">
        <f>INDEX(tbl_products[gain_modifier_group],
MATCH(tbl_product_preparations[[#This Row],[product_key]],
tbl_products[product_key],0))</f>
        <v>FRUIT_WHOLE</v>
      </c>
      <c r="AX63" s="19">
        <f>INDEX(BONUS_MALUS_GAIN[Modifier],
MATCH(tbl_product_preparations[[#This Row],[gain_modifier_group]],
BONUS_MALUS_GAIN[Group],0))</f>
        <v>1</v>
      </c>
      <c r="AY63" s="19">
        <f>INDEX(PREPARATION_MODIFIERS[lose_preparation_modifier],
MATCH(tbl_product_preparations[[#This Row],[preparation_key]],
PREPARATION_MODIFIERS[preparation_key],0))</f>
        <v>0</v>
      </c>
      <c r="AZ63" s="19">
        <f>INDEX(PREPARATION_MODIFIERS[maintain_preparation_modifier],
MATCH(tbl_product_preparations[[#This Row],[preparation_key]],
PREPARATION_MODIFIERS[preparation_key],0))</f>
        <v>0</v>
      </c>
      <c r="BA63" s="19">
        <f>INDEX(PREPARATION_MODIFIERS[gain_preparation_modifier],
MATCH(tbl_product_preparations[[#This Row],[preparation_key]],
PREPARATION_MODIFIERS[preparation_key],0))</f>
        <v>0</v>
      </c>
    </row>
    <row r="64" spans="1:53" x14ac:dyDescent="0.2">
      <c r="A64" s="31" t="s">
        <v>920</v>
      </c>
      <c r="B64" s="31" t="s">
        <v>115</v>
      </c>
      <c r="C64" s="31" t="s">
        <v>160</v>
      </c>
      <c r="D64" s="31" t="s">
        <v>924</v>
      </c>
      <c r="E64" s="53" t="str">
        <f>IF(tbl_product_preparations[[#This Row],[source_key]]="MANUFACTURER","MANUFACTURER",
IF(tbl_product_preparations[[#This Row],[source_key]]="CALCULATED","CALCULATED",
"REAL"))</f>
        <v>REAL</v>
      </c>
      <c r="F64" s="53" t="str">
        <f>IF(LEFT(tbl_product_preparations[[#This Row],[source_key]],4)="USDA","US","EU")</f>
        <v>EU</v>
      </c>
      <c r="G64" s="32">
        <v>37</v>
      </c>
      <c r="H64" s="18" t="str">
        <f>IF(
   ISNUMBER(tbl_product_preparations[[#This Row],[density_lookup]]),
   ROUND(tbl_product_preparations[[#This Row],[kcal_per_100g]]*tbl_product_preparations[[#This Row],[density_lookup]],1),
   ""
)</f>
        <v/>
      </c>
      <c r="I64" s="35">
        <v>0.9</v>
      </c>
      <c r="J64" s="35">
        <v>6.6</v>
      </c>
      <c r="K64" s="35">
        <v>0</v>
      </c>
      <c r="L64" s="35">
        <v>0</v>
      </c>
      <c r="M64" s="32">
        <v>1.4</v>
      </c>
      <c r="N64" s="35">
        <v>6.6</v>
      </c>
      <c r="O64" s="47">
        <f>IF(tbl_product_preparations[[#This Row],[sugar_per_100g]]=0,tbl_product_preparations[[#This Row],[carbs_per_100g]],tbl_product_preparations[[#This Row],[sugar_per_100g]])</f>
        <v>6.6</v>
      </c>
      <c r="P64" s="37">
        <v>1E-3</v>
      </c>
      <c r="Q64" s="48">
        <f>IF(tbl_product_preparations[[#This Row],[sodium_per_100g]]=0,
tbl_product_preparations[[#This Row],[salt_per_100g]]/2.5,
tbl_product_preparations[[#This Row],[sodium_per_100g]])</f>
        <v>1E-3</v>
      </c>
      <c r="R64" s="24">
        <f>ROUND(tbl_product_preparations[[#This Row],[sodium_per_100g]]*2.5,3)</f>
        <v>3.0000000000000001E-3</v>
      </c>
      <c r="S64" s="24">
        <f>IF(tbl_product_preparations[[#This Row],[salt_per_100g]]=0,
tbl_product_preparations[[#This Row],[sodium_per_100g]]*2.5,
tbl_product_preparations[[#This Row],[salt_per_100g]])</f>
        <v>3.0000000000000001E-3</v>
      </c>
      <c r="T64" s="35">
        <v>90.2</v>
      </c>
      <c r="U64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64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32.799999999999997</v>
      </c>
      <c r="W64" s="19">
        <f>IF(tbl_product_preparations[[#This Row],[kcal_per_100g]]=0,0,ABS((tbl_product_preparations[[#This Row],[kcal_per_100g]]-tbl_product_preparations[[#This Row],[kcal_calc]])/tbl_product_preparations[[#This Row],[kcal_per_100g]])*100)</f>
        <v>11.35135135135136</v>
      </c>
      <c r="X64" s="19">
        <f>ROUND(tbl_product_preparations[[#This Row],[kcal_calc]],1)</f>
        <v>32.799999999999997</v>
      </c>
      <c r="Y64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99.100999999999999</v>
      </c>
      <c r="Z64" s="19" t="str">
        <f>IF(
  tbl_product_preparations[[#This Row],[macro_sum]] &lt;=
  100 + _xlfn.XLOOKUP("WATER_TOTAL_TOLERANCE",tbl_config[config_key],tbl_config[config_value]),
  "OK",
  "ERROR"
)</f>
        <v>OK</v>
      </c>
      <c r="AA64" s="15" t="str">
        <f>_xlfn.LET(
   _xlpm.d, _xlfn.XLOOKUP(tbl_product_preparations[[#This Row],[product_key]],tbl_products[product_key],tbl_products[density_g_per_ml]),
   IF(AND(ISNUMBER(_xlpm.d), _xlpm.d&gt;0), _xlpm.d, "")
)</f>
        <v/>
      </c>
      <c r="AB64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64" s="19" cm="1">
        <f t="array" ref="AC64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64.115131061365474</v>
      </c>
      <c r="AD64" s="19" cm="1">
        <f t="array" ref="AD64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63.346963665735068</v>
      </c>
      <c r="AE64" s="19" cm="1">
        <f t="array" ref="AE64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38.411797171992866</v>
      </c>
      <c r="AF64" s="19">
        <f>IF(tbl_product_preparations[[#This Row],[kcal_per_100g]]&lt;5,
 0,
 MAX(0,MIN(100,
  ((tbl_product_preparations[[#This Row],[protein_per_100g]]/tbl_product_preparations[[#This Row],[kcal_per_100g]]*100 - 1) / 7 * 100)
 ))
)</f>
        <v>20.463320463320464</v>
      </c>
      <c r="AG64" s="19">
        <f>IF(tbl_product_preparations[[#This Row],[kcal_per_100g]]&lt;5,
 0,
 MAX(0,MIN(100,(tbl_product_preparations[[#This Row],[fiber_per_100g]]/8*100)))
)</f>
        <v>17.5</v>
      </c>
      <c r="AH64" s="19">
        <f>MAX(0,MIN(100,100-(tbl_product_preparations[[#This Row],[sugar_per_100g]]/15*100)))</f>
        <v>56</v>
      </c>
      <c r="AI64" s="19">
        <f>MAX(0,100-(tbl_product_preparations[[#This Row],[alcohol_per_100g]]*50))</f>
        <v>100</v>
      </c>
      <c r="AJ64" s="19">
        <f>ROUND(tbl_product_preparations[[#This Row],[water_percent]],0)</f>
        <v>90</v>
      </c>
      <c r="AK64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57</v>
      </c>
      <c r="AL64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53</v>
      </c>
      <c r="AM64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39</v>
      </c>
      <c r="AN64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C</v>
      </c>
      <c r="AO64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C</v>
      </c>
      <c r="AP64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D</v>
      </c>
      <c r="AQ64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FRUITS</v>
      </c>
      <c r="AR64" s="19"/>
      <c r="AS64" s="19" t="str">
        <f>INDEX(tbl_products[lose_modifier_group],
MATCH(tbl_product_preparations[[#This Row],[product_key]],
tbl_products[product_key],0))</f>
        <v>FRUIT_WHOLE</v>
      </c>
      <c r="AT64" s="19">
        <f>INDEX(BONUS_MALUS_LOSE[Modifier],
MATCH(tbl_product_preparations[[#This Row],[lose_modifier_group]],
BONUS_MALUS_LOSE[Group],0))</f>
        <v>3</v>
      </c>
      <c r="AU64" s="19" t="str">
        <f>INDEX(tbl_products[maintain_modifier_group],
MATCH(tbl_product_preparations[[#This Row],[product_key]],
tbl_products[product_key],0))</f>
        <v>FRUIT_WHOLE</v>
      </c>
      <c r="AV64" s="19">
        <f>INDEX(BONUS_MALUS_MAINTAIN[Modifier],
MATCH(tbl_product_preparations[[#This Row],[maintain_modifier_group]],
BONUS_MALUS_MAINTAIN[Group],0))</f>
        <v>2</v>
      </c>
      <c r="AW64" s="19" t="str">
        <f>INDEX(tbl_products[gain_modifier_group],
MATCH(tbl_product_preparations[[#This Row],[product_key]],
tbl_products[product_key],0))</f>
        <v>FRUIT_WHOLE</v>
      </c>
      <c r="AX64" s="19">
        <f>INDEX(BONUS_MALUS_GAIN[Modifier],
MATCH(tbl_product_preparations[[#This Row],[gain_modifier_group]],
BONUS_MALUS_GAIN[Group],0))</f>
        <v>1</v>
      </c>
      <c r="AY64" s="19">
        <f>INDEX(PREPARATION_MODIFIERS[lose_preparation_modifier],
MATCH(tbl_product_preparations[[#This Row],[preparation_key]],
PREPARATION_MODIFIERS[preparation_key],0))</f>
        <v>0</v>
      </c>
      <c r="AZ64" s="19">
        <f>INDEX(PREPARATION_MODIFIERS[maintain_preparation_modifier],
MATCH(tbl_product_preparations[[#This Row],[preparation_key]],
PREPARATION_MODIFIERS[preparation_key],0))</f>
        <v>0</v>
      </c>
      <c r="BA64" s="19">
        <f>INDEX(PREPARATION_MODIFIERS[gain_preparation_modifier],
MATCH(tbl_product_preparations[[#This Row],[preparation_key]],
PREPARATION_MODIFIERS[preparation_key],0))</f>
        <v>0</v>
      </c>
    </row>
    <row r="65" spans="1:53" x14ac:dyDescent="0.2">
      <c r="A65" s="31" t="s">
        <v>634</v>
      </c>
      <c r="B65" s="31" t="s">
        <v>115</v>
      </c>
      <c r="C65" s="31" t="s">
        <v>160</v>
      </c>
      <c r="D65" s="31" t="s">
        <v>652</v>
      </c>
      <c r="E65" s="53" t="str">
        <f>IF(tbl_product_preparations[[#This Row],[source_key]]="MANUFACTURER","MANUFACTURER",
IF(tbl_product_preparations[[#This Row],[source_key]]="CALCULATED","CALCULATED",
"REAL"))</f>
        <v>REAL</v>
      </c>
      <c r="F65" s="53" t="str">
        <f>IF(LEFT(tbl_product_preparations[[#This Row],[source_key]],4)="USDA","US","EU")</f>
        <v>EU</v>
      </c>
      <c r="G65" s="32">
        <v>78</v>
      </c>
      <c r="H65" s="18" t="str">
        <f>IF(
   ISNUMBER(tbl_product_preparations[[#This Row],[density_lookup]]),
   ROUND(tbl_product_preparations[[#This Row],[kcal_per_100g]]*tbl_product_preparations[[#This Row],[density_lookup]],1),
   ""
)</f>
        <v/>
      </c>
      <c r="I65" s="35">
        <v>0.6</v>
      </c>
      <c r="J65" s="35">
        <v>16.8</v>
      </c>
      <c r="K65" s="35">
        <v>0.2</v>
      </c>
      <c r="L65" s="35">
        <v>0</v>
      </c>
      <c r="M65" s="32">
        <v>1.8</v>
      </c>
      <c r="N65" s="35">
        <v>16.3</v>
      </c>
      <c r="O65" s="47">
        <f>IF(tbl_product_preparations[[#This Row],[sugar_per_100g]]=0,tbl_product_preparations[[#This Row],[carbs_per_100g]],tbl_product_preparations[[#This Row],[sugar_per_100g]])</f>
        <v>16.3</v>
      </c>
      <c r="P65" s="37">
        <v>3.0000000000000001E-3</v>
      </c>
      <c r="Q65" s="48">
        <f>IF(tbl_product_preparations[[#This Row],[sodium_per_100g]]=0,
tbl_product_preparations[[#This Row],[salt_per_100g]]/2.5,
tbl_product_preparations[[#This Row],[sodium_per_100g]])</f>
        <v>3.0000000000000001E-3</v>
      </c>
      <c r="R65" s="24">
        <f>ROUND(tbl_product_preparations[[#This Row],[sodium_per_100g]]*2.5,3)</f>
        <v>8.0000000000000002E-3</v>
      </c>
      <c r="S65" s="24">
        <f>IF(tbl_product_preparations[[#This Row],[salt_per_100g]]=0,
tbl_product_preparations[[#This Row],[sodium_per_100g]]*2.5,
tbl_product_preparations[[#This Row],[salt_per_100g]])</f>
        <v>8.0000000000000002E-3</v>
      </c>
      <c r="T65" s="35">
        <v>80.3</v>
      </c>
      <c r="U65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65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75</v>
      </c>
      <c r="W65" s="19">
        <f>IF(tbl_product_preparations[[#This Row],[kcal_per_100g]]=0,0,ABS((tbl_product_preparations[[#This Row],[kcal_per_100g]]-tbl_product_preparations[[#This Row],[kcal_calc]])/tbl_product_preparations[[#This Row],[kcal_per_100g]])*100)</f>
        <v>3.8461538461538463</v>
      </c>
      <c r="X65" s="19">
        <f>ROUND(tbl_product_preparations[[#This Row],[kcal_calc]],1)</f>
        <v>75</v>
      </c>
      <c r="Y65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99.703000000000003</v>
      </c>
      <c r="Z65" s="19" t="str">
        <f>IF(
  tbl_product_preparations[[#This Row],[macro_sum]] &lt;=
  100 + _xlfn.XLOOKUP("WATER_TOTAL_TOLERANCE",tbl_config[config_key],tbl_config[config_value]),
  "OK",
  "ERROR"
)</f>
        <v>OK</v>
      </c>
      <c r="AA65" s="15" t="str">
        <f>_xlfn.LET(
   _xlpm.d, _xlfn.XLOOKUP(tbl_product_preparations[[#This Row],[product_key]],tbl_products[product_key],tbl_products[density_g_per_ml]),
   IF(AND(ISNUMBER(_xlpm.d), _xlpm.d&gt;0), _xlpm.d, "")
)</f>
        <v/>
      </c>
      <c r="AB65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65" s="19" cm="1">
        <f t="array" ref="AC65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97.421579057541777</v>
      </c>
      <c r="AD65" s="19" cm="1">
        <f t="array" ref="AD65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99.901283324901115</v>
      </c>
      <c r="AE65" s="19" cm="1">
        <f t="array" ref="AE65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78.270453824186816</v>
      </c>
      <c r="AF65" s="19">
        <f>IF(tbl_product_preparations[[#This Row],[kcal_per_100g]]&lt;5,
 0,
 MAX(0,MIN(100,
  ((tbl_product_preparations[[#This Row],[protein_per_100g]]/tbl_product_preparations[[#This Row],[kcal_per_100g]]*100 - 1) / 7 * 100)
 ))
)</f>
        <v>0</v>
      </c>
      <c r="AG65" s="19">
        <f>IF(tbl_product_preparations[[#This Row],[kcal_per_100g]]&lt;5,
 0,
 MAX(0,MIN(100,(tbl_product_preparations[[#This Row],[fiber_per_100g]]/8*100)))
)</f>
        <v>22.5</v>
      </c>
      <c r="AH65" s="19">
        <f>MAX(0,MIN(100,100-(tbl_product_preparations[[#This Row],[sugar_per_100g]]/15*100)))</f>
        <v>0</v>
      </c>
      <c r="AI65" s="19">
        <f>MAX(0,100-(tbl_product_preparations[[#This Row],[alcohol_per_100g]]*50))</f>
        <v>100</v>
      </c>
      <c r="AJ65" s="19">
        <f>ROUND(tbl_product_preparations[[#This Row],[water_percent]],0)</f>
        <v>80</v>
      </c>
      <c r="AK65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60</v>
      </c>
      <c r="AL65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56</v>
      </c>
      <c r="AM65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50</v>
      </c>
      <c r="AN65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C</v>
      </c>
      <c r="AO65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C</v>
      </c>
      <c r="AP65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C</v>
      </c>
      <c r="AQ65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FRUITS</v>
      </c>
      <c r="AR65" s="19"/>
      <c r="AS65" s="19" t="str">
        <f>INDEX(tbl_products[lose_modifier_group],
MATCH(tbl_product_preparations[[#This Row],[product_key]],
tbl_products[product_key],0))</f>
        <v>FRUIT_WHOLE</v>
      </c>
      <c r="AT65" s="19">
        <f>INDEX(BONUS_MALUS_LOSE[Modifier],
MATCH(tbl_product_preparations[[#This Row],[lose_modifier_group]],
BONUS_MALUS_LOSE[Group],0))</f>
        <v>3</v>
      </c>
      <c r="AU65" s="19" t="str">
        <f>INDEX(tbl_products[maintain_modifier_group],
MATCH(tbl_product_preparations[[#This Row],[product_key]],
tbl_products[product_key],0))</f>
        <v>FRUIT_WHOLE</v>
      </c>
      <c r="AV65" s="19">
        <f>INDEX(BONUS_MALUS_MAINTAIN[Modifier],
MATCH(tbl_product_preparations[[#This Row],[maintain_modifier_group]],
BONUS_MALUS_MAINTAIN[Group],0))</f>
        <v>2</v>
      </c>
      <c r="AW65" s="19" t="str">
        <f>INDEX(tbl_products[gain_modifier_group],
MATCH(tbl_product_preparations[[#This Row],[product_key]],
tbl_products[product_key],0))</f>
        <v>FRUIT_WHOLE</v>
      </c>
      <c r="AX65" s="19">
        <f>INDEX(BONUS_MALUS_GAIN[Modifier],
MATCH(tbl_product_preparations[[#This Row],[gain_modifier_group]],
BONUS_MALUS_GAIN[Group],0))</f>
        <v>1</v>
      </c>
      <c r="AY65" s="19">
        <f>INDEX(PREPARATION_MODIFIERS[lose_preparation_modifier],
MATCH(tbl_product_preparations[[#This Row],[preparation_key]],
PREPARATION_MODIFIERS[preparation_key],0))</f>
        <v>0</v>
      </c>
      <c r="AZ65" s="19">
        <f>INDEX(PREPARATION_MODIFIERS[maintain_preparation_modifier],
MATCH(tbl_product_preparations[[#This Row],[preparation_key]],
PREPARATION_MODIFIERS[preparation_key],0))</f>
        <v>0</v>
      </c>
      <c r="BA65" s="19">
        <f>INDEX(PREPARATION_MODIFIERS[gain_preparation_modifier],
MATCH(tbl_product_preparations[[#This Row],[preparation_key]],
PREPARATION_MODIFIERS[preparation_key],0))</f>
        <v>0</v>
      </c>
    </row>
    <row r="66" spans="1:53" x14ac:dyDescent="0.2">
      <c r="A66" s="31" t="s">
        <v>636</v>
      </c>
      <c r="B66" s="31" t="s">
        <v>115</v>
      </c>
      <c r="C66" s="31" t="s">
        <v>160</v>
      </c>
      <c r="D66" s="31" t="s">
        <v>653</v>
      </c>
      <c r="E66" s="53" t="str">
        <f>IF(tbl_product_preparations[[#This Row],[source_key]]="MANUFACTURER","MANUFACTURER",
IF(tbl_product_preparations[[#This Row],[source_key]]="CALCULATED","CALCULATED",
"REAL"))</f>
        <v>REAL</v>
      </c>
      <c r="F66" s="53" t="str">
        <f>IF(LEFT(tbl_product_preparations[[#This Row],[source_key]],4)="USDA","US","EU")</f>
        <v>EU</v>
      </c>
      <c r="G66" s="32">
        <v>75</v>
      </c>
      <c r="H66" s="18" t="str">
        <f>IF(
   ISNUMBER(tbl_product_preparations[[#This Row],[density_lookup]]),
   ROUND(tbl_product_preparations[[#This Row],[kcal_per_100g]]*tbl_product_preparations[[#This Row],[density_lookup]],1),
   ""
)</f>
        <v/>
      </c>
      <c r="I66" s="35">
        <v>0.6</v>
      </c>
      <c r="J66" s="35">
        <v>16.8</v>
      </c>
      <c r="K66" s="35">
        <v>0.1</v>
      </c>
      <c r="L66" s="35">
        <v>0</v>
      </c>
      <c r="M66" s="32">
        <v>2.1</v>
      </c>
      <c r="N66" s="35">
        <v>16.8</v>
      </c>
      <c r="O66" s="47">
        <f>IF(tbl_product_preparations[[#This Row],[sugar_per_100g]]=0,tbl_product_preparations[[#This Row],[carbs_per_100g]],tbl_product_preparations[[#This Row],[sugar_per_100g]])</f>
        <v>16.8</v>
      </c>
      <c r="P66" s="37">
        <v>5.0000000000000001E-3</v>
      </c>
      <c r="Q66" s="48">
        <f>IF(tbl_product_preparations[[#This Row],[sodium_per_100g]]=0,
tbl_product_preparations[[#This Row],[salt_per_100g]]/2.5,
tbl_product_preparations[[#This Row],[sodium_per_100g]])</f>
        <v>5.0000000000000001E-3</v>
      </c>
      <c r="R66" s="24">
        <f>ROUND(tbl_product_preparations[[#This Row],[sodium_per_100g]]*2.5,3)</f>
        <v>1.2999999999999999E-2</v>
      </c>
      <c r="S66" s="24">
        <f>IF(tbl_product_preparations[[#This Row],[salt_per_100g]]=0,
tbl_product_preparations[[#This Row],[sodium_per_100g]]*2.5,
tbl_product_preparations[[#This Row],[salt_per_100g]])</f>
        <v>1.2999999999999999E-2</v>
      </c>
      <c r="T66" s="35">
        <v>80.2</v>
      </c>
      <c r="U66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66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74.700000000000017</v>
      </c>
      <c r="W66" s="19">
        <f>IF(tbl_product_preparations[[#This Row],[kcal_per_100g]]=0,0,ABS((tbl_product_preparations[[#This Row],[kcal_per_100g]]-tbl_product_preparations[[#This Row],[kcal_calc]])/tbl_product_preparations[[#This Row],[kcal_per_100g]])*100)</f>
        <v>0.39999999999997726</v>
      </c>
      <c r="X66" s="19">
        <f>ROUND(tbl_product_preparations[[#This Row],[kcal_calc]],1)</f>
        <v>74.7</v>
      </c>
      <c r="Y66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99.805000000000007</v>
      </c>
      <c r="Z66" s="19" t="str">
        <f>IF(
  tbl_product_preparations[[#This Row],[macro_sum]] &lt;=
  100 + _xlfn.XLOOKUP("WATER_TOTAL_TOLERANCE",tbl_config[config_key],tbl_config[config_value]),
  "OK",
  "ERROR"
)</f>
        <v>OK</v>
      </c>
      <c r="AA66" s="15" t="str">
        <f>_xlfn.LET(
   _xlpm.d, _xlfn.XLOOKUP(tbl_product_preparations[[#This Row],[product_key]],tbl_products[product_key],tbl_products[density_g_per_ml]),
   IF(AND(ISNUMBER(_xlpm.d), _xlpm.d&gt;0), _xlpm.d, "")
)</f>
        <v/>
      </c>
      <c r="AB66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66" s="19" cm="1">
        <f t="array" ref="AC66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98.984780337873374</v>
      </c>
      <c r="AD66" s="19" cm="1">
        <f t="array" ref="AD66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99.384617332644126</v>
      </c>
      <c r="AE66" s="19" cm="1">
        <f t="array" ref="AE66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75.483960198900732</v>
      </c>
      <c r="AF66" s="19">
        <f>IF(tbl_product_preparations[[#This Row],[kcal_per_100g]]&lt;5,
 0,
 MAX(0,MIN(100,
  ((tbl_product_preparations[[#This Row],[protein_per_100g]]/tbl_product_preparations[[#This Row],[kcal_per_100g]]*100 - 1) / 7 * 100)
 ))
)</f>
        <v>0</v>
      </c>
      <c r="AG66" s="19">
        <f>IF(tbl_product_preparations[[#This Row],[kcal_per_100g]]&lt;5,
 0,
 MAX(0,MIN(100,(tbl_product_preparations[[#This Row],[fiber_per_100g]]/8*100)))
)</f>
        <v>26.25</v>
      </c>
      <c r="AH66" s="19">
        <f>MAX(0,MIN(100,100-(tbl_product_preparations[[#This Row],[sugar_per_100g]]/15*100)))</f>
        <v>0</v>
      </c>
      <c r="AI66" s="19">
        <f>MAX(0,100-(tbl_product_preparations[[#This Row],[alcohol_per_100g]]*50))</f>
        <v>100</v>
      </c>
      <c r="AJ66" s="19">
        <f>ROUND(tbl_product_preparations[[#This Row],[water_percent]],0)</f>
        <v>80</v>
      </c>
      <c r="AK66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61</v>
      </c>
      <c r="AL66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57</v>
      </c>
      <c r="AM66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49</v>
      </c>
      <c r="AN66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C</v>
      </c>
      <c r="AO66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C</v>
      </c>
      <c r="AP66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D</v>
      </c>
      <c r="AQ66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FRUITS</v>
      </c>
      <c r="AR66" s="19"/>
      <c r="AS66" s="19" t="str">
        <f>INDEX(tbl_products[lose_modifier_group],
MATCH(tbl_product_preparations[[#This Row],[product_key]],
tbl_products[product_key],0))</f>
        <v>FRUIT_WHOLE</v>
      </c>
      <c r="AT66" s="19">
        <f>INDEX(BONUS_MALUS_LOSE[Modifier],
MATCH(tbl_product_preparations[[#This Row],[lose_modifier_group]],
BONUS_MALUS_LOSE[Group],0))</f>
        <v>3</v>
      </c>
      <c r="AU66" s="19" t="str">
        <f>INDEX(tbl_products[maintain_modifier_group],
MATCH(tbl_product_preparations[[#This Row],[product_key]],
tbl_products[product_key],0))</f>
        <v>FRUIT_WHOLE</v>
      </c>
      <c r="AV66" s="19">
        <f>INDEX(BONUS_MALUS_MAINTAIN[Modifier],
MATCH(tbl_product_preparations[[#This Row],[maintain_modifier_group]],
BONUS_MALUS_MAINTAIN[Group],0))</f>
        <v>2</v>
      </c>
      <c r="AW66" s="19" t="str">
        <f>INDEX(tbl_products[gain_modifier_group],
MATCH(tbl_product_preparations[[#This Row],[product_key]],
tbl_products[product_key],0))</f>
        <v>FRUIT_WHOLE</v>
      </c>
      <c r="AX66" s="19">
        <f>INDEX(BONUS_MALUS_GAIN[Modifier],
MATCH(tbl_product_preparations[[#This Row],[gain_modifier_group]],
BONUS_MALUS_GAIN[Group],0))</f>
        <v>1</v>
      </c>
      <c r="AY66" s="19">
        <f>INDEX(PREPARATION_MODIFIERS[lose_preparation_modifier],
MATCH(tbl_product_preparations[[#This Row],[preparation_key]],
PREPARATION_MODIFIERS[preparation_key],0))</f>
        <v>0</v>
      </c>
      <c r="AZ66" s="19">
        <f>INDEX(PREPARATION_MODIFIERS[maintain_preparation_modifier],
MATCH(tbl_product_preparations[[#This Row],[preparation_key]],
PREPARATION_MODIFIERS[preparation_key],0))</f>
        <v>0</v>
      </c>
      <c r="BA66" s="19">
        <f>INDEX(PREPARATION_MODIFIERS[gain_preparation_modifier],
MATCH(tbl_product_preparations[[#This Row],[preparation_key]],
PREPARATION_MODIFIERS[preparation_key],0))</f>
        <v>0</v>
      </c>
    </row>
    <row r="67" spans="1:53" x14ac:dyDescent="0.2">
      <c r="A67" s="31" t="s">
        <v>637</v>
      </c>
      <c r="B67" s="31" t="s">
        <v>115</v>
      </c>
      <c r="C67" s="31" t="s">
        <v>160</v>
      </c>
      <c r="D67" s="31" t="s">
        <v>654</v>
      </c>
      <c r="E67" s="53" t="str">
        <f>IF(tbl_product_preparations[[#This Row],[source_key]]="MANUFACTURER","MANUFACTURER",
IF(tbl_product_preparations[[#This Row],[source_key]]="CALCULATED","CALCULATED",
"REAL"))</f>
        <v>REAL</v>
      </c>
      <c r="F67" s="53" t="str">
        <f>IF(LEFT(tbl_product_preparations[[#This Row],[source_key]],4)="USDA","US","EU")</f>
        <v>EU</v>
      </c>
      <c r="G67" s="32">
        <v>76</v>
      </c>
      <c r="H67" s="18" t="str">
        <f>IF(
   ISNUMBER(tbl_product_preparations[[#This Row],[density_lookup]]),
   ROUND(tbl_product_preparations[[#This Row],[kcal_per_100g]]*tbl_product_preparations[[#This Row],[density_lookup]],1),
   ""
)</f>
        <v/>
      </c>
      <c r="I67" s="35">
        <v>0.5</v>
      </c>
      <c r="J67" s="35">
        <v>16.899999999999999</v>
      </c>
      <c r="K67" s="35">
        <v>0.4</v>
      </c>
      <c r="L67" s="35">
        <v>0</v>
      </c>
      <c r="M67" s="32">
        <v>1.4</v>
      </c>
      <c r="N67" s="35">
        <v>15.6</v>
      </c>
      <c r="O67" s="47">
        <f>IF(tbl_product_preparations[[#This Row],[sugar_per_100g]]=0,tbl_product_preparations[[#This Row],[carbs_per_100g]],tbl_product_preparations[[#This Row],[sugar_per_100g]])</f>
        <v>15.6</v>
      </c>
      <c r="P67" s="37">
        <v>1E-3</v>
      </c>
      <c r="Q67" s="48">
        <f>IF(tbl_product_preparations[[#This Row],[sodium_per_100g]]=0,
tbl_product_preparations[[#This Row],[salt_per_100g]]/2.5,
tbl_product_preparations[[#This Row],[sodium_per_100g]])</f>
        <v>1E-3</v>
      </c>
      <c r="R67" s="24">
        <f>ROUND(tbl_product_preparations[[#This Row],[sodium_per_100g]]*2.5,3)</f>
        <v>3.0000000000000001E-3</v>
      </c>
      <c r="S67" s="24">
        <f>IF(tbl_product_preparations[[#This Row],[salt_per_100g]]=0,
tbl_product_preparations[[#This Row],[sodium_per_100g]]*2.5,
tbl_product_preparations[[#This Row],[salt_per_100g]])</f>
        <v>3.0000000000000001E-3</v>
      </c>
      <c r="T67" s="35">
        <v>80.400000000000006</v>
      </c>
      <c r="U67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67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75.999999999999986</v>
      </c>
      <c r="W67" s="19">
        <f>IF(tbl_product_preparations[[#This Row],[kcal_per_100g]]=0,0,ABS((tbl_product_preparations[[#This Row],[kcal_per_100g]]-tbl_product_preparations[[#This Row],[kcal_calc]])/tbl_product_preparations[[#This Row],[kcal_per_100g]])*100)</f>
        <v>1.8698493046318424E-14</v>
      </c>
      <c r="X67" s="19">
        <f>ROUND(tbl_product_preparations[[#This Row],[kcal_calc]],1)</f>
        <v>76</v>
      </c>
      <c r="Y67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99.600999999999999</v>
      </c>
      <c r="Z67" s="19" t="str">
        <f>IF(
  tbl_product_preparations[[#This Row],[macro_sum]] &lt;=
  100 + _xlfn.XLOOKUP("WATER_TOTAL_TOLERANCE",tbl_config[config_key],tbl_config[config_value]),
  "OK",
  "ERROR"
)</f>
        <v>OK</v>
      </c>
      <c r="AA67" s="15" t="str">
        <f>_xlfn.LET(
   _xlpm.d, _xlfn.XLOOKUP(tbl_product_preparations[[#This Row],[product_key]],tbl_products[product_key],tbl_products[density_g_per_ml]),
   IF(AND(ISNUMBER(_xlpm.d), _xlpm.d&gt;0), _xlpm.d, "")
)</f>
        <v/>
      </c>
      <c r="AB67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67" s="19" cm="1">
        <f t="array" ref="AC67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98.541355064513297</v>
      </c>
      <c r="AD67" s="19" cm="1">
        <f t="array" ref="AD67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99.605717613819095</v>
      </c>
      <c r="AE67" s="19" cm="1">
        <f t="array" ref="AE67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76.422816517149045</v>
      </c>
      <c r="AF67" s="19">
        <f>IF(tbl_product_preparations[[#This Row],[kcal_per_100g]]&lt;5,
 0,
 MAX(0,MIN(100,
  ((tbl_product_preparations[[#This Row],[protein_per_100g]]/tbl_product_preparations[[#This Row],[kcal_per_100g]]*100 - 1) / 7 * 100)
 ))
)</f>
        <v>0</v>
      </c>
      <c r="AG67" s="19">
        <f>IF(tbl_product_preparations[[#This Row],[kcal_per_100g]]&lt;5,
 0,
 MAX(0,MIN(100,(tbl_product_preparations[[#This Row],[fiber_per_100g]]/8*100)))
)</f>
        <v>17.5</v>
      </c>
      <c r="AH67" s="19">
        <f>MAX(0,MIN(100,100-(tbl_product_preparations[[#This Row],[sugar_per_100g]]/15*100)))</f>
        <v>0</v>
      </c>
      <c r="AI67" s="19">
        <f>MAX(0,100-(tbl_product_preparations[[#This Row],[alcohol_per_100g]]*50))</f>
        <v>100</v>
      </c>
      <c r="AJ67" s="19">
        <f>ROUND(tbl_product_preparations[[#This Row],[water_percent]],0)</f>
        <v>80</v>
      </c>
      <c r="AK67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59</v>
      </c>
      <c r="AL67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55</v>
      </c>
      <c r="AM67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49</v>
      </c>
      <c r="AN67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C</v>
      </c>
      <c r="AO67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C</v>
      </c>
      <c r="AP67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D</v>
      </c>
      <c r="AQ67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FRUITS</v>
      </c>
      <c r="AR67" s="19"/>
      <c r="AS67" s="19" t="str">
        <f>INDEX(tbl_products[lose_modifier_group],
MATCH(tbl_product_preparations[[#This Row],[product_key]],
tbl_products[product_key],0))</f>
        <v>FRUIT_WHOLE</v>
      </c>
      <c r="AT67" s="19">
        <f>INDEX(BONUS_MALUS_LOSE[Modifier],
MATCH(tbl_product_preparations[[#This Row],[lose_modifier_group]],
BONUS_MALUS_LOSE[Group],0))</f>
        <v>3</v>
      </c>
      <c r="AU67" s="19" t="str">
        <f>INDEX(tbl_products[maintain_modifier_group],
MATCH(tbl_product_preparations[[#This Row],[product_key]],
tbl_products[product_key],0))</f>
        <v>FRUIT_WHOLE</v>
      </c>
      <c r="AV67" s="19">
        <f>INDEX(BONUS_MALUS_MAINTAIN[Modifier],
MATCH(tbl_product_preparations[[#This Row],[maintain_modifier_group]],
BONUS_MALUS_MAINTAIN[Group],0))</f>
        <v>2</v>
      </c>
      <c r="AW67" s="19" t="str">
        <f>INDEX(tbl_products[gain_modifier_group],
MATCH(tbl_product_preparations[[#This Row],[product_key]],
tbl_products[product_key],0))</f>
        <v>FRUIT_WHOLE</v>
      </c>
      <c r="AX67" s="19">
        <f>INDEX(BONUS_MALUS_GAIN[Modifier],
MATCH(tbl_product_preparations[[#This Row],[gain_modifier_group]],
BONUS_MALUS_GAIN[Group],0))</f>
        <v>1</v>
      </c>
      <c r="AY67" s="19">
        <f>INDEX(PREPARATION_MODIFIERS[lose_preparation_modifier],
MATCH(tbl_product_preparations[[#This Row],[preparation_key]],
PREPARATION_MODIFIERS[preparation_key],0))</f>
        <v>0</v>
      </c>
      <c r="AZ67" s="19">
        <f>INDEX(PREPARATION_MODIFIERS[maintain_preparation_modifier],
MATCH(tbl_product_preparations[[#This Row],[preparation_key]],
PREPARATION_MODIFIERS[preparation_key],0))</f>
        <v>0</v>
      </c>
      <c r="BA67" s="19">
        <f>INDEX(PREPARATION_MODIFIERS[gain_preparation_modifier],
MATCH(tbl_product_preparations[[#This Row],[preparation_key]],
PREPARATION_MODIFIERS[preparation_key],0))</f>
        <v>0</v>
      </c>
    </row>
    <row r="68" spans="1:53" x14ac:dyDescent="0.2">
      <c r="A68" s="31" t="s">
        <v>540</v>
      </c>
      <c r="B68" s="31" t="s">
        <v>115</v>
      </c>
      <c r="C68" s="31" t="s">
        <v>245</v>
      </c>
      <c r="D68" s="31" t="s">
        <v>546</v>
      </c>
      <c r="E68" s="53" t="str">
        <f>IF(tbl_product_preparations[[#This Row],[source_key]]="MANUFACTURER","MANUFACTURER",
IF(tbl_product_preparations[[#This Row],[source_key]]="CALCULATED","CALCULATED",
"REAL"))</f>
        <v>REAL</v>
      </c>
      <c r="F68" s="53" t="str">
        <f>IF(LEFT(tbl_product_preparations[[#This Row],[source_key]],4)="USDA","US","EU")</f>
        <v>US</v>
      </c>
      <c r="G68" s="32">
        <v>293</v>
      </c>
      <c r="H68" s="18" t="str">
        <f>IF(
   ISNUMBER(tbl_product_preparations[[#This Row],[density_lookup]]),
   ROUND(tbl_product_preparations[[#This Row],[kcal_per_100g]]*tbl_product_preparations[[#This Row],[density_lookup]],1),
   ""
)</f>
        <v/>
      </c>
      <c r="I68" s="35">
        <v>9.9</v>
      </c>
      <c r="J68" s="35">
        <v>52.7</v>
      </c>
      <c r="K68" s="35">
        <v>4.3</v>
      </c>
      <c r="L68" s="35">
        <v>0</v>
      </c>
      <c r="M68" s="32">
        <v>2.2999999999999998</v>
      </c>
      <c r="N68" s="35">
        <v>1.77</v>
      </c>
      <c r="O68" s="47">
        <f>IF(tbl_product_preparations[[#This Row],[sugar_per_100g]]=0,tbl_product_preparations[[#This Row],[carbs_per_100g]],tbl_product_preparations[[#This Row],[sugar_per_100g]])</f>
        <v>1.77</v>
      </c>
      <c r="P68" s="37">
        <v>0.54400000000000004</v>
      </c>
      <c r="Q68" s="48">
        <f>IF(tbl_product_preparations[[#This Row],[sodium_per_100g]]=0,
tbl_product_preparations[[#This Row],[salt_per_100g]]/2.5,
tbl_product_preparations[[#This Row],[sodium_per_100g]])</f>
        <v>0.54400000000000004</v>
      </c>
      <c r="R68" s="24">
        <f>ROUND(tbl_product_preparations[[#This Row],[sodium_per_100g]]*2.5,3)</f>
        <v>1.36</v>
      </c>
      <c r="S68" s="24">
        <f>IF(tbl_product_preparations[[#This Row],[salt_per_100g]]=0,
tbl_product_preparations[[#This Row],[sodium_per_100g]]*2.5,
tbl_product_preparations[[#This Row],[salt_per_100g]])</f>
        <v>1.36</v>
      </c>
      <c r="T68" s="35">
        <v>31</v>
      </c>
      <c r="U68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68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293.70000000000005</v>
      </c>
      <c r="W68" s="19">
        <f>IF(tbl_product_preparations[[#This Row],[kcal_per_100g]]=0,0,ABS((tbl_product_preparations[[#This Row],[kcal_per_100g]]-tbl_product_preparations[[#This Row],[kcal_calc]])/tbl_product_preparations[[#This Row],[kcal_per_100g]])*100)</f>
        <v>0.23890784982936705</v>
      </c>
      <c r="X68" s="19">
        <f>ROUND(tbl_product_preparations[[#This Row],[kcal_calc]],1)</f>
        <v>293.7</v>
      </c>
      <c r="Y68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100.744</v>
      </c>
      <c r="Z68" s="19" t="str">
        <f>IF(
  tbl_product_preparations[[#This Row],[macro_sum]] &lt;=
  100 + _xlfn.XLOOKUP("WATER_TOTAL_TOLERANCE",tbl_config[config_key],tbl_config[config_value]),
  "OK",
  "ERROR"
)</f>
        <v>OK</v>
      </c>
      <c r="AA68" s="15" t="str">
        <f>_xlfn.LET(
   _xlpm.d, _xlfn.XLOOKUP(tbl_product_preparations[[#This Row],[product_key]],tbl_products[product_key],tbl_products[density_g_per_ml]),
   IF(AND(ISNUMBER(_xlpm.d), _xlpm.d&gt;0), _xlpm.d, "")
)</f>
        <v/>
      </c>
      <c r="AB68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68" s="19" cm="1">
        <f t="array" ref="AC68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36.877147895901878</v>
      </c>
      <c r="AD68" s="19" cm="1">
        <f t="array" ref="AD68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99.697987841233825</v>
      </c>
      <c r="AE68" s="19" cm="1">
        <f t="array" ref="AE68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76.888604993079184</v>
      </c>
      <c r="AF68" s="19">
        <f>IF(tbl_product_preparations[[#This Row],[kcal_per_100g]]&lt;5,
 0,
 MAX(0,MIN(100,
  ((tbl_product_preparations[[#This Row],[protein_per_100g]]/tbl_product_preparations[[#This Row],[kcal_per_100g]]*100 - 1) / 7 * 100)
 ))
)</f>
        <v>33.983422720624098</v>
      </c>
      <c r="AG68" s="19">
        <f>IF(tbl_product_preparations[[#This Row],[kcal_per_100g]]&lt;5,
 0,
 MAX(0,MIN(100,(tbl_product_preparations[[#This Row],[fiber_per_100g]]/8*100)))
)</f>
        <v>28.749999999999996</v>
      </c>
      <c r="AH68" s="19">
        <f>MAX(0,MIN(100,100-(tbl_product_preparations[[#This Row],[sugar_per_100g]]/15*100)))</f>
        <v>88.2</v>
      </c>
      <c r="AI68" s="19">
        <f>MAX(0,100-(tbl_product_preparations[[#This Row],[alcohol_per_100g]]*50))</f>
        <v>100</v>
      </c>
      <c r="AJ68" s="19">
        <f>ROUND(tbl_product_preparations[[#This Row],[water_percent]],0)</f>
        <v>31</v>
      </c>
      <c r="AK68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46</v>
      </c>
      <c r="AL68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68</v>
      </c>
      <c r="AM68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66</v>
      </c>
      <c r="AN68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D</v>
      </c>
      <c r="AO68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B</v>
      </c>
      <c r="AP68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B</v>
      </c>
      <c r="AQ68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GRAINS</v>
      </c>
      <c r="AR68" s="19"/>
      <c r="AS68" s="19" t="str">
        <f>INDEX(tbl_products[lose_modifier_group],
MATCH(tbl_product_preparations[[#This Row],[product_key]],
tbl_products[product_key],0))</f>
        <v>NEUTRAL</v>
      </c>
      <c r="AT68" s="19">
        <f>INDEX(BONUS_MALUS_LOSE[Modifier],
MATCH(tbl_product_preparations[[#This Row],[lose_modifier_group]],
BONUS_MALUS_LOSE[Group],0))</f>
        <v>0</v>
      </c>
      <c r="AU68" s="19" t="str">
        <f>INDEX(tbl_products[maintain_modifier_group],
MATCH(tbl_product_preparations[[#This Row],[product_key]],
tbl_products[product_key],0))</f>
        <v>NEUTRAL</v>
      </c>
      <c r="AV68" s="19">
        <f>INDEX(BONUS_MALUS_MAINTAIN[Modifier],
MATCH(tbl_product_preparations[[#This Row],[maintain_modifier_group]],
BONUS_MALUS_MAINTAIN[Group],0))</f>
        <v>0</v>
      </c>
      <c r="AW68" s="19" t="str">
        <f>INDEX(tbl_products[gain_modifier_group],
MATCH(tbl_product_preparations[[#This Row],[product_key]],
tbl_products[product_key],0))</f>
        <v>NEUTRAL</v>
      </c>
      <c r="AX68" s="19">
        <f>INDEX(BONUS_MALUS_GAIN[Modifier],
MATCH(tbl_product_preparations[[#This Row],[gain_modifier_group]],
BONUS_MALUS_GAIN[Group],0))</f>
        <v>0</v>
      </c>
      <c r="AY68" s="19">
        <f>INDEX(PREPARATION_MODIFIERS[lose_preparation_modifier],
MATCH(tbl_product_preparations[[#This Row],[preparation_key]],
PREPARATION_MODIFIERS[preparation_key],0))</f>
        <v>0</v>
      </c>
      <c r="AZ68" s="19">
        <f>INDEX(PREPARATION_MODIFIERS[maintain_preparation_modifier],
MATCH(tbl_product_preparations[[#This Row],[preparation_key]],
PREPARATION_MODIFIERS[preparation_key],0))</f>
        <v>0</v>
      </c>
      <c r="BA68" s="19">
        <f>INDEX(PREPARATION_MODIFIERS[gain_preparation_modifier],
MATCH(tbl_product_preparations[[#This Row],[preparation_key]],
PREPARATION_MODIFIERS[preparation_key],0))</f>
        <v>0</v>
      </c>
    </row>
    <row r="69" spans="1:53" x14ac:dyDescent="0.2">
      <c r="A69" s="31" t="s">
        <v>791</v>
      </c>
      <c r="B69" s="31" t="s">
        <v>115</v>
      </c>
      <c r="C69" s="31" t="s">
        <v>160</v>
      </c>
      <c r="D69" s="31" t="s">
        <v>807</v>
      </c>
      <c r="E69" s="53" t="str">
        <f>IF(tbl_product_preparations[[#This Row],[source_key]]="MANUFACTURER","MANUFACTURER",
IF(tbl_product_preparations[[#This Row],[source_key]]="CALCULATED","CALCULATED",
"REAL"))</f>
        <v>REAL</v>
      </c>
      <c r="F69" s="53" t="str">
        <f>IF(LEFT(tbl_product_preparations[[#This Row],[source_key]],4)="USDA","US","EU")</f>
        <v>EU</v>
      </c>
      <c r="G69" s="32">
        <v>64</v>
      </c>
      <c r="H69" s="18" t="str">
        <f>IF(
   ISNUMBER(tbl_product_preparations[[#This Row],[density_lookup]]),
   ROUND(tbl_product_preparations[[#This Row],[kcal_per_100g]]*tbl_product_preparations[[#This Row],[density_lookup]],1),
   ""
)</f>
        <v/>
      </c>
      <c r="I69" s="35">
        <v>1</v>
      </c>
      <c r="J69" s="35">
        <v>11.4</v>
      </c>
      <c r="K69" s="35">
        <v>0.6</v>
      </c>
      <c r="L69" s="35">
        <v>0</v>
      </c>
      <c r="M69" s="32">
        <v>2</v>
      </c>
      <c r="N69" s="35">
        <v>11</v>
      </c>
      <c r="O69" s="47">
        <f>IF(tbl_product_preparations[[#This Row],[sugar_per_100g]]=0,tbl_product_preparations[[#This Row],[carbs_per_100g]],tbl_product_preparations[[#This Row],[sugar_per_100g]])</f>
        <v>11</v>
      </c>
      <c r="P69" s="37">
        <v>3.0000000000000001E-3</v>
      </c>
      <c r="Q69" s="48">
        <f>IF(tbl_product_preparations[[#This Row],[sodium_per_100g]]=0,
tbl_product_preparations[[#This Row],[salt_per_100g]]/2.5,
tbl_product_preparations[[#This Row],[sodium_per_100g]])</f>
        <v>3.0000000000000001E-3</v>
      </c>
      <c r="R69" s="24">
        <f>ROUND(tbl_product_preparations[[#This Row],[sodium_per_100g]]*2.5,3)</f>
        <v>8.0000000000000002E-3</v>
      </c>
      <c r="S69" s="24">
        <f>IF(tbl_product_preparations[[#This Row],[salt_per_100g]]=0,
tbl_product_preparations[[#This Row],[sodium_per_100g]]*2.5,
tbl_product_preparations[[#This Row],[salt_per_100g]])</f>
        <v>8.0000000000000002E-3</v>
      </c>
      <c r="T69" s="35">
        <v>83.1</v>
      </c>
      <c r="U69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69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59</v>
      </c>
      <c r="W69" s="19">
        <f>IF(tbl_product_preparations[[#This Row],[kcal_per_100g]]=0,0,ABS((tbl_product_preparations[[#This Row],[kcal_per_100g]]-tbl_product_preparations[[#This Row],[kcal_calc]])/tbl_product_preparations[[#This Row],[kcal_per_100g]])*100)</f>
        <v>7.8125</v>
      </c>
      <c r="X69" s="19">
        <f>ROUND(tbl_product_preparations[[#This Row],[kcal_calc]],1)</f>
        <v>59</v>
      </c>
      <c r="Y69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98.102999999999994</v>
      </c>
      <c r="Z69" s="19" t="str">
        <f>IF(
  tbl_product_preparations[[#This Row],[macro_sum]] &lt;=
  100 + _xlfn.XLOOKUP("WATER_TOTAL_TOLERANCE",tbl_config[config_key],tbl_config[config_value]),
  "OK",
  "ERROR"
)</f>
        <v>OK</v>
      </c>
      <c r="AA69" s="15" t="str">
        <f>_xlfn.LET(
   _xlpm.d, _xlfn.XLOOKUP(tbl_product_preparations[[#This Row],[product_key]],tbl_products[product_key],tbl_products[density_g_per_ml]),
   IF(AND(ISNUMBER(_xlpm.d), _xlpm.d&gt;0), _xlpm.d, "")
)</f>
        <v/>
      </c>
      <c r="AB69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69" s="19" cm="1">
        <f t="array" ref="AC69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98.541355064513297</v>
      </c>
      <c r="AD69" s="19" cm="1">
        <f t="array" ref="AD69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93.874643215652696</v>
      </c>
      <c r="AE69" s="19" cm="1">
        <f t="array" ref="AE69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64.690517546435231</v>
      </c>
      <c r="AF69" s="19">
        <f>IF(tbl_product_preparations[[#This Row],[kcal_per_100g]]&lt;5,
 0,
 MAX(0,MIN(100,
  ((tbl_product_preparations[[#This Row],[protein_per_100g]]/tbl_product_preparations[[#This Row],[kcal_per_100g]]*100 - 1) / 7 * 100)
 ))
)</f>
        <v>8.0357142857142865</v>
      </c>
      <c r="AG69" s="19">
        <f>IF(tbl_product_preparations[[#This Row],[kcal_per_100g]]&lt;5,
 0,
 MAX(0,MIN(100,(tbl_product_preparations[[#This Row],[fiber_per_100g]]/8*100)))
)</f>
        <v>25</v>
      </c>
      <c r="AH69" s="19">
        <f>MAX(0,MIN(100,100-(tbl_product_preparations[[#This Row],[sugar_per_100g]]/15*100)))</f>
        <v>26.666666666666671</v>
      </c>
      <c r="AI69" s="19">
        <f>MAX(0,100-(tbl_product_preparations[[#This Row],[alcohol_per_100g]]*50))</f>
        <v>100</v>
      </c>
      <c r="AJ69" s="19">
        <f>ROUND(tbl_product_preparations[[#This Row],[water_percent]],0)</f>
        <v>83</v>
      </c>
      <c r="AK69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65</v>
      </c>
      <c r="AL69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59</v>
      </c>
      <c r="AM69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48</v>
      </c>
      <c r="AN69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B</v>
      </c>
      <c r="AO69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C</v>
      </c>
      <c r="AP69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D</v>
      </c>
      <c r="AQ69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FRUITS</v>
      </c>
      <c r="AR69" s="19"/>
      <c r="AS69" s="19" t="str">
        <f>INDEX(tbl_products[lose_modifier_group],
MATCH(tbl_product_preparations[[#This Row],[product_key]],
tbl_products[product_key],0))</f>
        <v>FRUIT_WHOLE</v>
      </c>
      <c r="AT69" s="19">
        <f>INDEX(BONUS_MALUS_LOSE[Modifier],
MATCH(tbl_product_preparations[[#This Row],[lose_modifier_group]],
BONUS_MALUS_LOSE[Group],0))</f>
        <v>3</v>
      </c>
      <c r="AU69" s="19" t="str">
        <f>INDEX(tbl_products[maintain_modifier_group],
MATCH(tbl_product_preparations[[#This Row],[product_key]],
tbl_products[product_key],0))</f>
        <v>FRUIT_WHOLE</v>
      </c>
      <c r="AV69" s="19">
        <f>INDEX(BONUS_MALUS_MAINTAIN[Modifier],
MATCH(tbl_product_preparations[[#This Row],[maintain_modifier_group]],
BONUS_MALUS_MAINTAIN[Group],0))</f>
        <v>2</v>
      </c>
      <c r="AW69" s="19" t="str">
        <f>INDEX(tbl_products[gain_modifier_group],
MATCH(tbl_product_preparations[[#This Row],[product_key]],
tbl_products[product_key],0))</f>
        <v>FRUIT_WHOLE</v>
      </c>
      <c r="AX69" s="19">
        <f>INDEX(BONUS_MALUS_GAIN[Modifier],
MATCH(tbl_product_preparations[[#This Row],[gain_modifier_group]],
BONUS_MALUS_GAIN[Group],0))</f>
        <v>1</v>
      </c>
      <c r="AY69" s="19">
        <f>INDEX(PREPARATION_MODIFIERS[lose_preparation_modifier],
MATCH(tbl_product_preparations[[#This Row],[preparation_key]],
PREPARATION_MODIFIERS[preparation_key],0))</f>
        <v>0</v>
      </c>
      <c r="AZ69" s="19">
        <f>INDEX(PREPARATION_MODIFIERS[maintain_preparation_modifier],
MATCH(tbl_product_preparations[[#This Row],[preparation_key]],
PREPARATION_MODIFIERS[preparation_key],0))</f>
        <v>0</v>
      </c>
      <c r="BA69" s="19">
        <f>INDEX(PREPARATION_MODIFIERS[gain_preparation_modifier],
MATCH(tbl_product_preparations[[#This Row],[preparation_key]],
PREPARATION_MODIFIERS[preparation_key],0))</f>
        <v>0</v>
      </c>
    </row>
    <row r="70" spans="1:53" x14ac:dyDescent="0.2">
      <c r="A70" s="31" t="s">
        <v>793</v>
      </c>
      <c r="B70" s="31" t="s">
        <v>115</v>
      </c>
      <c r="C70" s="31" t="s">
        <v>160</v>
      </c>
      <c r="D70" s="31" t="s">
        <v>808</v>
      </c>
      <c r="E70" s="53" t="str">
        <f>IF(tbl_product_preparations[[#This Row],[source_key]]="MANUFACTURER","MANUFACTURER",
IF(tbl_product_preparations[[#This Row],[source_key]]="CALCULATED","CALCULATED",
"REAL"))</f>
        <v>REAL</v>
      </c>
      <c r="F70" s="53" t="str">
        <f>IF(LEFT(tbl_product_preparations[[#This Row],[source_key]],4)="USDA","US","EU")</f>
        <v>EU</v>
      </c>
      <c r="G70" s="32">
        <v>62</v>
      </c>
      <c r="H70" s="18" t="str">
        <f>IF(
   ISNUMBER(tbl_product_preparations[[#This Row],[density_lookup]]),
   ROUND(tbl_product_preparations[[#This Row],[kcal_per_100g]]*tbl_product_preparations[[#This Row],[density_lookup]],1),
   ""
)</f>
        <v/>
      </c>
      <c r="I70" s="35">
        <v>0.9</v>
      </c>
      <c r="J70" s="35">
        <v>10.8</v>
      </c>
      <c r="K70" s="35">
        <v>0.8</v>
      </c>
      <c r="L70" s="35">
        <v>0</v>
      </c>
      <c r="M70" s="32">
        <v>2.2999999999999998</v>
      </c>
      <c r="N70" s="35">
        <v>10.3</v>
      </c>
      <c r="O70" s="47">
        <f>IF(tbl_product_preparations[[#This Row],[sugar_per_100g]]=0,tbl_product_preparations[[#This Row],[carbs_per_100g]],tbl_product_preparations[[#This Row],[sugar_per_100g]])</f>
        <v>10.3</v>
      </c>
      <c r="P70" s="37">
        <v>3.0000000000000001E-3</v>
      </c>
      <c r="Q70" s="48">
        <f>IF(tbl_product_preparations[[#This Row],[sodium_per_100g]]=0,
tbl_product_preparations[[#This Row],[salt_per_100g]]/2.5,
tbl_product_preparations[[#This Row],[sodium_per_100g]])</f>
        <v>3.0000000000000001E-3</v>
      </c>
      <c r="R70" s="24">
        <f>ROUND(tbl_product_preparations[[#This Row],[sodium_per_100g]]*2.5,3)</f>
        <v>8.0000000000000002E-3</v>
      </c>
      <c r="S70" s="24">
        <f>IF(tbl_product_preparations[[#This Row],[salt_per_100g]]=0,
tbl_product_preparations[[#This Row],[sodium_per_100g]]*2.5,
tbl_product_preparations[[#This Row],[salt_per_100g]])</f>
        <v>8.0000000000000002E-3</v>
      </c>
      <c r="T70" s="35">
        <v>83.5</v>
      </c>
      <c r="U70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70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58.600000000000009</v>
      </c>
      <c r="W70" s="19">
        <f>IF(tbl_product_preparations[[#This Row],[kcal_per_100g]]=0,0,ABS((tbl_product_preparations[[#This Row],[kcal_per_100g]]-tbl_product_preparations[[#This Row],[kcal_calc]])/tbl_product_preparations[[#This Row],[kcal_per_100g]])*100)</f>
        <v>5.4838709677419217</v>
      </c>
      <c r="X70" s="19">
        <f>ROUND(tbl_product_preparations[[#This Row],[kcal_calc]],1)</f>
        <v>58.6</v>
      </c>
      <c r="Y70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98.302999999999997</v>
      </c>
      <c r="Z70" s="19" t="str">
        <f>IF(
  tbl_product_preparations[[#This Row],[macro_sum]] &lt;=
  100 + _xlfn.XLOOKUP("WATER_TOTAL_TOLERANCE",tbl_config[config_key],tbl_config[config_value]),
  "OK",
  "ERROR"
)</f>
        <v>OK</v>
      </c>
      <c r="AA70" s="15" t="str">
        <f>_xlfn.LET(
   _xlpm.d, _xlfn.XLOOKUP(tbl_product_preparations[[#This Row],[product_key]],tbl_products[product_key],tbl_products[density_g_per_ml]),
   IF(AND(ISNUMBER(_xlpm.d), _xlpm.d&gt;0), _xlpm.d, "")
)</f>
        <v/>
      </c>
      <c r="AB70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70" s="19" cm="1">
        <f t="array" ref="AC70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97.421579057541777</v>
      </c>
      <c r="AD70" s="19" cm="1">
        <f t="array" ref="AD70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92.311634638663577</v>
      </c>
      <c r="AE70" s="19" cm="1">
        <f t="array" ref="AE70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62.674079920299299</v>
      </c>
      <c r="AF70" s="19">
        <f>IF(tbl_product_preparations[[#This Row],[kcal_per_100g]]&lt;5,
 0,
 MAX(0,MIN(100,
  ((tbl_product_preparations[[#This Row],[protein_per_100g]]/tbl_product_preparations[[#This Row],[kcal_per_100g]]*100 - 1) / 7 * 100)
 ))
)</f>
        <v>6.4516129032258078</v>
      </c>
      <c r="AG70" s="19">
        <f>IF(tbl_product_preparations[[#This Row],[kcal_per_100g]]&lt;5,
 0,
 MAX(0,MIN(100,(tbl_product_preparations[[#This Row],[fiber_per_100g]]/8*100)))
)</f>
        <v>28.749999999999996</v>
      </c>
      <c r="AH70" s="19">
        <f>MAX(0,MIN(100,100-(tbl_product_preparations[[#This Row],[sugar_per_100g]]/15*100)))</f>
        <v>31.333333333333329</v>
      </c>
      <c r="AI70" s="19">
        <f>MAX(0,100-(tbl_product_preparations[[#This Row],[alcohol_per_100g]]*50))</f>
        <v>100</v>
      </c>
      <c r="AJ70" s="19">
        <f>ROUND(tbl_product_preparations[[#This Row],[water_percent]],0)</f>
        <v>84</v>
      </c>
      <c r="AK70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65</v>
      </c>
      <c r="AL70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59</v>
      </c>
      <c r="AM70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47</v>
      </c>
      <c r="AN70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B</v>
      </c>
      <c r="AO70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C</v>
      </c>
      <c r="AP70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D</v>
      </c>
      <c r="AQ70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FRUITS</v>
      </c>
      <c r="AR70" s="19"/>
      <c r="AS70" s="19" t="str">
        <f>INDEX(tbl_products[lose_modifier_group],
MATCH(tbl_product_preparations[[#This Row],[product_key]],
tbl_products[product_key],0))</f>
        <v>FRUIT_WHOLE</v>
      </c>
      <c r="AT70" s="19">
        <f>INDEX(BONUS_MALUS_LOSE[Modifier],
MATCH(tbl_product_preparations[[#This Row],[lose_modifier_group]],
BONUS_MALUS_LOSE[Group],0))</f>
        <v>3</v>
      </c>
      <c r="AU70" s="19" t="str">
        <f>INDEX(tbl_products[maintain_modifier_group],
MATCH(tbl_product_preparations[[#This Row],[product_key]],
tbl_products[product_key],0))</f>
        <v>FRUIT_WHOLE</v>
      </c>
      <c r="AV70" s="19">
        <f>INDEX(BONUS_MALUS_MAINTAIN[Modifier],
MATCH(tbl_product_preparations[[#This Row],[maintain_modifier_group]],
BONUS_MALUS_MAINTAIN[Group],0))</f>
        <v>2</v>
      </c>
      <c r="AW70" s="19" t="str">
        <f>INDEX(tbl_products[gain_modifier_group],
MATCH(tbl_product_preparations[[#This Row],[product_key]],
tbl_products[product_key],0))</f>
        <v>FRUIT_WHOLE</v>
      </c>
      <c r="AX70" s="19">
        <f>INDEX(BONUS_MALUS_GAIN[Modifier],
MATCH(tbl_product_preparations[[#This Row],[gain_modifier_group]],
BONUS_MALUS_GAIN[Group],0))</f>
        <v>1</v>
      </c>
      <c r="AY70" s="19">
        <f>INDEX(PREPARATION_MODIFIERS[lose_preparation_modifier],
MATCH(tbl_product_preparations[[#This Row],[preparation_key]],
PREPARATION_MODIFIERS[preparation_key],0))</f>
        <v>0</v>
      </c>
      <c r="AZ70" s="19">
        <f>INDEX(PREPARATION_MODIFIERS[maintain_preparation_modifier],
MATCH(tbl_product_preparations[[#This Row],[preparation_key]],
PREPARATION_MODIFIERS[preparation_key],0))</f>
        <v>0</v>
      </c>
      <c r="BA70" s="19">
        <f>INDEX(PREPARATION_MODIFIERS[gain_preparation_modifier],
MATCH(tbl_product_preparations[[#This Row],[preparation_key]],
PREPARATION_MODIFIERS[preparation_key],0))</f>
        <v>0</v>
      </c>
    </row>
    <row r="71" spans="1:53" x14ac:dyDescent="0.2">
      <c r="A71" s="31" t="s">
        <v>794</v>
      </c>
      <c r="B71" s="31" t="s">
        <v>115</v>
      </c>
      <c r="C71" s="31" t="s">
        <v>160</v>
      </c>
      <c r="D71" s="31" t="s">
        <v>809</v>
      </c>
      <c r="E71" s="53" t="str">
        <f>IF(tbl_product_preparations[[#This Row],[source_key]]="MANUFACTURER","MANUFACTURER",
IF(tbl_product_preparations[[#This Row],[source_key]]="CALCULATED","CALCULATED",
"REAL"))</f>
        <v>REAL</v>
      </c>
      <c r="F71" s="53" t="str">
        <f>IF(LEFT(tbl_product_preparations[[#This Row],[source_key]],4)="USDA","US","EU")</f>
        <v>EU</v>
      </c>
      <c r="G71" s="32">
        <v>66</v>
      </c>
      <c r="H71" s="18" t="str">
        <f>IF(
   ISNUMBER(tbl_product_preparations[[#This Row],[density_lookup]]),
   ROUND(tbl_product_preparations[[#This Row],[kcal_per_100g]]*tbl_product_preparations[[#This Row],[density_lookup]],1),
   ""
)</f>
        <v/>
      </c>
      <c r="I71" s="35">
        <v>1</v>
      </c>
      <c r="J71" s="35">
        <v>12.4</v>
      </c>
      <c r="K71" s="35">
        <v>0.3</v>
      </c>
      <c r="L71" s="35">
        <v>0</v>
      </c>
      <c r="M71" s="32">
        <v>1.4</v>
      </c>
      <c r="N71" s="35">
        <v>12.3</v>
      </c>
      <c r="O71" s="47">
        <f>IF(tbl_product_preparations[[#This Row],[sugar_per_100g]]=0,tbl_product_preparations[[#This Row],[carbs_per_100g]],tbl_product_preparations[[#This Row],[sugar_per_100g]])</f>
        <v>12.3</v>
      </c>
      <c r="P71" s="37">
        <v>3.0000000000000001E-3</v>
      </c>
      <c r="Q71" s="48">
        <f>IF(tbl_product_preparations[[#This Row],[sodium_per_100g]]=0,
tbl_product_preparations[[#This Row],[salt_per_100g]]/2.5,
tbl_product_preparations[[#This Row],[sodium_per_100g]])</f>
        <v>3.0000000000000001E-3</v>
      </c>
      <c r="R71" s="24">
        <f>ROUND(tbl_product_preparations[[#This Row],[sodium_per_100g]]*2.5,3)</f>
        <v>8.0000000000000002E-3</v>
      </c>
      <c r="S71" s="24">
        <f>IF(tbl_product_preparations[[#This Row],[salt_per_100g]]=0,
tbl_product_preparations[[#This Row],[sodium_per_100g]]*2.5,
tbl_product_preparations[[#This Row],[salt_per_100g]])</f>
        <v>8.0000000000000002E-3</v>
      </c>
      <c r="T71" s="35">
        <v>82.4</v>
      </c>
      <c r="U71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71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59.1</v>
      </c>
      <c r="W71" s="19">
        <f>IF(tbl_product_preparations[[#This Row],[kcal_per_100g]]=0,0,ABS((tbl_product_preparations[[#This Row],[kcal_per_100g]]-tbl_product_preparations[[#This Row],[kcal_calc]])/tbl_product_preparations[[#This Row],[kcal_per_100g]])*100)</f>
        <v>10.454545454545453</v>
      </c>
      <c r="X71" s="19">
        <f>ROUND(tbl_product_preparations[[#This Row],[kcal_calc]],1)</f>
        <v>59.1</v>
      </c>
      <c r="Y71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97.503000000000014</v>
      </c>
      <c r="Z71" s="19" t="str">
        <f>IF(
  tbl_product_preparations[[#This Row],[macro_sum]] &lt;=
  100 + _xlfn.XLOOKUP("WATER_TOTAL_TOLERANCE",tbl_config[config_key],tbl_config[config_value]),
  "OK",
  "ERROR"
)</f>
        <v>OK</v>
      </c>
      <c r="AA71" s="15" t="str">
        <f>_xlfn.LET(
   _xlpm.d, _xlfn.XLOOKUP(tbl_product_preparations[[#This Row],[product_key]],tbl_products[product_key],tbl_products[density_g_per_ml]),
   IF(AND(ISNUMBER(_xlpm.d), _xlpm.d&gt;0), _xlpm.d, "")
)</f>
        <v/>
      </c>
      <c r="AB71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71" s="19" cm="1">
        <f t="array" ref="AC71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99.349066585837107</v>
      </c>
      <c r="AD71" s="19" cm="1">
        <f t="array" ref="AD71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95.275731476598764</v>
      </c>
      <c r="AE71" s="19" cm="1">
        <f t="array" ref="AE71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66.697681085847435</v>
      </c>
      <c r="AF71" s="19">
        <f>IF(tbl_product_preparations[[#This Row],[kcal_per_100g]]&lt;5,
 0,
 MAX(0,MIN(100,
  ((tbl_product_preparations[[#This Row],[protein_per_100g]]/tbl_product_preparations[[#This Row],[kcal_per_100g]]*100 - 1) / 7 * 100)
 ))
)</f>
        <v>7.3593073593073584</v>
      </c>
      <c r="AG71" s="19">
        <f>IF(tbl_product_preparations[[#This Row],[kcal_per_100g]]&lt;5,
 0,
 MAX(0,MIN(100,(tbl_product_preparations[[#This Row],[fiber_per_100g]]/8*100)))
)</f>
        <v>17.5</v>
      </c>
      <c r="AH71" s="19">
        <f>MAX(0,MIN(100,100-(tbl_product_preparations[[#This Row],[sugar_per_100g]]/15*100)))</f>
        <v>18</v>
      </c>
      <c r="AI71" s="19">
        <f>MAX(0,100-(tbl_product_preparations[[#This Row],[alcohol_per_100g]]*50))</f>
        <v>100</v>
      </c>
      <c r="AJ71" s="19">
        <f>ROUND(tbl_product_preparations[[#This Row],[water_percent]],0)</f>
        <v>82</v>
      </c>
      <c r="AK71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62</v>
      </c>
      <c r="AL71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57</v>
      </c>
      <c r="AM71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47</v>
      </c>
      <c r="AN71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C</v>
      </c>
      <c r="AO71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C</v>
      </c>
      <c r="AP71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D</v>
      </c>
      <c r="AQ71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FRUITS</v>
      </c>
      <c r="AR71" s="19"/>
      <c r="AS71" s="19" t="str">
        <f>INDEX(tbl_products[lose_modifier_group],
MATCH(tbl_product_preparations[[#This Row],[product_key]],
tbl_products[product_key],0))</f>
        <v>FRUIT_WHOLE</v>
      </c>
      <c r="AT71" s="19">
        <f>INDEX(BONUS_MALUS_LOSE[Modifier],
MATCH(tbl_product_preparations[[#This Row],[lose_modifier_group]],
BONUS_MALUS_LOSE[Group],0))</f>
        <v>3</v>
      </c>
      <c r="AU71" s="19" t="str">
        <f>INDEX(tbl_products[maintain_modifier_group],
MATCH(tbl_product_preparations[[#This Row],[product_key]],
tbl_products[product_key],0))</f>
        <v>FRUIT_WHOLE</v>
      </c>
      <c r="AV71" s="19">
        <f>INDEX(BONUS_MALUS_MAINTAIN[Modifier],
MATCH(tbl_product_preparations[[#This Row],[maintain_modifier_group]],
BONUS_MALUS_MAINTAIN[Group],0))</f>
        <v>2</v>
      </c>
      <c r="AW71" s="19" t="str">
        <f>INDEX(tbl_products[gain_modifier_group],
MATCH(tbl_product_preparations[[#This Row],[product_key]],
tbl_products[product_key],0))</f>
        <v>FRUIT_WHOLE</v>
      </c>
      <c r="AX71" s="19">
        <f>INDEX(BONUS_MALUS_GAIN[Modifier],
MATCH(tbl_product_preparations[[#This Row],[gain_modifier_group]],
BONUS_MALUS_GAIN[Group],0))</f>
        <v>1</v>
      </c>
      <c r="AY71" s="19">
        <f>INDEX(PREPARATION_MODIFIERS[lose_preparation_modifier],
MATCH(tbl_product_preparations[[#This Row],[preparation_key]],
PREPARATION_MODIFIERS[preparation_key],0))</f>
        <v>0</v>
      </c>
      <c r="AZ71" s="19">
        <f>INDEX(PREPARATION_MODIFIERS[maintain_preparation_modifier],
MATCH(tbl_product_preparations[[#This Row],[preparation_key]],
PREPARATION_MODIFIERS[preparation_key],0))</f>
        <v>0</v>
      </c>
      <c r="BA71" s="19">
        <f>INDEX(PREPARATION_MODIFIERS[gain_preparation_modifier],
MATCH(tbl_product_preparations[[#This Row],[preparation_key]],
PREPARATION_MODIFIERS[preparation_key],0))</f>
        <v>0</v>
      </c>
    </row>
    <row r="72" spans="1:53" x14ac:dyDescent="0.2">
      <c r="A72" s="31" t="s">
        <v>906</v>
      </c>
      <c r="B72" s="31" t="s">
        <v>115</v>
      </c>
      <c r="C72" s="31" t="s">
        <v>160</v>
      </c>
      <c r="D72" s="31" t="s">
        <v>912</v>
      </c>
      <c r="E72" s="53" t="str">
        <f>IF(tbl_product_preparations[[#This Row],[source_key]]="MANUFACTURER","MANUFACTURER",
IF(tbl_product_preparations[[#This Row],[source_key]]="CALCULATED","CALCULATED",
"REAL"))</f>
        <v>REAL</v>
      </c>
      <c r="F72" s="53" t="str">
        <f>IF(LEFT(tbl_product_preparations[[#This Row],[source_key]],4)="USDA","US","EU")</f>
        <v>EU</v>
      </c>
      <c r="G72" s="32">
        <v>36</v>
      </c>
      <c r="H72" s="18" t="str">
        <f>IF(
   ISNUMBER(tbl_product_preparations[[#This Row],[density_lookup]]),
   ROUND(tbl_product_preparations[[#This Row],[kcal_per_100g]]*tbl_product_preparations[[#This Row],[density_lookup]],1),
   ""
)</f>
        <v/>
      </c>
      <c r="I72" s="35">
        <v>0.8</v>
      </c>
      <c r="J72" s="35">
        <v>3</v>
      </c>
      <c r="K72" s="35">
        <v>0.3</v>
      </c>
      <c r="L72" s="35">
        <v>0</v>
      </c>
      <c r="M72" s="32">
        <v>2</v>
      </c>
      <c r="N72" s="35">
        <v>2</v>
      </c>
      <c r="O72" s="47">
        <f>IF(tbl_product_preparations[[#This Row],[sugar_per_100g]]=0,tbl_product_preparations[[#This Row],[carbs_per_100g]],tbl_product_preparations[[#This Row],[sugar_per_100g]])</f>
        <v>2</v>
      </c>
      <c r="P72" s="37">
        <v>1E-3</v>
      </c>
      <c r="Q72" s="48">
        <f>IF(tbl_product_preparations[[#This Row],[sodium_per_100g]]=0,
tbl_product_preparations[[#This Row],[salt_per_100g]]/2.5,
tbl_product_preparations[[#This Row],[sodium_per_100g]])</f>
        <v>1E-3</v>
      </c>
      <c r="R72" s="24">
        <f>ROUND(tbl_product_preparations[[#This Row],[sodium_per_100g]]*2.5,3)</f>
        <v>3.0000000000000001E-3</v>
      </c>
      <c r="S72" s="24">
        <f>IF(tbl_product_preparations[[#This Row],[salt_per_100g]]=0,
tbl_product_preparations[[#This Row],[sodium_per_100g]]*2.5,
tbl_product_preparations[[#This Row],[salt_per_100g]])</f>
        <v>3.0000000000000001E-3</v>
      </c>
      <c r="T72" s="35">
        <v>89.2</v>
      </c>
      <c r="U72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ERROR</v>
      </c>
      <c r="V72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21.9</v>
      </c>
      <c r="W72" s="19">
        <f>IF(tbl_product_preparations[[#This Row],[kcal_per_100g]]=0,0,ABS((tbl_product_preparations[[#This Row],[kcal_per_100g]]-tbl_product_preparations[[#This Row],[kcal_calc]])/tbl_product_preparations[[#This Row],[kcal_per_100g]])*100)</f>
        <v>39.166666666666671</v>
      </c>
      <c r="X72" s="19">
        <f>ROUND(tbl_product_preparations[[#This Row],[kcal_calc]],1)</f>
        <v>21.9</v>
      </c>
      <c r="Y72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95.301000000000002</v>
      </c>
      <c r="Z72" s="19" t="str">
        <f>IF(
  tbl_product_preparations[[#This Row],[macro_sum]] &lt;=
  100 + _xlfn.XLOOKUP("WATER_TOTAL_TOLERANCE",tbl_config[config_key],tbl_config[config_value]),
  "OK",
  "ERROR"
)</f>
        <v>OK</v>
      </c>
      <c r="AA72" s="15" t="str">
        <f>_xlfn.LET(
   _xlpm.d, _xlfn.XLOOKUP(tbl_product_preparations[[#This Row],[product_key]],tbl_products[product_key],tbl_products[density_g_per_ml]),
   IF(AND(ISNUMBER(_xlpm.d), _xlpm.d&gt;0), _xlpm.d, "")
)</f>
        <v/>
      </c>
      <c r="AB72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72" s="19" cm="1">
        <f t="array" ref="AC72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62.385535853968562</v>
      </c>
      <c r="AD72" s="19" cm="1">
        <f t="array" ref="AD72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62.000688798094586</v>
      </c>
      <c r="AE72" s="19" cm="1">
        <f t="array" ref="AE72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37.531109885139955</v>
      </c>
      <c r="AF72" s="19">
        <f>IF(tbl_product_preparations[[#This Row],[kcal_per_100g]]&lt;5,
 0,
 MAX(0,MIN(100,
  ((tbl_product_preparations[[#This Row],[protein_per_100g]]/tbl_product_preparations[[#This Row],[kcal_per_100g]]*100 - 1) / 7 * 100)
 ))
)</f>
        <v>17.460317460317462</v>
      </c>
      <c r="AG72" s="19">
        <f>IF(tbl_product_preparations[[#This Row],[kcal_per_100g]]&lt;5,
 0,
 MAX(0,MIN(100,(tbl_product_preparations[[#This Row],[fiber_per_100g]]/8*100)))
)</f>
        <v>25</v>
      </c>
      <c r="AH72" s="19">
        <f>MAX(0,MIN(100,100-(tbl_product_preparations[[#This Row],[sugar_per_100g]]/15*100)))</f>
        <v>86.666666666666671</v>
      </c>
      <c r="AI72" s="19">
        <f>MAX(0,100-(tbl_product_preparations[[#This Row],[alcohol_per_100g]]*50))</f>
        <v>100</v>
      </c>
      <c r="AJ72" s="19">
        <f>ROUND(tbl_product_preparations[[#This Row],[water_percent]],0)</f>
        <v>89</v>
      </c>
      <c r="AK72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60</v>
      </c>
      <c r="AL72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57</v>
      </c>
      <c r="AM72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41</v>
      </c>
      <c r="AN72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C</v>
      </c>
      <c r="AO72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C</v>
      </c>
      <c r="AP72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D</v>
      </c>
      <c r="AQ72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FRUITS</v>
      </c>
      <c r="AR72" s="19"/>
      <c r="AS72" s="19" t="str">
        <f>INDEX(tbl_products[lose_modifier_group],
MATCH(tbl_product_preparations[[#This Row],[product_key]],
tbl_products[product_key],0))</f>
        <v>FRUIT_WHOLE</v>
      </c>
      <c r="AT72" s="19">
        <f>INDEX(BONUS_MALUS_LOSE[Modifier],
MATCH(tbl_product_preparations[[#This Row],[lose_modifier_group]],
BONUS_MALUS_LOSE[Group],0))</f>
        <v>3</v>
      </c>
      <c r="AU72" s="19" t="str">
        <f>INDEX(tbl_products[maintain_modifier_group],
MATCH(tbl_product_preparations[[#This Row],[product_key]],
tbl_products[product_key],0))</f>
        <v>FRUIT_WHOLE</v>
      </c>
      <c r="AV72" s="19">
        <f>INDEX(BONUS_MALUS_MAINTAIN[Modifier],
MATCH(tbl_product_preparations[[#This Row],[maintain_modifier_group]],
BONUS_MALUS_MAINTAIN[Group],0))</f>
        <v>2</v>
      </c>
      <c r="AW72" s="19" t="str">
        <f>INDEX(tbl_products[gain_modifier_group],
MATCH(tbl_product_preparations[[#This Row],[product_key]],
tbl_products[product_key],0))</f>
        <v>FRUIT_WHOLE</v>
      </c>
      <c r="AX72" s="19">
        <f>INDEX(BONUS_MALUS_GAIN[Modifier],
MATCH(tbl_product_preparations[[#This Row],[gain_modifier_group]],
BONUS_MALUS_GAIN[Group],0))</f>
        <v>1</v>
      </c>
      <c r="AY72" s="19">
        <f>INDEX(PREPARATION_MODIFIERS[lose_preparation_modifier],
MATCH(tbl_product_preparations[[#This Row],[preparation_key]],
PREPARATION_MODIFIERS[preparation_key],0))</f>
        <v>0</v>
      </c>
      <c r="AZ72" s="19">
        <f>INDEX(PREPARATION_MODIFIERS[maintain_preparation_modifier],
MATCH(tbl_product_preparations[[#This Row],[preparation_key]],
PREPARATION_MODIFIERS[preparation_key],0))</f>
        <v>0</v>
      </c>
      <c r="BA72" s="19">
        <f>INDEX(PREPARATION_MODIFIERS[gain_preparation_modifier],
MATCH(tbl_product_preparations[[#This Row],[preparation_key]],
PREPARATION_MODIFIERS[preparation_key],0))</f>
        <v>0</v>
      </c>
    </row>
    <row r="73" spans="1:53" x14ac:dyDescent="0.2">
      <c r="A73" s="31" t="s">
        <v>913</v>
      </c>
      <c r="B73" s="31" t="s">
        <v>115</v>
      </c>
      <c r="C73" s="31" t="s">
        <v>160</v>
      </c>
      <c r="D73" s="31" t="s">
        <v>919</v>
      </c>
      <c r="E73" s="53" t="str">
        <f>IF(tbl_product_preparations[[#This Row],[source_key]]="MANUFACTURER","MANUFACTURER",
IF(tbl_product_preparations[[#This Row],[source_key]]="CALCULATED","CALCULATED",
"REAL"))</f>
        <v>REAL</v>
      </c>
      <c r="F73" s="53" t="str">
        <f>IF(LEFT(tbl_product_preparations[[#This Row],[source_key]],4)="USDA","US","EU")</f>
        <v>EU</v>
      </c>
      <c r="G73" s="32">
        <v>41</v>
      </c>
      <c r="H73" s="18" t="str">
        <f>IF(
   ISNUMBER(tbl_product_preparations[[#This Row],[density_lookup]]),
   ROUND(tbl_product_preparations[[#This Row],[kcal_per_100g]]*tbl_product_preparations[[#This Row],[density_lookup]],1),
   ""
)</f>
        <v/>
      </c>
      <c r="I73" s="35">
        <v>0.7</v>
      </c>
      <c r="J73" s="35">
        <v>7.7</v>
      </c>
      <c r="K73" s="35">
        <v>0.2</v>
      </c>
      <c r="L73" s="35">
        <v>0</v>
      </c>
      <c r="M73" s="32">
        <v>2.8</v>
      </c>
      <c r="N73" s="35">
        <v>1.7</v>
      </c>
      <c r="O73" s="47">
        <f>IF(tbl_product_preparations[[#This Row],[sugar_per_100g]]=0,tbl_product_preparations[[#This Row],[carbs_per_100g]],tbl_product_preparations[[#This Row],[sugar_per_100g]])</f>
        <v>1.7</v>
      </c>
      <c r="P73" s="37">
        <v>2E-3</v>
      </c>
      <c r="Q73" s="48">
        <f>IF(tbl_product_preparations[[#This Row],[sodium_per_100g]]=0,
tbl_product_preparations[[#This Row],[salt_per_100g]]/2.5,
tbl_product_preparations[[#This Row],[sodium_per_100g]])</f>
        <v>2E-3</v>
      </c>
      <c r="R73" s="24">
        <f>ROUND(tbl_product_preparations[[#This Row],[sodium_per_100g]]*2.5,3)</f>
        <v>5.0000000000000001E-3</v>
      </c>
      <c r="S73" s="24">
        <f>IF(tbl_product_preparations[[#This Row],[salt_per_100g]]=0,
tbl_product_preparations[[#This Row],[sodium_per_100g]]*2.5,
tbl_product_preparations[[#This Row],[salt_per_100g]])</f>
        <v>5.0000000000000001E-3</v>
      </c>
      <c r="T73" s="35">
        <v>88.3</v>
      </c>
      <c r="U73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73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41</v>
      </c>
      <c r="W73" s="19">
        <f>IF(tbl_product_preparations[[#This Row],[kcal_per_100g]]=0,0,ABS((tbl_product_preparations[[#This Row],[kcal_per_100g]]-tbl_product_preparations[[#This Row],[kcal_calc]])/tbl_product_preparations[[#This Row],[kcal_per_100g]])*100)</f>
        <v>0</v>
      </c>
      <c r="X73" s="19">
        <f>ROUND(tbl_product_preparations[[#This Row],[kcal_calc]],1)</f>
        <v>41</v>
      </c>
      <c r="Y73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99.701999999999998</v>
      </c>
      <c r="Z73" s="19" t="str">
        <f>IF(
  tbl_product_preparations[[#This Row],[macro_sum]] &lt;=
  100 + _xlfn.XLOOKUP("WATER_TOTAL_TOLERANCE",tbl_config[config_key],tbl_config[config_value]),
  "OK",
  "ERROR"
)</f>
        <v>OK</v>
      </c>
      <c r="AA73" s="15" t="str">
        <f>_xlfn.LET(
   _xlpm.d, _xlfn.XLOOKUP(tbl_product_preparations[[#This Row],[product_key]],tbl_products[product_key],tbl_products[density_g_per_ml]),
   IF(AND(ISNUMBER(_xlpm.d), _xlpm.d&gt;0), _xlpm.d, "")
)</f>
        <v/>
      </c>
      <c r="AB73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73" s="19" cm="1">
        <f t="array" ref="AC73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70.944996517052203</v>
      </c>
      <c r="AD73" s="19" cm="1">
        <f t="array" ref="AD73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68.690755745738784</v>
      </c>
      <c r="AE73" s="19" cm="1">
        <f t="array" ref="AE73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42.029200656495121</v>
      </c>
      <c r="AF73" s="19">
        <f>IF(tbl_product_preparations[[#This Row],[kcal_per_100g]]&lt;5,
 0,
 MAX(0,MIN(100,
  ((tbl_product_preparations[[#This Row],[protein_per_100g]]/tbl_product_preparations[[#This Row],[kcal_per_100g]]*100 - 1) / 7 * 100)
 ))
)</f>
        <v>10.104529616724735</v>
      </c>
      <c r="AG73" s="19">
        <f>IF(tbl_product_preparations[[#This Row],[kcal_per_100g]]&lt;5,
 0,
 MAX(0,MIN(100,(tbl_product_preparations[[#This Row],[fiber_per_100g]]/8*100)))
)</f>
        <v>35</v>
      </c>
      <c r="AH73" s="19">
        <f>MAX(0,MIN(100,100-(tbl_product_preparations[[#This Row],[sugar_per_100g]]/15*100)))</f>
        <v>88.666666666666671</v>
      </c>
      <c r="AI73" s="19">
        <f>MAX(0,100-(tbl_product_preparations[[#This Row],[alcohol_per_100g]]*50))</f>
        <v>100</v>
      </c>
      <c r="AJ73" s="19">
        <f>ROUND(tbl_product_preparations[[#This Row],[water_percent]],0)</f>
        <v>88</v>
      </c>
      <c r="AK73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64</v>
      </c>
      <c r="AL73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59</v>
      </c>
      <c r="AM73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42</v>
      </c>
      <c r="AN73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C</v>
      </c>
      <c r="AO73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C</v>
      </c>
      <c r="AP73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D</v>
      </c>
      <c r="AQ73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FRUITS</v>
      </c>
      <c r="AR73" s="19"/>
      <c r="AS73" s="19" t="str">
        <f>INDEX(tbl_products[lose_modifier_group],
MATCH(tbl_product_preparations[[#This Row],[product_key]],
tbl_products[product_key],0))</f>
        <v>FRUIT_WHOLE</v>
      </c>
      <c r="AT73" s="19">
        <f>INDEX(BONUS_MALUS_LOSE[Modifier],
MATCH(tbl_product_preparations[[#This Row],[lose_modifier_group]],
BONUS_MALUS_LOSE[Group],0))</f>
        <v>3</v>
      </c>
      <c r="AU73" s="19" t="str">
        <f>INDEX(tbl_products[maintain_modifier_group],
MATCH(tbl_product_preparations[[#This Row],[product_key]],
tbl_products[product_key],0))</f>
        <v>FRUIT_WHOLE</v>
      </c>
      <c r="AV73" s="19">
        <f>INDEX(BONUS_MALUS_MAINTAIN[Modifier],
MATCH(tbl_product_preparations[[#This Row],[maintain_modifier_group]],
BONUS_MALUS_MAINTAIN[Group],0))</f>
        <v>2</v>
      </c>
      <c r="AW73" s="19" t="str">
        <f>INDEX(tbl_products[gain_modifier_group],
MATCH(tbl_product_preparations[[#This Row],[product_key]],
tbl_products[product_key],0))</f>
        <v>FRUIT_WHOLE</v>
      </c>
      <c r="AX73" s="19">
        <f>INDEX(BONUS_MALUS_GAIN[Modifier],
MATCH(tbl_product_preparations[[#This Row],[gain_modifier_group]],
BONUS_MALUS_GAIN[Group],0))</f>
        <v>1</v>
      </c>
      <c r="AY73" s="19">
        <f>INDEX(PREPARATION_MODIFIERS[lose_preparation_modifier],
MATCH(tbl_product_preparations[[#This Row],[preparation_key]],
PREPARATION_MODIFIERS[preparation_key],0))</f>
        <v>0</v>
      </c>
      <c r="AZ73" s="19">
        <f>INDEX(PREPARATION_MODIFIERS[maintain_preparation_modifier],
MATCH(tbl_product_preparations[[#This Row],[preparation_key]],
PREPARATION_MODIFIERS[preparation_key],0))</f>
        <v>0</v>
      </c>
      <c r="BA73" s="19">
        <f>INDEX(PREPARATION_MODIFIERS[gain_preparation_modifier],
MATCH(tbl_product_preparations[[#This Row],[preparation_key]],
PREPARATION_MODIFIERS[preparation_key],0))</f>
        <v>0</v>
      </c>
    </row>
    <row r="74" spans="1:53" x14ac:dyDescent="0.2">
      <c r="A74" s="31" t="s">
        <v>628</v>
      </c>
      <c r="B74" s="31" t="s">
        <v>115</v>
      </c>
      <c r="C74" s="31" t="s">
        <v>160</v>
      </c>
      <c r="D74" s="31" t="s">
        <v>633</v>
      </c>
      <c r="E74" s="53" t="str">
        <f>IF(tbl_product_preparations[[#This Row],[source_key]]="MANUFACTURER","MANUFACTURER",
IF(tbl_product_preparations[[#This Row],[source_key]]="CALCULATED","CALCULATED",
"REAL"))</f>
        <v>REAL</v>
      </c>
      <c r="F74" s="53" t="str">
        <f>IF(LEFT(tbl_product_preparations[[#This Row],[source_key]],4)="USDA","US","EU")</f>
        <v>EU</v>
      </c>
      <c r="G74" s="32">
        <v>46</v>
      </c>
      <c r="H74" s="18" t="str">
        <f>IF(
   ISNUMBER(tbl_product_preparations[[#This Row],[density_lookup]]),
   ROUND(tbl_product_preparations[[#This Row],[kcal_per_100g]]*tbl_product_preparations[[#This Row],[density_lookup]],1),
   ""
)</f>
        <v/>
      </c>
      <c r="I74" s="35">
        <v>0.7</v>
      </c>
      <c r="J74" s="35">
        <v>9.9</v>
      </c>
      <c r="K74" s="35">
        <v>0.1</v>
      </c>
      <c r="L74" s="35">
        <v>0</v>
      </c>
      <c r="M74" s="32">
        <v>0.9</v>
      </c>
      <c r="N74" s="35">
        <v>8.1999999999999993</v>
      </c>
      <c r="O74" s="47">
        <f>IF(tbl_product_preparations[[#This Row],[sugar_per_100g]]=0,tbl_product_preparations[[#This Row],[carbs_per_100g]],tbl_product_preparations[[#This Row],[sugar_per_100g]])</f>
        <v>8.1999999999999993</v>
      </c>
      <c r="P74" s="37">
        <v>1E-3</v>
      </c>
      <c r="Q74" s="48">
        <f>IF(tbl_product_preparations[[#This Row],[sodium_per_100g]]=0,
tbl_product_preparations[[#This Row],[salt_per_100g]]/2.5,
tbl_product_preparations[[#This Row],[sodium_per_100g]])</f>
        <v>1E-3</v>
      </c>
      <c r="R74" s="24">
        <f>ROUND(tbl_product_preparations[[#This Row],[sodium_per_100g]]*2.5,3)</f>
        <v>3.0000000000000001E-3</v>
      </c>
      <c r="S74" s="24">
        <f>IF(tbl_product_preparations[[#This Row],[salt_per_100g]]=0,
tbl_product_preparations[[#This Row],[sodium_per_100g]]*2.5,
tbl_product_preparations[[#This Row],[salt_per_100g]])</f>
        <v>3.0000000000000001E-3</v>
      </c>
      <c r="T74" s="35">
        <v>88</v>
      </c>
      <c r="U74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74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45.099999999999994</v>
      </c>
      <c r="W74" s="19">
        <f>IF(tbl_product_preparations[[#This Row],[kcal_per_100g]]=0,0,ABS((tbl_product_preparations[[#This Row],[kcal_per_100g]]-tbl_product_preparations[[#This Row],[kcal_calc]])/tbl_product_preparations[[#This Row],[kcal_per_100g]])*100)</f>
        <v>1.956521739130447</v>
      </c>
      <c r="X74" s="19">
        <f>ROUND(tbl_product_preparations[[#This Row],[kcal_calc]],1)</f>
        <v>45.1</v>
      </c>
      <c r="Y74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99.600999999999999</v>
      </c>
      <c r="Z74" s="19" t="str">
        <f>IF(
  tbl_product_preparations[[#This Row],[macro_sum]] &lt;=
  100 + _xlfn.XLOOKUP("WATER_TOTAL_TOLERANCE",tbl_config[config_key],tbl_config[config_value]),
  "OK",
  "ERROR"
)</f>
        <v>OK</v>
      </c>
      <c r="AA74" s="15" t="str">
        <f>_xlfn.LET(
   _xlpm.d, _xlfn.XLOOKUP(tbl_product_preparations[[#This Row],[product_key]],tbl_products[product_key],tbl_products[density_g_per_ml]),
   IF(AND(ISNUMBER(_xlpm.d), _xlpm.d&gt;0), _xlpm.d, "")
)</f>
        <v/>
      </c>
      <c r="AB74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74" s="19" cm="1">
        <f t="array" ref="AC74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79.049018324957714</v>
      </c>
      <c r="AD74" s="19" cm="1">
        <f t="array" ref="AD74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75.1689380082437</v>
      </c>
      <c r="AE74" s="19" cm="1">
        <f t="array" ref="AE74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46.740668448561891</v>
      </c>
      <c r="AF74" s="19">
        <f>IF(tbl_product_preparations[[#This Row],[kcal_per_100g]]&lt;5,
 0,
 MAX(0,MIN(100,
  ((tbl_product_preparations[[#This Row],[protein_per_100g]]/tbl_product_preparations[[#This Row],[kcal_per_100g]]*100 - 1) / 7 * 100)
 ))
)</f>
        <v>7.4534161490683219</v>
      </c>
      <c r="AG74" s="19">
        <f>IF(tbl_product_preparations[[#This Row],[kcal_per_100g]]&lt;5,
 0,
 MAX(0,MIN(100,(tbl_product_preparations[[#This Row],[fiber_per_100g]]/8*100)))
)</f>
        <v>11.25</v>
      </c>
      <c r="AH74" s="19">
        <f>MAX(0,MIN(100,100-(tbl_product_preparations[[#This Row],[sugar_per_100g]]/15*100)))</f>
        <v>45.333333333333336</v>
      </c>
      <c r="AI74" s="19">
        <f>MAX(0,100-(tbl_product_preparations[[#This Row],[alcohol_per_100g]]*50))</f>
        <v>100</v>
      </c>
      <c r="AJ74" s="19">
        <f>ROUND(tbl_product_preparations[[#This Row],[water_percent]],0)</f>
        <v>88</v>
      </c>
      <c r="AK74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57</v>
      </c>
      <c r="AL74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53</v>
      </c>
      <c r="AM74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39</v>
      </c>
      <c r="AN74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C</v>
      </c>
      <c r="AO74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C</v>
      </c>
      <c r="AP74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D</v>
      </c>
      <c r="AQ74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FRUITS</v>
      </c>
      <c r="AR74" s="19"/>
      <c r="AS74" s="19" t="str">
        <f>INDEX(tbl_products[lose_modifier_group],
MATCH(tbl_product_preparations[[#This Row],[product_key]],
tbl_products[product_key],0))</f>
        <v>FRUIT_WHOLE</v>
      </c>
      <c r="AT74" s="19">
        <f>INDEX(BONUS_MALUS_LOSE[Modifier],
MATCH(tbl_product_preparations[[#This Row],[lose_modifier_group]],
BONUS_MALUS_LOSE[Group],0))</f>
        <v>3</v>
      </c>
      <c r="AU74" s="19" t="str">
        <f>INDEX(tbl_products[maintain_modifier_group],
MATCH(tbl_product_preparations[[#This Row],[product_key]],
tbl_products[product_key],0))</f>
        <v>FRUIT_WHOLE</v>
      </c>
      <c r="AV74" s="19">
        <f>INDEX(BONUS_MALUS_MAINTAIN[Modifier],
MATCH(tbl_product_preparations[[#This Row],[maintain_modifier_group]],
BONUS_MALUS_MAINTAIN[Group],0))</f>
        <v>2</v>
      </c>
      <c r="AW74" s="19" t="str">
        <f>INDEX(tbl_products[gain_modifier_group],
MATCH(tbl_product_preparations[[#This Row],[product_key]],
tbl_products[product_key],0))</f>
        <v>FRUIT_WHOLE</v>
      </c>
      <c r="AX74" s="19">
        <f>INDEX(BONUS_MALUS_GAIN[Modifier],
MATCH(tbl_product_preparations[[#This Row],[gain_modifier_group]],
BONUS_MALUS_GAIN[Group],0))</f>
        <v>1</v>
      </c>
      <c r="AY74" s="19">
        <f>INDEX(PREPARATION_MODIFIERS[lose_preparation_modifier],
MATCH(tbl_product_preparations[[#This Row],[preparation_key]],
PREPARATION_MODIFIERS[preparation_key],0))</f>
        <v>0</v>
      </c>
      <c r="AZ74" s="19">
        <f>INDEX(PREPARATION_MODIFIERS[maintain_preparation_modifier],
MATCH(tbl_product_preparations[[#This Row],[preparation_key]],
PREPARATION_MODIFIERS[preparation_key],0))</f>
        <v>0</v>
      </c>
      <c r="BA74" s="19">
        <f>INDEX(PREPARATION_MODIFIERS[gain_preparation_modifier],
MATCH(tbl_product_preparations[[#This Row],[preparation_key]],
PREPARATION_MODIFIERS[preparation_key],0))</f>
        <v>0</v>
      </c>
    </row>
    <row r="75" spans="1:53" x14ac:dyDescent="0.2">
      <c r="A75" s="31" t="s">
        <v>780</v>
      </c>
      <c r="B75" s="31" t="s">
        <v>115</v>
      </c>
      <c r="C75" s="31" t="s">
        <v>160</v>
      </c>
      <c r="D75" s="31" t="s">
        <v>783</v>
      </c>
      <c r="E75" s="53" t="str">
        <f>IF(tbl_product_preparations[[#This Row],[source_key]]="MANUFACTURER","MANUFACTURER",
IF(tbl_product_preparations[[#This Row],[source_key]]="CALCULATED","CALCULATED",
"REAL"))</f>
        <v>REAL</v>
      </c>
      <c r="F75" s="53" t="str">
        <f>IF(LEFT(tbl_product_preparations[[#This Row],[source_key]],4)="USDA","US","EU")</f>
        <v>EU</v>
      </c>
      <c r="G75" s="32">
        <v>66</v>
      </c>
      <c r="H75" s="18" t="str">
        <f>IF(
   ISNUMBER(tbl_product_preparations[[#This Row],[density_lookup]]),
   ROUND(tbl_product_preparations[[#This Row],[kcal_per_100g]]*tbl_product_preparations[[#This Row],[density_lookup]],1),
   ""
)</f>
        <v/>
      </c>
      <c r="I75" s="35">
        <v>0.6</v>
      </c>
      <c r="J75" s="35">
        <v>14.3</v>
      </c>
      <c r="K75" s="35">
        <v>0.2</v>
      </c>
      <c r="L75" s="35">
        <v>0</v>
      </c>
      <c r="M75" s="32">
        <v>1.6</v>
      </c>
      <c r="N75" s="35">
        <v>13.9</v>
      </c>
      <c r="O75" s="47">
        <f>IF(tbl_product_preparations[[#This Row],[sugar_per_100g]]=0,tbl_product_preparations[[#This Row],[carbs_per_100g]],tbl_product_preparations[[#This Row],[sugar_per_100g]])</f>
        <v>13.9</v>
      </c>
      <c r="P75" s="37">
        <v>1E-3</v>
      </c>
      <c r="Q75" s="48">
        <f>IF(tbl_product_preparations[[#This Row],[sodium_per_100g]]=0,
tbl_product_preparations[[#This Row],[salt_per_100g]]/2.5,
tbl_product_preparations[[#This Row],[sodium_per_100g]])</f>
        <v>1E-3</v>
      </c>
      <c r="R75" s="24">
        <f>ROUND(tbl_product_preparations[[#This Row],[sodium_per_100g]]*2.5,3)</f>
        <v>3.0000000000000001E-3</v>
      </c>
      <c r="S75" s="24">
        <f>IF(tbl_product_preparations[[#This Row],[salt_per_100g]]=0,
tbl_product_preparations[[#This Row],[sodium_per_100g]]*2.5,
tbl_product_preparations[[#This Row],[salt_per_100g]])</f>
        <v>3.0000000000000001E-3</v>
      </c>
      <c r="T75" s="35">
        <v>82.9</v>
      </c>
      <c r="U75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75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64.599999999999994</v>
      </c>
      <c r="W75" s="19">
        <f>IF(tbl_product_preparations[[#This Row],[kcal_per_100g]]=0,0,ABS((tbl_product_preparations[[#This Row],[kcal_per_100g]]-tbl_product_preparations[[#This Row],[kcal_calc]])/tbl_product_preparations[[#This Row],[kcal_per_100g]])*100)</f>
        <v>2.1212121212121295</v>
      </c>
      <c r="X75" s="19">
        <f>ROUND(tbl_product_preparations[[#This Row],[kcal_calc]],1)</f>
        <v>64.599999999999994</v>
      </c>
      <c r="Y75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99.600999999999999</v>
      </c>
      <c r="Z75" s="19" t="str">
        <f>IF(
  tbl_product_preparations[[#This Row],[macro_sum]] &lt;=
  100 + _xlfn.XLOOKUP("WATER_TOTAL_TOLERANCE",tbl_config[config_key],tbl_config[config_value]),
  "OK",
  "ERROR"
)</f>
        <v>OK</v>
      </c>
      <c r="AA75" s="15" t="str">
        <f>_xlfn.LET(
   _xlpm.d, _xlfn.XLOOKUP(tbl_product_preparations[[#This Row],[product_key]],tbl_products[product_key],tbl_products[density_g_per_ml]),
   IF(AND(ISNUMBER(_xlpm.d), _xlpm.d&gt;0), _xlpm.d, "")
)</f>
        <v/>
      </c>
      <c r="AB75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75" s="19" cm="1">
        <f t="array" ref="AC75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99.349066585837107</v>
      </c>
      <c r="AD75" s="19" cm="1">
        <f t="array" ref="AD75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95.275731476598764</v>
      </c>
      <c r="AE75" s="19" cm="1">
        <f t="array" ref="AE75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66.697681085847435</v>
      </c>
      <c r="AF75" s="19">
        <f>IF(tbl_product_preparations[[#This Row],[kcal_per_100g]]&lt;5,
 0,
 MAX(0,MIN(100,
  ((tbl_product_preparations[[#This Row],[protein_per_100g]]/tbl_product_preparations[[#This Row],[kcal_per_100g]]*100 - 1) / 7 * 100)
 ))
)</f>
        <v>0</v>
      </c>
      <c r="AG75" s="19">
        <f>IF(tbl_product_preparations[[#This Row],[kcal_per_100g]]&lt;5,
 0,
 MAX(0,MIN(100,(tbl_product_preparations[[#This Row],[fiber_per_100g]]/8*100)))
)</f>
        <v>20</v>
      </c>
      <c r="AH75" s="19">
        <f>MAX(0,MIN(100,100-(tbl_product_preparations[[#This Row],[sugar_per_100g]]/15*100)))</f>
        <v>7.3333333333333428</v>
      </c>
      <c r="AI75" s="19">
        <f>MAX(0,100-(tbl_product_preparations[[#This Row],[alcohol_per_100g]]*50))</f>
        <v>100</v>
      </c>
      <c r="AJ75" s="19">
        <f>ROUND(tbl_product_preparations[[#This Row],[water_percent]],0)</f>
        <v>83</v>
      </c>
      <c r="AK75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61</v>
      </c>
      <c r="AL75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55</v>
      </c>
      <c r="AM75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44</v>
      </c>
      <c r="AN75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C</v>
      </c>
      <c r="AO75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C</v>
      </c>
      <c r="AP75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D</v>
      </c>
      <c r="AQ75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FRUITS</v>
      </c>
      <c r="AR75" s="19"/>
      <c r="AS75" s="19" t="str">
        <f>INDEX(tbl_products[lose_modifier_group],
MATCH(tbl_product_preparations[[#This Row],[product_key]],
tbl_products[product_key],0))</f>
        <v>FRUIT_WHOLE</v>
      </c>
      <c r="AT75" s="19">
        <f>INDEX(BONUS_MALUS_LOSE[Modifier],
MATCH(tbl_product_preparations[[#This Row],[lose_modifier_group]],
BONUS_MALUS_LOSE[Group],0))</f>
        <v>3</v>
      </c>
      <c r="AU75" s="19" t="str">
        <f>INDEX(tbl_products[maintain_modifier_group],
MATCH(tbl_product_preparations[[#This Row],[product_key]],
tbl_products[product_key],0))</f>
        <v>FRUIT_WHOLE</v>
      </c>
      <c r="AV75" s="19">
        <f>INDEX(BONUS_MALUS_MAINTAIN[Modifier],
MATCH(tbl_product_preparations[[#This Row],[maintain_modifier_group]],
BONUS_MALUS_MAINTAIN[Group],0))</f>
        <v>2</v>
      </c>
      <c r="AW75" s="19" t="str">
        <f>INDEX(tbl_products[gain_modifier_group],
MATCH(tbl_product_preparations[[#This Row],[product_key]],
tbl_products[product_key],0))</f>
        <v>FRUIT_WHOLE</v>
      </c>
      <c r="AX75" s="19">
        <f>INDEX(BONUS_MALUS_GAIN[Modifier],
MATCH(tbl_product_preparations[[#This Row],[gain_modifier_group]],
BONUS_MALUS_GAIN[Group],0))</f>
        <v>1</v>
      </c>
      <c r="AY75" s="19">
        <f>INDEX(PREPARATION_MODIFIERS[lose_preparation_modifier],
MATCH(tbl_product_preparations[[#This Row],[preparation_key]],
PREPARATION_MODIFIERS[preparation_key],0))</f>
        <v>0</v>
      </c>
      <c r="AZ75" s="19">
        <f>INDEX(PREPARATION_MODIFIERS[maintain_preparation_modifier],
MATCH(tbl_product_preparations[[#This Row],[preparation_key]],
PREPARATION_MODIFIERS[preparation_key],0))</f>
        <v>0</v>
      </c>
      <c r="BA75" s="19">
        <f>INDEX(PREPARATION_MODIFIERS[gain_preparation_modifier],
MATCH(tbl_product_preparations[[#This Row],[preparation_key]],
PREPARATION_MODIFIERS[preparation_key],0))</f>
        <v>0</v>
      </c>
    </row>
    <row r="76" spans="1:53" x14ac:dyDescent="0.2">
      <c r="A76" s="31" t="s">
        <v>739</v>
      </c>
      <c r="B76" s="31" t="s">
        <v>115</v>
      </c>
      <c r="C76" s="31" t="s">
        <v>160</v>
      </c>
      <c r="D76" s="31" t="s">
        <v>754</v>
      </c>
      <c r="E76" s="53" t="str">
        <f>IF(tbl_product_preparations[[#This Row],[source_key]]="MANUFACTURER","MANUFACTURER",
IF(tbl_product_preparations[[#This Row],[source_key]]="CALCULATED","CALCULATED",
"REAL"))</f>
        <v>REAL</v>
      </c>
      <c r="F76" s="53" t="str">
        <f>IF(LEFT(tbl_product_preparations[[#This Row],[source_key]],4)="USDA","US","EU")</f>
        <v>EU</v>
      </c>
      <c r="G76" s="32">
        <v>31</v>
      </c>
      <c r="H76" s="18" t="str">
        <f>IF(
   ISNUMBER(tbl_product_preparations[[#This Row],[density_lookup]]),
   ROUND(tbl_product_preparations[[#This Row],[kcal_per_100g]]*tbl_product_preparations[[#This Row],[density_lookup]],1),
   ""
)</f>
        <v/>
      </c>
      <c r="I76" s="35">
        <v>0.5</v>
      </c>
      <c r="J76" s="35">
        <v>6.9</v>
      </c>
      <c r="K76" s="35">
        <v>0</v>
      </c>
      <c r="L76" s="35">
        <v>0</v>
      </c>
      <c r="M76" s="32">
        <v>0.5</v>
      </c>
      <c r="N76" s="35">
        <v>6.9</v>
      </c>
      <c r="O76" s="47">
        <f>IF(tbl_product_preparations[[#This Row],[sugar_per_100g]]=0,tbl_product_preparations[[#This Row],[carbs_per_100g]],tbl_product_preparations[[#This Row],[sugar_per_100g]])</f>
        <v>6.9</v>
      </c>
      <c r="P76" s="37">
        <v>0.01</v>
      </c>
      <c r="Q76" s="48">
        <f>IF(tbl_product_preparations[[#This Row],[sodium_per_100g]]=0,
tbl_product_preparations[[#This Row],[salt_per_100g]]/2.5,
tbl_product_preparations[[#This Row],[sodium_per_100g]])</f>
        <v>0.01</v>
      </c>
      <c r="R76" s="24">
        <f>ROUND(tbl_product_preparations[[#This Row],[sodium_per_100g]]*2.5,3)</f>
        <v>2.5000000000000001E-2</v>
      </c>
      <c r="S76" s="24">
        <f>IF(tbl_product_preparations[[#This Row],[salt_per_100g]]=0,
tbl_product_preparations[[#This Row],[sodium_per_100g]]*2.5,
tbl_product_preparations[[#This Row],[salt_per_100g]])</f>
        <v>2.5000000000000001E-2</v>
      </c>
      <c r="T76" s="35">
        <v>93.3</v>
      </c>
      <c r="U76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76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30.6</v>
      </c>
      <c r="W76" s="19">
        <f>IF(tbl_product_preparations[[#This Row],[kcal_per_100g]]=0,0,ABS((tbl_product_preparations[[#This Row],[kcal_per_100g]]-tbl_product_preparations[[#This Row],[kcal_calc]])/tbl_product_preparations[[#This Row],[kcal_per_100g]])*100)</f>
        <v>1.2903225806451568</v>
      </c>
      <c r="X76" s="19">
        <f>ROUND(tbl_product_preparations[[#This Row],[kcal_calc]],1)</f>
        <v>30.6</v>
      </c>
      <c r="Y76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101.21</v>
      </c>
      <c r="Z76" s="19" t="str">
        <f>IF(
  tbl_product_preparations[[#This Row],[macro_sum]] &lt;=
  100 + _xlfn.XLOOKUP("WATER_TOTAL_TOLERANCE",tbl_config[config_key],tbl_config[config_value]),
  "OK",
  "ERROR"
)</f>
        <v>OK</v>
      </c>
      <c r="AA76" s="15" t="str">
        <f>_xlfn.LET(
   _xlpm.d, _xlfn.XLOOKUP(tbl_product_preparations[[#This Row],[product_key]],tbl_products[product_key],tbl_products[density_g_per_ml]),
   IF(AND(ISNUMBER(_xlpm.d), _xlpm.d&gt;0), _xlpm.d, "")
)</f>
        <v/>
      </c>
      <c r="AB76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76" s="19" cm="1">
        <f t="array" ref="AC76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53.750547846963691</v>
      </c>
      <c r="AD76" s="19" cm="1">
        <f t="array" ref="AD76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55.275550158778408</v>
      </c>
      <c r="AE76" s="19" cm="1">
        <f t="array" ref="AE76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33.282485481353497</v>
      </c>
      <c r="AF76" s="19">
        <f>IF(tbl_product_preparations[[#This Row],[kcal_per_100g]]&lt;5,
 0,
 MAX(0,MIN(100,
  ((tbl_product_preparations[[#This Row],[protein_per_100g]]/tbl_product_preparations[[#This Row],[kcal_per_100g]]*100 - 1) / 7 * 100)
 ))
)</f>
        <v>8.7557603686635925</v>
      </c>
      <c r="AG76" s="19">
        <f>IF(tbl_product_preparations[[#This Row],[kcal_per_100g]]&lt;5,
 0,
 MAX(0,MIN(100,(tbl_product_preparations[[#This Row],[fiber_per_100g]]/8*100)))
)</f>
        <v>6.25</v>
      </c>
      <c r="AH76" s="19">
        <f>MAX(0,MIN(100,100-(tbl_product_preparations[[#This Row],[sugar_per_100g]]/15*100)))</f>
        <v>54</v>
      </c>
      <c r="AI76" s="19">
        <f>MAX(0,100-(tbl_product_preparations[[#This Row],[alcohol_per_100g]]*50))</f>
        <v>100</v>
      </c>
      <c r="AJ76" s="19">
        <f>ROUND(tbl_product_preparations[[#This Row],[water_percent]],0)</f>
        <v>93</v>
      </c>
      <c r="AK76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49</v>
      </c>
      <c r="AL76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47</v>
      </c>
      <c r="AM76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32</v>
      </c>
      <c r="AN76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D</v>
      </c>
      <c r="AO76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D</v>
      </c>
      <c r="AP76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D</v>
      </c>
      <c r="AQ76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FRUITS</v>
      </c>
      <c r="AR76" s="19"/>
      <c r="AS76" s="19" t="str">
        <f>INDEX(tbl_products[lose_modifier_group],
MATCH(tbl_product_preparations[[#This Row],[product_key]],
tbl_products[product_key],0))</f>
        <v>FRUIT_WHOLE</v>
      </c>
      <c r="AT76" s="19">
        <f>INDEX(BONUS_MALUS_LOSE[Modifier],
MATCH(tbl_product_preparations[[#This Row],[lose_modifier_group]],
BONUS_MALUS_LOSE[Group],0))</f>
        <v>3</v>
      </c>
      <c r="AU76" s="19" t="str">
        <f>INDEX(tbl_products[maintain_modifier_group],
MATCH(tbl_product_preparations[[#This Row],[product_key]],
tbl_products[product_key],0))</f>
        <v>FRUIT_WHOLE</v>
      </c>
      <c r="AV76" s="19">
        <f>INDEX(BONUS_MALUS_MAINTAIN[Modifier],
MATCH(tbl_product_preparations[[#This Row],[maintain_modifier_group]],
BONUS_MALUS_MAINTAIN[Group],0))</f>
        <v>2</v>
      </c>
      <c r="AW76" s="19" t="str">
        <f>INDEX(tbl_products[gain_modifier_group],
MATCH(tbl_product_preparations[[#This Row],[product_key]],
tbl_products[product_key],0))</f>
        <v>FRUIT_WHOLE</v>
      </c>
      <c r="AX76" s="19">
        <f>INDEX(BONUS_MALUS_GAIN[Modifier],
MATCH(tbl_product_preparations[[#This Row],[gain_modifier_group]],
BONUS_MALUS_GAIN[Group],0))</f>
        <v>1</v>
      </c>
      <c r="AY76" s="19">
        <f>INDEX(PREPARATION_MODIFIERS[lose_preparation_modifier],
MATCH(tbl_product_preparations[[#This Row],[preparation_key]],
PREPARATION_MODIFIERS[preparation_key],0))</f>
        <v>0</v>
      </c>
      <c r="AZ76" s="19">
        <f>INDEX(PREPARATION_MODIFIERS[maintain_preparation_modifier],
MATCH(tbl_product_preparations[[#This Row],[preparation_key]],
PREPARATION_MODIFIERS[preparation_key],0))</f>
        <v>0</v>
      </c>
      <c r="BA76" s="19">
        <f>INDEX(PREPARATION_MODIFIERS[gain_preparation_modifier],
MATCH(tbl_product_preparations[[#This Row],[preparation_key]],
PREPARATION_MODIFIERS[preparation_key],0))</f>
        <v>0</v>
      </c>
    </row>
    <row r="77" spans="1:53" x14ac:dyDescent="0.2">
      <c r="A77" s="31" t="s">
        <v>738</v>
      </c>
      <c r="B77" s="31" t="s">
        <v>115</v>
      </c>
      <c r="C77" s="31" t="s">
        <v>160</v>
      </c>
      <c r="D77" s="31" t="s">
        <v>755</v>
      </c>
      <c r="E77" s="53" t="str">
        <f>IF(tbl_product_preparations[[#This Row],[source_key]]="MANUFACTURER","MANUFACTURER",
IF(tbl_product_preparations[[#This Row],[source_key]]="CALCULATED","CALCULATED",
"REAL"))</f>
        <v>REAL</v>
      </c>
      <c r="F77" s="53" t="str">
        <f>IF(LEFT(tbl_product_preparations[[#This Row],[source_key]],4)="USDA","US","EU")</f>
        <v>EU</v>
      </c>
      <c r="G77" s="32">
        <v>38</v>
      </c>
      <c r="H77" s="18" t="str">
        <f>IF(
   ISNUMBER(tbl_product_preparations[[#This Row],[density_lookup]]),
   ROUND(tbl_product_preparations[[#This Row],[kcal_per_100g]]*tbl_product_preparations[[#This Row],[density_lookup]],1),
   ""
)</f>
        <v/>
      </c>
      <c r="I77" s="35">
        <v>0.8</v>
      </c>
      <c r="J77" s="35">
        <v>7.9</v>
      </c>
      <c r="K77" s="35">
        <v>0.2</v>
      </c>
      <c r="L77" s="35">
        <v>0</v>
      </c>
      <c r="M77" s="32">
        <v>0.9</v>
      </c>
      <c r="N77" s="35">
        <v>7.9</v>
      </c>
      <c r="O77" s="47">
        <f>IF(tbl_product_preparations[[#This Row],[sugar_per_100g]]=0,tbl_product_preparations[[#This Row],[carbs_per_100g]],tbl_product_preparations[[#This Row],[sugar_per_100g]])</f>
        <v>7.9</v>
      </c>
      <c r="P77" s="37">
        <v>1.6E-2</v>
      </c>
      <c r="Q77" s="48">
        <f>IF(tbl_product_preparations[[#This Row],[sodium_per_100g]]=0,
tbl_product_preparations[[#This Row],[salt_per_100g]]/2.5,
tbl_product_preparations[[#This Row],[sodium_per_100g]])</f>
        <v>1.6E-2</v>
      </c>
      <c r="R77" s="24">
        <f>ROUND(tbl_product_preparations[[#This Row],[sodium_per_100g]]*2.5,3)</f>
        <v>0.04</v>
      </c>
      <c r="S77" s="24">
        <f>IF(tbl_product_preparations[[#This Row],[salt_per_100g]]=0,
tbl_product_preparations[[#This Row],[sodium_per_100g]]*2.5,
tbl_product_preparations[[#This Row],[salt_per_100g]])</f>
        <v>0.04</v>
      </c>
      <c r="T77" s="35">
        <v>90.2</v>
      </c>
      <c r="U77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77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38.4</v>
      </c>
      <c r="W77" s="19">
        <f>IF(tbl_product_preparations[[#This Row],[kcal_per_100g]]=0,0,ABS((tbl_product_preparations[[#This Row],[kcal_per_100g]]-tbl_product_preparations[[#This Row],[kcal_calc]])/tbl_product_preparations[[#This Row],[kcal_per_100g]])*100)</f>
        <v>1.0526315789473648</v>
      </c>
      <c r="X77" s="19">
        <f>ROUND(tbl_product_preparations[[#This Row],[kcal_calc]],1)</f>
        <v>38.4</v>
      </c>
      <c r="Y77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100.01600000000001</v>
      </c>
      <c r="Z77" s="19" t="str">
        <f>IF(
  tbl_product_preparations[[#This Row],[macro_sum]] &lt;=
  100 + _xlfn.XLOOKUP("WATER_TOTAL_TOLERANCE",tbl_config[config_key],tbl_config[config_value]),
  "OK",
  "ERROR"
)</f>
        <v>OK</v>
      </c>
      <c r="AA77" s="15" t="str">
        <f>_xlfn.LET(
   _xlpm.d, _xlfn.XLOOKUP(tbl_product_preparations[[#This Row],[product_key]],tbl_products[product_key],tbl_products[density_g_per_ml]),
   IF(AND(ISNUMBER(_xlpm.d), _xlpm.d&gt;0), _xlpm.d, "")
)</f>
        <v/>
      </c>
      <c r="AB77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77" s="19" cm="1">
        <f t="array" ref="AC77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65.838910090093208</v>
      </c>
      <c r="AD77" s="19" cm="1">
        <f t="array" ref="AD77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64.690517546435231</v>
      </c>
      <c r="AE77" s="19" cm="1">
        <f t="array" ref="AE77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39.302231447550902</v>
      </c>
      <c r="AF77" s="19">
        <f>IF(tbl_product_preparations[[#This Row],[kcal_per_100g]]&lt;5,
 0,
 MAX(0,MIN(100,
  ((tbl_product_preparations[[#This Row],[protein_per_100g]]/tbl_product_preparations[[#This Row],[kcal_per_100g]]*100 - 1) / 7 * 100)
 ))
)</f>
        <v>15.789473684210526</v>
      </c>
      <c r="AG77" s="19">
        <f>IF(tbl_product_preparations[[#This Row],[kcal_per_100g]]&lt;5,
 0,
 MAX(0,MIN(100,(tbl_product_preparations[[#This Row],[fiber_per_100g]]/8*100)))
)</f>
        <v>11.25</v>
      </c>
      <c r="AH77" s="19">
        <f>MAX(0,MIN(100,100-(tbl_product_preparations[[#This Row],[sugar_per_100g]]/15*100)))</f>
        <v>47.333333333333329</v>
      </c>
      <c r="AI77" s="19">
        <f>MAX(0,100-(tbl_product_preparations[[#This Row],[alcohol_per_100g]]*50))</f>
        <v>100</v>
      </c>
      <c r="AJ77" s="19">
        <f>ROUND(tbl_product_preparations[[#This Row],[water_percent]],0)</f>
        <v>90</v>
      </c>
      <c r="AK77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54</v>
      </c>
      <c r="AL77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51</v>
      </c>
      <c r="AM77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37</v>
      </c>
      <c r="AN77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C</v>
      </c>
      <c r="AO77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C</v>
      </c>
      <c r="AP77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D</v>
      </c>
      <c r="AQ77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FRUITS</v>
      </c>
      <c r="AR77" s="19"/>
      <c r="AS77" s="19" t="str">
        <f>INDEX(tbl_products[lose_modifier_group],
MATCH(tbl_product_preparations[[#This Row],[product_key]],
tbl_products[product_key],0))</f>
        <v>FRUIT_WHOLE</v>
      </c>
      <c r="AT77" s="19">
        <f>INDEX(BONUS_MALUS_LOSE[Modifier],
MATCH(tbl_product_preparations[[#This Row],[lose_modifier_group]],
BONUS_MALUS_LOSE[Group],0))</f>
        <v>3</v>
      </c>
      <c r="AU77" s="19" t="str">
        <f>INDEX(tbl_products[maintain_modifier_group],
MATCH(tbl_product_preparations[[#This Row],[product_key]],
tbl_products[product_key],0))</f>
        <v>FRUIT_WHOLE</v>
      </c>
      <c r="AV77" s="19">
        <f>INDEX(BONUS_MALUS_MAINTAIN[Modifier],
MATCH(tbl_product_preparations[[#This Row],[maintain_modifier_group]],
BONUS_MALUS_MAINTAIN[Group],0))</f>
        <v>2</v>
      </c>
      <c r="AW77" s="19" t="str">
        <f>INDEX(tbl_products[gain_modifier_group],
MATCH(tbl_product_preparations[[#This Row],[product_key]],
tbl_products[product_key],0))</f>
        <v>FRUIT_WHOLE</v>
      </c>
      <c r="AX77" s="19">
        <f>INDEX(BONUS_MALUS_GAIN[Modifier],
MATCH(tbl_product_preparations[[#This Row],[gain_modifier_group]],
BONUS_MALUS_GAIN[Group],0))</f>
        <v>1</v>
      </c>
      <c r="AY77" s="19">
        <f>INDEX(PREPARATION_MODIFIERS[lose_preparation_modifier],
MATCH(tbl_product_preparations[[#This Row],[preparation_key]],
PREPARATION_MODIFIERS[preparation_key],0))</f>
        <v>0</v>
      </c>
      <c r="AZ77" s="19">
        <f>INDEX(PREPARATION_MODIFIERS[maintain_preparation_modifier],
MATCH(tbl_product_preparations[[#This Row],[preparation_key]],
PREPARATION_MODIFIERS[preparation_key],0))</f>
        <v>0</v>
      </c>
      <c r="BA77" s="19">
        <f>INDEX(PREPARATION_MODIFIERS[gain_preparation_modifier],
MATCH(tbl_product_preparations[[#This Row],[preparation_key]],
PREPARATION_MODIFIERS[preparation_key],0))</f>
        <v>0</v>
      </c>
    </row>
    <row r="78" spans="1:53" x14ac:dyDescent="0.2">
      <c r="A78" s="31" t="s">
        <v>742</v>
      </c>
      <c r="B78" s="31" t="s">
        <v>115</v>
      </c>
      <c r="C78" s="31" t="s">
        <v>160</v>
      </c>
      <c r="D78" s="31" t="s">
        <v>716</v>
      </c>
      <c r="E78" s="53" t="str">
        <f>IF(tbl_product_preparations[[#This Row],[source_key]]="MANUFACTURER","MANUFACTURER",
IF(tbl_product_preparations[[#This Row],[source_key]]="CALCULATED","CALCULATED",
"REAL"))</f>
        <v>REAL</v>
      </c>
      <c r="F78" s="53" t="str">
        <f>IF(LEFT(tbl_product_preparations[[#This Row],[source_key]],4)="USDA","US","EU")</f>
        <v>EU</v>
      </c>
      <c r="G78" s="32">
        <v>36</v>
      </c>
      <c r="H78" s="18" t="str">
        <f>IF(
   ISNUMBER(tbl_product_preparations[[#This Row],[density_lookup]]),
   ROUND(tbl_product_preparations[[#This Row],[kcal_per_100g]]*tbl_product_preparations[[#This Row],[density_lookup]],1),
   ""
)</f>
        <v/>
      </c>
      <c r="I78" s="35">
        <v>0.5</v>
      </c>
      <c r="J78" s="35">
        <v>8</v>
      </c>
      <c r="K78" s="35">
        <v>0</v>
      </c>
      <c r="L78" s="35">
        <v>0</v>
      </c>
      <c r="M78" s="32">
        <v>0.6</v>
      </c>
      <c r="N78" s="35">
        <v>8</v>
      </c>
      <c r="O78" s="47">
        <f>IF(tbl_product_preparations[[#This Row],[sugar_per_100g]]=0,tbl_product_preparations[[#This Row],[carbs_per_100g]],tbl_product_preparations[[#This Row],[sugar_per_100g]])</f>
        <v>8</v>
      </c>
      <c r="P78" s="37">
        <v>2E-3</v>
      </c>
      <c r="Q78" s="48">
        <f>IF(tbl_product_preparations[[#This Row],[sodium_per_100g]]=0,
tbl_product_preparations[[#This Row],[salt_per_100g]]/2.5,
tbl_product_preparations[[#This Row],[sodium_per_100g]])</f>
        <v>2E-3</v>
      </c>
      <c r="R78" s="24">
        <f>ROUND(tbl_product_preparations[[#This Row],[sodium_per_100g]]*2.5,3)</f>
        <v>5.0000000000000001E-3</v>
      </c>
      <c r="S78" s="24">
        <f>IF(tbl_product_preparations[[#This Row],[salt_per_100g]]=0,
tbl_product_preparations[[#This Row],[sodium_per_100g]]*2.5,
tbl_product_preparations[[#This Row],[salt_per_100g]])</f>
        <v>5.0000000000000001E-3</v>
      </c>
      <c r="T78" s="35">
        <v>93</v>
      </c>
      <c r="U78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78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35.200000000000003</v>
      </c>
      <c r="W78" s="19">
        <f>IF(tbl_product_preparations[[#This Row],[kcal_per_100g]]=0,0,ABS((tbl_product_preparations[[#This Row],[kcal_per_100g]]-tbl_product_preparations[[#This Row],[kcal_calc]])/tbl_product_preparations[[#This Row],[kcal_per_100g]])*100)</f>
        <v>2.2222222222222143</v>
      </c>
      <c r="X78" s="19">
        <f>ROUND(tbl_product_preparations[[#This Row],[kcal_calc]],1)</f>
        <v>35.200000000000003</v>
      </c>
      <c r="Y78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102.102</v>
      </c>
      <c r="Z78" s="19" t="str">
        <f>IF(
  tbl_product_preparations[[#This Row],[macro_sum]] &lt;=
  100 + _xlfn.XLOOKUP("WATER_TOTAL_TOLERANCE",tbl_config[config_key],tbl_config[config_value]),
  "OK",
  "ERROR"
)</f>
        <v>ERROR</v>
      </c>
      <c r="AA78" s="15" t="str">
        <f>_xlfn.LET(
   _xlpm.d, _xlfn.XLOOKUP(tbl_product_preparations[[#This Row],[product_key]],tbl_products[product_key],tbl_products[density_g_per_ml]),
   IF(AND(ISNUMBER(_xlpm.d), _xlpm.d&gt;0), _xlpm.d, "")
)</f>
        <v/>
      </c>
      <c r="AB78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78" s="19" cm="1">
        <f t="array" ref="AC78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62.385535853968562</v>
      </c>
      <c r="AD78" s="19" cm="1">
        <f t="array" ref="AD78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62.000688798094586</v>
      </c>
      <c r="AE78" s="19" cm="1">
        <f t="array" ref="AE78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37.531109885139955</v>
      </c>
      <c r="AF78" s="19">
        <f>IF(tbl_product_preparations[[#This Row],[kcal_per_100g]]&lt;5,
 0,
 MAX(0,MIN(100,
  ((tbl_product_preparations[[#This Row],[protein_per_100g]]/tbl_product_preparations[[#This Row],[kcal_per_100g]]*100 - 1) / 7 * 100)
 ))
)</f>
        <v>5.5555555555555545</v>
      </c>
      <c r="AG78" s="19">
        <f>IF(tbl_product_preparations[[#This Row],[kcal_per_100g]]&lt;5,
 0,
 MAX(0,MIN(100,(tbl_product_preparations[[#This Row],[fiber_per_100g]]/8*100)))
)</f>
        <v>7.5</v>
      </c>
      <c r="AH78" s="19">
        <f>MAX(0,MIN(100,100-(tbl_product_preparations[[#This Row],[sugar_per_100g]]/15*100)))</f>
        <v>46.666666666666664</v>
      </c>
      <c r="AI78" s="19">
        <f>MAX(0,100-(tbl_product_preparations[[#This Row],[alcohol_per_100g]]*50))</f>
        <v>100</v>
      </c>
      <c r="AJ78" s="19">
        <f>ROUND(tbl_product_preparations[[#This Row],[water_percent]],0)</f>
        <v>93</v>
      </c>
      <c r="AK78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51</v>
      </c>
      <c r="AL78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48</v>
      </c>
      <c r="AM78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33</v>
      </c>
      <c r="AN78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C</v>
      </c>
      <c r="AO78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D</v>
      </c>
      <c r="AP78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D</v>
      </c>
      <c r="AQ78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FRUITS</v>
      </c>
      <c r="AR78" s="19"/>
      <c r="AS78" s="19" t="str">
        <f>INDEX(tbl_products[lose_modifier_group],
MATCH(tbl_product_preparations[[#This Row],[product_key]],
tbl_products[product_key],0))</f>
        <v>FRUIT_WHOLE</v>
      </c>
      <c r="AT78" s="19">
        <f>INDEX(BONUS_MALUS_LOSE[Modifier],
MATCH(tbl_product_preparations[[#This Row],[lose_modifier_group]],
BONUS_MALUS_LOSE[Group],0))</f>
        <v>3</v>
      </c>
      <c r="AU78" s="19" t="str">
        <f>INDEX(tbl_products[maintain_modifier_group],
MATCH(tbl_product_preparations[[#This Row],[product_key]],
tbl_products[product_key],0))</f>
        <v>FRUIT_WHOLE</v>
      </c>
      <c r="AV78" s="19">
        <f>INDEX(BONUS_MALUS_MAINTAIN[Modifier],
MATCH(tbl_product_preparations[[#This Row],[maintain_modifier_group]],
BONUS_MALUS_MAINTAIN[Group],0))</f>
        <v>2</v>
      </c>
      <c r="AW78" s="19" t="str">
        <f>INDEX(tbl_products[gain_modifier_group],
MATCH(tbl_product_preparations[[#This Row],[product_key]],
tbl_products[product_key],0))</f>
        <v>FRUIT_WHOLE</v>
      </c>
      <c r="AX78" s="19">
        <f>INDEX(BONUS_MALUS_GAIN[Modifier],
MATCH(tbl_product_preparations[[#This Row],[gain_modifier_group]],
BONUS_MALUS_GAIN[Group],0))</f>
        <v>1</v>
      </c>
      <c r="AY78" s="19">
        <f>INDEX(PREPARATION_MODIFIERS[lose_preparation_modifier],
MATCH(tbl_product_preparations[[#This Row],[preparation_key]],
PREPARATION_MODIFIERS[preparation_key],0))</f>
        <v>0</v>
      </c>
      <c r="AZ78" s="19">
        <f>INDEX(PREPARATION_MODIFIERS[maintain_preparation_modifier],
MATCH(tbl_product_preparations[[#This Row],[preparation_key]],
PREPARATION_MODIFIERS[preparation_key],0))</f>
        <v>0</v>
      </c>
      <c r="BA78" s="19">
        <f>INDEX(PREPARATION_MODIFIERS[gain_preparation_modifier],
MATCH(tbl_product_preparations[[#This Row],[preparation_key]],
PREPARATION_MODIFIERS[preparation_key],0))</f>
        <v>0</v>
      </c>
    </row>
    <row r="79" spans="1:53" x14ac:dyDescent="0.2">
      <c r="A79" s="31" t="s">
        <v>279</v>
      </c>
      <c r="B79" s="31" t="s">
        <v>115</v>
      </c>
      <c r="C79" s="31" t="s">
        <v>160</v>
      </c>
      <c r="D79" s="31" t="s">
        <v>370</v>
      </c>
      <c r="E79" s="53" t="str">
        <f>IF(tbl_product_preparations[[#This Row],[source_key]]="MANUFACTURER","MANUFACTURER",
IF(tbl_product_preparations[[#This Row],[source_key]]="CALCULATED","CALCULATED",
"REAL"))</f>
        <v>REAL</v>
      </c>
      <c r="F79" s="53" t="str">
        <f>IF(LEFT(tbl_product_preparations[[#This Row],[source_key]],4)="USDA","US","EU")</f>
        <v>EU</v>
      </c>
      <c r="G79" s="32">
        <v>45</v>
      </c>
      <c r="H79" s="18">
        <f>IF(
   ISNUMBER(tbl_product_preparations[[#This Row],[density_lookup]]),
   ROUND(tbl_product_preparations[[#This Row],[kcal_per_100g]]*tbl_product_preparations[[#This Row],[density_lookup]],1),
   ""
)</f>
        <v>46.4</v>
      </c>
      <c r="I79" s="35">
        <v>3.4</v>
      </c>
      <c r="J79" s="35">
        <v>4.7</v>
      </c>
      <c r="K79" s="35">
        <v>1.4</v>
      </c>
      <c r="L79" s="35">
        <v>0</v>
      </c>
      <c r="M79" s="32">
        <v>0</v>
      </c>
      <c r="N79" s="35">
        <v>0</v>
      </c>
      <c r="O79" s="47">
        <f>IF(tbl_product_preparations[[#This Row],[sugar_per_100g]]=0,tbl_product_preparations[[#This Row],[carbs_per_100g]],tbl_product_preparations[[#This Row],[sugar_per_100g]])</f>
        <v>4.7</v>
      </c>
      <c r="P79" s="37">
        <v>4.2000000000000003E-2</v>
      </c>
      <c r="Q79" s="48">
        <f>IF(tbl_product_preparations[[#This Row],[sodium_per_100g]]=0,
tbl_product_preparations[[#This Row],[salt_per_100g]]/2.5,
tbl_product_preparations[[#This Row],[sodium_per_100g]])</f>
        <v>4.2000000000000003E-2</v>
      </c>
      <c r="R79" s="24">
        <f>ROUND(tbl_product_preparations[[#This Row],[sodium_per_100g]]*2.5,3)</f>
        <v>0.105</v>
      </c>
      <c r="S79" s="24">
        <f>IF(tbl_product_preparations[[#This Row],[salt_per_100g]]=0,
tbl_product_preparations[[#This Row],[sodium_per_100g]]*2.5,
tbl_product_preparations[[#This Row],[salt_per_100g]])</f>
        <v>0.105</v>
      </c>
      <c r="T79" s="35">
        <v>89.4</v>
      </c>
      <c r="U79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79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45</v>
      </c>
      <c r="W79" s="19">
        <f>IF(tbl_product_preparations[[#This Row],[kcal_per_100g]]=0,0,ABS((tbl_product_preparations[[#This Row],[kcal_per_100g]]-tbl_product_preparations[[#This Row],[kcal_calc]])/tbl_product_preparations[[#This Row],[kcal_per_100g]])*100)</f>
        <v>0</v>
      </c>
      <c r="X79" s="19">
        <f>ROUND(tbl_product_preparations[[#This Row],[kcal_calc]],1)</f>
        <v>45</v>
      </c>
      <c r="Y79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98.942000000000007</v>
      </c>
      <c r="Z79" s="19" t="str">
        <f>IF(
  tbl_product_preparations[[#This Row],[macro_sum]] &lt;=
  100 + _xlfn.XLOOKUP("WATER_TOTAL_TOLERANCE",tbl_config[config_key],tbl_config[config_value]),
  "OK",
  "ERROR"
)</f>
        <v>OK</v>
      </c>
      <c r="AA79" s="15">
        <f>_xlfn.LET(
   _xlpm.d, _xlfn.XLOOKUP(tbl_product_preparations[[#This Row],[product_key]],tbl_products[product_key],tbl_products[density_g_per_ml]),
   IF(AND(ISNUMBER(_xlpm.d), _xlpm.d&gt;0), _xlpm.d, "")
)</f>
        <v>1.03</v>
      </c>
      <c r="AB79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>OK</v>
      </c>
      <c r="AC79" s="19" cm="1">
        <f t="array" ref="AC79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53.109599103534521</v>
      </c>
      <c r="AD79" s="19" cm="1">
        <f t="array" ref="AD79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45.783336177161424</v>
      </c>
      <c r="AE79" s="19" cm="1">
        <f t="array" ref="AE79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39.815322221381258</v>
      </c>
      <c r="AF79" s="19">
        <f>IF(tbl_product_preparations[[#This Row],[kcal_per_100g]]&lt;5,
 0,
 MAX(0,MIN(100,
  ((tbl_product_preparations[[#This Row],[protein_per_100g]]/tbl_product_preparations[[#This Row],[kcal_per_100g]]*100 - 1) / 7 * 100)
 ))
)</f>
        <v>93.650793650793645</v>
      </c>
      <c r="AG79" s="19">
        <f>IF(tbl_product_preparations[[#This Row],[kcal_per_100g]]&lt;5,
 0,
 MAX(0,MIN(100,(tbl_product_preparations[[#This Row],[fiber_per_100g]]/8*100)))
)</f>
        <v>0</v>
      </c>
      <c r="AH79" s="19">
        <f>MAX(0,MIN(100,100-(tbl_product_preparations[[#This Row],[sugar_per_100g]]/15*100)))</f>
        <v>100</v>
      </c>
      <c r="AI79" s="19">
        <f>MAX(0,100-(tbl_product_preparations[[#This Row],[alcohol_per_100g]]*50))</f>
        <v>100</v>
      </c>
      <c r="AJ79" s="19">
        <f>ROUND(tbl_product_preparations[[#This Row],[water_percent]],0)</f>
        <v>89</v>
      </c>
      <c r="AK79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62</v>
      </c>
      <c r="AL79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64</v>
      </c>
      <c r="AM79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60</v>
      </c>
      <c r="AN79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C</v>
      </c>
      <c r="AO79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C</v>
      </c>
      <c r="AP79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C</v>
      </c>
      <c r="AQ79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DAIRY</v>
      </c>
      <c r="AR79" s="19"/>
      <c r="AS79" s="19" t="str">
        <f>INDEX(tbl_products[lose_modifier_group],
MATCH(tbl_product_preparations[[#This Row],[product_key]],
tbl_products[product_key],0))</f>
        <v>NEUTRAL</v>
      </c>
      <c r="AT79" s="19">
        <f>INDEX(BONUS_MALUS_LOSE[Modifier],
MATCH(tbl_product_preparations[[#This Row],[lose_modifier_group]],
BONUS_MALUS_LOSE[Group],0))</f>
        <v>0</v>
      </c>
      <c r="AU79" s="19" t="str">
        <f>INDEX(tbl_products[maintain_modifier_group],
MATCH(tbl_product_preparations[[#This Row],[product_key]],
tbl_products[product_key],0))</f>
        <v>NEUTRAL</v>
      </c>
      <c r="AV79" s="19">
        <f>INDEX(BONUS_MALUS_MAINTAIN[Modifier],
MATCH(tbl_product_preparations[[#This Row],[maintain_modifier_group]],
BONUS_MALUS_MAINTAIN[Group],0))</f>
        <v>0</v>
      </c>
      <c r="AW79" s="19" t="str">
        <f>INDEX(tbl_products[gain_modifier_group],
MATCH(tbl_product_preparations[[#This Row],[product_key]],
tbl_products[product_key],0))</f>
        <v>NEUTRAL</v>
      </c>
      <c r="AX79" s="19">
        <f>INDEX(BONUS_MALUS_GAIN[Modifier],
MATCH(tbl_product_preparations[[#This Row],[gain_modifier_group]],
BONUS_MALUS_GAIN[Group],0))</f>
        <v>0</v>
      </c>
      <c r="AY79" s="19">
        <f>INDEX(PREPARATION_MODIFIERS[lose_preparation_modifier],
MATCH(tbl_product_preparations[[#This Row],[preparation_key]],
PREPARATION_MODIFIERS[preparation_key],0))</f>
        <v>0</v>
      </c>
      <c r="AZ79" s="19">
        <f>INDEX(PREPARATION_MODIFIERS[maintain_preparation_modifier],
MATCH(tbl_product_preparations[[#This Row],[preparation_key]],
PREPARATION_MODIFIERS[preparation_key],0))</f>
        <v>0</v>
      </c>
      <c r="BA79" s="19">
        <f>INDEX(PREPARATION_MODIFIERS[gain_preparation_modifier],
MATCH(tbl_product_preparations[[#This Row],[preparation_key]],
PREPARATION_MODIFIERS[preparation_key],0))</f>
        <v>0</v>
      </c>
    </row>
    <row r="80" spans="1:53" x14ac:dyDescent="0.2">
      <c r="A80" s="31" t="s">
        <v>271</v>
      </c>
      <c r="B80" s="31" t="s">
        <v>115</v>
      </c>
      <c r="C80" s="31" t="s">
        <v>160</v>
      </c>
      <c r="D80" s="31" t="s">
        <v>371</v>
      </c>
      <c r="E80" s="53" t="str">
        <f>IF(tbl_product_preparations[[#This Row],[source_key]]="MANUFACTURER","MANUFACTURER",
IF(tbl_product_preparations[[#This Row],[source_key]]="CALCULATED","CALCULATED",
"REAL"))</f>
        <v>REAL</v>
      </c>
      <c r="F80" s="53" t="str">
        <f>IF(LEFT(tbl_product_preparations[[#This Row],[source_key]],4)="USDA","US","EU")</f>
        <v>EU</v>
      </c>
      <c r="G80" s="32">
        <v>61.8</v>
      </c>
      <c r="H80" s="18">
        <f>IF(
   ISNUMBER(tbl_product_preparations[[#This Row],[density_lookup]]),
   ROUND(tbl_product_preparations[[#This Row],[kcal_per_100g]]*tbl_product_preparations[[#This Row],[density_lookup]],1),
   ""
)</f>
        <v>63.7</v>
      </c>
      <c r="I80" s="35">
        <v>3.3</v>
      </c>
      <c r="J80" s="35">
        <v>4.5</v>
      </c>
      <c r="K80" s="35">
        <v>3.4</v>
      </c>
      <c r="L80" s="35">
        <v>0</v>
      </c>
      <c r="M80" s="32">
        <v>0</v>
      </c>
      <c r="N80" s="35">
        <v>0</v>
      </c>
      <c r="O80" s="47">
        <f>IF(tbl_product_preparations[[#This Row],[sugar_per_100g]]=0,tbl_product_preparations[[#This Row],[carbs_per_100g]],tbl_product_preparations[[#This Row],[sugar_per_100g]])</f>
        <v>4.5</v>
      </c>
      <c r="P80" s="37">
        <v>4.2000000000000003E-2</v>
      </c>
      <c r="Q80" s="48">
        <f>IF(tbl_product_preparations[[#This Row],[sodium_per_100g]]=0,
tbl_product_preparations[[#This Row],[salt_per_100g]]/2.5,
tbl_product_preparations[[#This Row],[sodium_per_100g]])</f>
        <v>4.2000000000000003E-2</v>
      </c>
      <c r="R80" s="24">
        <f>ROUND(tbl_product_preparations[[#This Row],[sodium_per_100g]]*2.5,3)</f>
        <v>0.105</v>
      </c>
      <c r="S80" s="24">
        <f>IF(tbl_product_preparations[[#This Row],[salt_per_100g]]=0,
tbl_product_preparations[[#This Row],[sodium_per_100g]]*2.5,
tbl_product_preparations[[#This Row],[salt_per_100g]])</f>
        <v>0.105</v>
      </c>
      <c r="T80" s="35">
        <v>87.6</v>
      </c>
      <c r="U80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80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61.8</v>
      </c>
      <c r="W80" s="19">
        <f>IF(tbl_product_preparations[[#This Row],[kcal_per_100g]]=0,0,ABS((tbl_product_preparations[[#This Row],[kcal_per_100g]]-tbl_product_preparations[[#This Row],[kcal_calc]])/tbl_product_preparations[[#This Row],[kcal_per_100g]])*100)</f>
        <v>0</v>
      </c>
      <c r="X80" s="19">
        <f>ROUND(tbl_product_preparations[[#This Row],[kcal_calc]],1)</f>
        <v>61.8</v>
      </c>
      <c r="Y80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98.841999999999999</v>
      </c>
      <c r="Z80" s="19" t="str">
        <f>IF(
  tbl_product_preparations[[#This Row],[macro_sum]] &lt;=
  100 + _xlfn.XLOOKUP("WATER_TOTAL_TOLERANCE",tbl_config[config_key],tbl_config[config_value]),
  "OK",
  "ERROR"
)</f>
        <v>OK</v>
      </c>
      <c r="AA80" s="15">
        <f>_xlfn.LET(
   _xlpm.d, _xlfn.XLOOKUP(tbl_product_preparations[[#This Row],[product_key]],tbl_products[product_key],tbl_products[density_g_per_ml]),
   IF(AND(ISNUMBER(_xlpm.d), _xlpm.d&gt;0), _xlpm.d, "")
)</f>
        <v>1.03</v>
      </c>
      <c r="AB80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>OK</v>
      </c>
      <c r="AC80" s="19" cm="1">
        <f t="array" ref="AC80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77.996011127280724</v>
      </c>
      <c r="AD80" s="19" cm="1">
        <f t="array" ref="AD80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62.472108053396205</v>
      </c>
      <c r="AE80" s="19" cm="1">
        <f t="array" ref="AE80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53.579477074556124</v>
      </c>
      <c r="AF80" s="19">
        <f>IF(tbl_product_preparations[[#This Row],[kcal_per_100g]]&lt;5,
 0,
 MAX(0,MIN(100,
  ((tbl_product_preparations[[#This Row],[protein_per_100g]]/tbl_product_preparations[[#This Row],[kcal_per_100g]]*100 - 1) / 7 * 100)
 ))
)</f>
        <v>61.99722607489597</v>
      </c>
      <c r="AG80" s="19">
        <f>IF(tbl_product_preparations[[#This Row],[kcal_per_100g]]&lt;5,
 0,
 MAX(0,MIN(100,(tbl_product_preparations[[#This Row],[fiber_per_100g]]/8*100)))
)</f>
        <v>0</v>
      </c>
      <c r="AH80" s="19">
        <f>MAX(0,MIN(100,100-(tbl_product_preparations[[#This Row],[sugar_per_100g]]/15*100)))</f>
        <v>100</v>
      </c>
      <c r="AI80" s="19">
        <f>MAX(0,100-(tbl_product_preparations[[#This Row],[alcohol_per_100g]]*50))</f>
        <v>100</v>
      </c>
      <c r="AJ80" s="19">
        <f>ROUND(tbl_product_preparations[[#This Row],[water_percent]],0)</f>
        <v>88</v>
      </c>
      <c r="AK80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65</v>
      </c>
      <c r="AL80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63</v>
      </c>
      <c r="AM80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60</v>
      </c>
      <c r="AN80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B</v>
      </c>
      <c r="AO80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C</v>
      </c>
      <c r="AP80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C</v>
      </c>
      <c r="AQ80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DAIRY</v>
      </c>
      <c r="AR80" s="19"/>
      <c r="AS80" s="19" t="str">
        <f>INDEX(tbl_products[lose_modifier_group],
MATCH(tbl_product_preparations[[#This Row],[product_key]],
tbl_products[product_key],0))</f>
        <v>NEUTRAL</v>
      </c>
      <c r="AT80" s="19">
        <f>INDEX(BONUS_MALUS_LOSE[Modifier],
MATCH(tbl_product_preparations[[#This Row],[lose_modifier_group]],
BONUS_MALUS_LOSE[Group],0))</f>
        <v>0</v>
      </c>
      <c r="AU80" s="19" t="str">
        <f>INDEX(tbl_products[maintain_modifier_group],
MATCH(tbl_product_preparations[[#This Row],[product_key]],
tbl_products[product_key],0))</f>
        <v>NEUTRAL</v>
      </c>
      <c r="AV80" s="19">
        <f>INDEX(BONUS_MALUS_MAINTAIN[Modifier],
MATCH(tbl_product_preparations[[#This Row],[maintain_modifier_group]],
BONUS_MALUS_MAINTAIN[Group],0))</f>
        <v>0</v>
      </c>
      <c r="AW80" s="19" t="str">
        <f>INDEX(tbl_products[gain_modifier_group],
MATCH(tbl_product_preparations[[#This Row],[product_key]],
tbl_products[product_key],0))</f>
        <v>NEUTRAL</v>
      </c>
      <c r="AX80" s="19">
        <f>INDEX(BONUS_MALUS_GAIN[Modifier],
MATCH(tbl_product_preparations[[#This Row],[gain_modifier_group]],
BONUS_MALUS_GAIN[Group],0))</f>
        <v>0</v>
      </c>
      <c r="AY80" s="19">
        <f>INDEX(PREPARATION_MODIFIERS[lose_preparation_modifier],
MATCH(tbl_product_preparations[[#This Row],[preparation_key]],
PREPARATION_MODIFIERS[preparation_key],0))</f>
        <v>0</v>
      </c>
      <c r="AZ80" s="19">
        <f>INDEX(PREPARATION_MODIFIERS[maintain_preparation_modifier],
MATCH(tbl_product_preparations[[#This Row],[preparation_key]],
PREPARATION_MODIFIERS[preparation_key],0))</f>
        <v>0</v>
      </c>
      <c r="BA80" s="19">
        <f>INDEX(PREPARATION_MODIFIERS[gain_preparation_modifier],
MATCH(tbl_product_preparations[[#This Row],[preparation_key]],
PREPARATION_MODIFIERS[preparation_key],0))</f>
        <v>0</v>
      </c>
    </row>
    <row r="81" spans="1:53" x14ac:dyDescent="0.2">
      <c r="A81" s="31" t="s">
        <v>836</v>
      </c>
      <c r="B81" s="31" t="s">
        <v>115</v>
      </c>
      <c r="C81" s="31" t="s">
        <v>160</v>
      </c>
      <c r="D81" s="31" t="s">
        <v>840</v>
      </c>
      <c r="E81" s="53" t="str">
        <f>IF(tbl_product_preparations[[#This Row],[source_key]]="MANUFACTURER","MANUFACTURER",
IF(tbl_product_preparations[[#This Row],[source_key]]="CALCULATED","CALCULATED",
"REAL"))</f>
        <v>REAL</v>
      </c>
      <c r="F81" s="53" t="str">
        <f>IF(LEFT(tbl_product_preparations[[#This Row],[source_key]],4)="USDA","US","EU")</f>
        <v>EU</v>
      </c>
      <c r="G81" s="32">
        <v>36</v>
      </c>
      <c r="H81" s="18" t="str">
        <f>IF(
   ISNUMBER(tbl_product_preparations[[#This Row],[density_lookup]]),
   ROUND(tbl_product_preparations[[#This Row],[kcal_per_100g]]*tbl_product_preparations[[#This Row],[density_lookup]],1),
   ""
)</f>
        <v/>
      </c>
      <c r="I81" s="35">
        <v>1</v>
      </c>
      <c r="J81" s="35">
        <v>6.5</v>
      </c>
      <c r="K81" s="35">
        <v>0.1</v>
      </c>
      <c r="L81" s="35">
        <v>0</v>
      </c>
      <c r="M81" s="32">
        <v>1.1000000000000001</v>
      </c>
      <c r="N81" s="35">
        <v>6.5</v>
      </c>
      <c r="O81" s="47">
        <f>IF(tbl_product_preparations[[#This Row],[sugar_per_100g]]=0,tbl_product_preparations[[#This Row],[carbs_per_100g]],tbl_product_preparations[[#This Row],[sugar_per_100g]])</f>
        <v>6.5</v>
      </c>
      <c r="P81" s="37">
        <v>1E-3</v>
      </c>
      <c r="Q81" s="48">
        <f>IF(tbl_product_preparations[[#This Row],[sodium_per_100g]]=0,
tbl_product_preparations[[#This Row],[salt_per_100g]]/2.5,
tbl_product_preparations[[#This Row],[sodium_per_100g]])</f>
        <v>1E-3</v>
      </c>
      <c r="R81" s="24">
        <f>ROUND(tbl_product_preparations[[#This Row],[sodium_per_100g]]*2.5,3)</f>
        <v>3.0000000000000001E-3</v>
      </c>
      <c r="S81" s="24">
        <f>IF(tbl_product_preparations[[#This Row],[salt_per_100g]]=0,
tbl_product_preparations[[#This Row],[sodium_per_100g]]*2.5,
tbl_product_preparations[[#This Row],[salt_per_100g]])</f>
        <v>3.0000000000000001E-3</v>
      </c>
      <c r="T81" s="35">
        <v>90.3</v>
      </c>
      <c r="U81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81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33.1</v>
      </c>
      <c r="W81" s="19">
        <f>IF(tbl_product_preparations[[#This Row],[kcal_per_100g]]=0,0,ABS((tbl_product_preparations[[#This Row],[kcal_per_100g]]-tbl_product_preparations[[#This Row],[kcal_calc]])/tbl_product_preparations[[#This Row],[kcal_per_100g]])*100)</f>
        <v>8.0555555555555518</v>
      </c>
      <c r="X81" s="19">
        <f>ROUND(tbl_product_preparations[[#This Row],[kcal_calc]],1)</f>
        <v>33.1</v>
      </c>
      <c r="Y81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99.000999999999991</v>
      </c>
      <c r="Z81" s="19" t="str">
        <f>IF(
  tbl_product_preparations[[#This Row],[macro_sum]] &lt;=
  100 + _xlfn.XLOOKUP("WATER_TOTAL_TOLERANCE",tbl_config[config_key],tbl_config[config_value]),
  "OK",
  "ERROR"
)</f>
        <v>OK</v>
      </c>
      <c r="AA81" s="15" t="str">
        <f>_xlfn.LET(
   _xlpm.d, _xlfn.XLOOKUP(tbl_product_preparations[[#This Row],[product_key]],tbl_products[product_key],tbl_products[density_g_per_ml]),
   IF(AND(ISNUMBER(_xlpm.d), _xlpm.d&gt;0), _xlpm.d, "")
)</f>
        <v/>
      </c>
      <c r="AB81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81" s="19" cm="1">
        <f t="array" ref="AC81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62.385535853968562</v>
      </c>
      <c r="AD81" s="19" cm="1">
        <f t="array" ref="AD81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62.000688798094586</v>
      </c>
      <c r="AE81" s="19" cm="1">
        <f t="array" ref="AE81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37.531109885139955</v>
      </c>
      <c r="AF81" s="19">
        <f>IF(tbl_product_preparations[[#This Row],[kcal_per_100g]]&lt;5,
 0,
 MAX(0,MIN(100,
  ((tbl_product_preparations[[#This Row],[protein_per_100g]]/tbl_product_preparations[[#This Row],[kcal_per_100g]]*100 - 1) / 7 * 100)
 ))
)</f>
        <v>25.396825396825395</v>
      </c>
      <c r="AG81" s="19">
        <f>IF(tbl_product_preparations[[#This Row],[kcal_per_100g]]&lt;5,
 0,
 MAX(0,MIN(100,(tbl_product_preparations[[#This Row],[fiber_per_100g]]/8*100)))
)</f>
        <v>13.750000000000002</v>
      </c>
      <c r="AH81" s="19">
        <f>MAX(0,MIN(100,100-(tbl_product_preparations[[#This Row],[sugar_per_100g]]/15*100)))</f>
        <v>56.666666666666664</v>
      </c>
      <c r="AI81" s="19">
        <f>MAX(0,100-(tbl_product_preparations[[#This Row],[alcohol_per_100g]]*50))</f>
        <v>100</v>
      </c>
      <c r="AJ81" s="19">
        <f>ROUND(tbl_product_preparations[[#This Row],[water_percent]],0)</f>
        <v>90</v>
      </c>
      <c r="AK81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56</v>
      </c>
      <c r="AL81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54</v>
      </c>
      <c r="AM81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39</v>
      </c>
      <c r="AN81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C</v>
      </c>
      <c r="AO81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C</v>
      </c>
      <c r="AP81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D</v>
      </c>
      <c r="AQ81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FRUITS</v>
      </c>
      <c r="AR81" s="19"/>
      <c r="AS81" s="19" t="str">
        <f>INDEX(tbl_products[lose_modifier_group],
MATCH(tbl_product_preparations[[#This Row],[product_key]],
tbl_products[product_key],0))</f>
        <v>FRUIT_WHOLE</v>
      </c>
      <c r="AT81" s="19">
        <f>INDEX(BONUS_MALUS_LOSE[Modifier],
MATCH(tbl_product_preparations[[#This Row],[lose_modifier_group]],
BONUS_MALUS_LOSE[Group],0))</f>
        <v>3</v>
      </c>
      <c r="AU81" s="19" t="str">
        <f>INDEX(tbl_products[maintain_modifier_group],
MATCH(tbl_product_preparations[[#This Row],[product_key]],
tbl_products[product_key],0))</f>
        <v>FRUIT_WHOLE</v>
      </c>
      <c r="AV81" s="19">
        <f>INDEX(BONUS_MALUS_MAINTAIN[Modifier],
MATCH(tbl_product_preparations[[#This Row],[maintain_modifier_group]],
BONUS_MALUS_MAINTAIN[Group],0))</f>
        <v>2</v>
      </c>
      <c r="AW81" s="19" t="str">
        <f>INDEX(tbl_products[gain_modifier_group],
MATCH(tbl_product_preparations[[#This Row],[product_key]],
tbl_products[product_key],0))</f>
        <v>FRUIT_WHOLE</v>
      </c>
      <c r="AX81" s="19">
        <f>INDEX(BONUS_MALUS_GAIN[Modifier],
MATCH(tbl_product_preparations[[#This Row],[gain_modifier_group]],
BONUS_MALUS_GAIN[Group],0))</f>
        <v>1</v>
      </c>
      <c r="AY81" s="19">
        <f>INDEX(PREPARATION_MODIFIERS[lose_preparation_modifier],
MATCH(tbl_product_preparations[[#This Row],[preparation_key]],
PREPARATION_MODIFIERS[preparation_key],0))</f>
        <v>0</v>
      </c>
      <c r="AZ81" s="19">
        <f>INDEX(PREPARATION_MODIFIERS[maintain_preparation_modifier],
MATCH(tbl_product_preparations[[#This Row],[preparation_key]],
PREPARATION_MODIFIERS[preparation_key],0))</f>
        <v>0</v>
      </c>
      <c r="BA81" s="19">
        <f>INDEX(PREPARATION_MODIFIERS[gain_preparation_modifier],
MATCH(tbl_product_preparations[[#This Row],[preparation_key]],
PREPARATION_MODIFIERS[preparation_key],0))</f>
        <v>0</v>
      </c>
    </row>
    <row r="82" spans="1:53" x14ac:dyDescent="0.2">
      <c r="A82" s="31" t="s">
        <v>623</v>
      </c>
      <c r="B82" s="31" t="s">
        <v>115</v>
      </c>
      <c r="C82" s="31" t="s">
        <v>160</v>
      </c>
      <c r="D82" s="31" t="s">
        <v>627</v>
      </c>
      <c r="E82" s="53" t="str">
        <f>IF(tbl_product_preparations[[#This Row],[source_key]]="MANUFACTURER","MANUFACTURER",
IF(tbl_product_preparations[[#This Row],[source_key]]="CALCULATED","CALCULATED",
"REAL"))</f>
        <v>REAL</v>
      </c>
      <c r="F82" s="53" t="str">
        <f>IF(LEFT(tbl_product_preparations[[#This Row],[source_key]],4)="USDA","US","EU")</f>
        <v>EU</v>
      </c>
      <c r="G82" s="32">
        <v>48</v>
      </c>
      <c r="H82" s="18" t="str">
        <f>IF(
   ISNUMBER(tbl_product_preparations[[#This Row],[density_lookup]]),
   ROUND(tbl_product_preparations[[#This Row],[kcal_per_100g]]*tbl_product_preparations[[#This Row],[density_lookup]],1),
   ""
)</f>
        <v/>
      </c>
      <c r="I82" s="35">
        <v>0.8</v>
      </c>
      <c r="J82" s="35">
        <v>7.9</v>
      </c>
      <c r="K82" s="35">
        <v>1</v>
      </c>
      <c r="L82" s="35">
        <v>0</v>
      </c>
      <c r="M82" s="32">
        <v>2</v>
      </c>
      <c r="N82" s="35">
        <v>7.7</v>
      </c>
      <c r="O82" s="47">
        <f>IF(tbl_product_preparations[[#This Row],[sugar_per_100g]]=0,tbl_product_preparations[[#This Row],[carbs_per_100g]],tbl_product_preparations[[#This Row],[sugar_per_100g]])</f>
        <v>7.7</v>
      </c>
      <c r="P82" s="37">
        <v>1E-3</v>
      </c>
      <c r="Q82" s="48">
        <f>IF(tbl_product_preparations[[#This Row],[sodium_per_100g]]=0,
tbl_product_preparations[[#This Row],[salt_per_100g]]/2.5,
tbl_product_preparations[[#This Row],[sodium_per_100g]])</f>
        <v>1E-3</v>
      </c>
      <c r="R82" s="24">
        <f>ROUND(tbl_product_preparations[[#This Row],[sodium_per_100g]]*2.5,3)</f>
        <v>3.0000000000000001E-3</v>
      </c>
      <c r="S82" s="24">
        <f>IF(tbl_product_preparations[[#This Row],[salt_per_100g]]=0,
tbl_product_preparations[[#This Row],[sodium_per_100g]]*2.5,
tbl_product_preparations[[#This Row],[salt_per_100g]])</f>
        <v>3.0000000000000001E-3</v>
      </c>
      <c r="T82" s="35">
        <v>88</v>
      </c>
      <c r="U82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82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47.800000000000004</v>
      </c>
      <c r="W82" s="19">
        <f>IF(tbl_product_preparations[[#This Row],[kcal_per_100g]]=0,0,ABS((tbl_product_preparations[[#This Row],[kcal_per_100g]]-tbl_product_preparations[[#This Row],[kcal_calc]])/tbl_product_preparations[[#This Row],[kcal_per_100g]])*100)</f>
        <v>0.4166666666666578</v>
      </c>
      <c r="X82" s="19">
        <f>ROUND(tbl_product_preparations[[#This Row],[kcal_calc]],1)</f>
        <v>47.8</v>
      </c>
      <c r="Y82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99.700999999999993</v>
      </c>
      <c r="Z82" s="19" t="str">
        <f>IF(
  tbl_product_preparations[[#This Row],[macro_sum]] &lt;=
  100 + _xlfn.XLOOKUP("WATER_TOTAL_TOLERANCE",tbl_config[config_key],tbl_config[config_value]),
  "OK",
  "ERROR"
)</f>
        <v>OK</v>
      </c>
      <c r="AA82" s="15" t="str">
        <f>_xlfn.LET(
   _xlpm.d, _xlfn.XLOOKUP(tbl_product_preparations[[#This Row],[product_key]],tbl_products[product_key],tbl_products[density_g_per_ml]),
   IF(AND(ISNUMBER(_xlpm.d), _xlpm.d&gt;0), _xlpm.d, "")
)</f>
        <v/>
      </c>
      <c r="AB82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82" s="19" cm="1">
        <f t="array" ref="AC82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82.073826515819846</v>
      </c>
      <c r="AD82" s="19" cm="1">
        <f t="array" ref="AD82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77.659251012652803</v>
      </c>
      <c r="AE82" s="19" cm="1">
        <f t="array" ref="AE82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48.675225595997169</v>
      </c>
      <c r="AF82" s="19">
        <f>IF(tbl_product_preparations[[#This Row],[kcal_per_100g]]&lt;5,
 0,
 MAX(0,MIN(100,
  ((tbl_product_preparations[[#This Row],[protein_per_100g]]/tbl_product_preparations[[#This Row],[kcal_per_100g]]*100 - 1) / 7 * 100)
 ))
)</f>
        <v>9.5238095238095255</v>
      </c>
      <c r="AG82" s="19">
        <f>IF(tbl_product_preparations[[#This Row],[kcal_per_100g]]&lt;5,
 0,
 MAX(0,MIN(100,(tbl_product_preparations[[#This Row],[fiber_per_100g]]/8*100)))
)</f>
        <v>25</v>
      </c>
      <c r="AH82" s="19">
        <f>MAX(0,MIN(100,100-(tbl_product_preparations[[#This Row],[sugar_per_100g]]/15*100)))</f>
        <v>48.666666666666671</v>
      </c>
      <c r="AI82" s="19">
        <f>MAX(0,100-(tbl_product_preparations[[#This Row],[alcohol_per_100g]]*50))</f>
        <v>100</v>
      </c>
      <c r="AJ82" s="19">
        <f>ROUND(tbl_product_preparations[[#This Row],[water_percent]],0)</f>
        <v>88</v>
      </c>
      <c r="AK82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62</v>
      </c>
      <c r="AL82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57</v>
      </c>
      <c r="AM82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41</v>
      </c>
      <c r="AN82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C</v>
      </c>
      <c r="AO82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C</v>
      </c>
      <c r="AP82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D</v>
      </c>
      <c r="AQ82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FRUITS</v>
      </c>
      <c r="AR82" s="19"/>
      <c r="AS82" s="19" t="str">
        <f>INDEX(tbl_products[lose_modifier_group],
MATCH(tbl_product_preparations[[#This Row],[product_key]],
tbl_products[product_key],0))</f>
        <v>FRUIT_WHOLE</v>
      </c>
      <c r="AT82" s="19">
        <f>INDEX(BONUS_MALUS_LOSE[Modifier],
MATCH(tbl_product_preparations[[#This Row],[lose_modifier_group]],
BONUS_MALUS_LOSE[Group],0))</f>
        <v>3</v>
      </c>
      <c r="AU82" s="19" t="str">
        <f>INDEX(tbl_products[maintain_modifier_group],
MATCH(tbl_product_preparations[[#This Row],[product_key]],
tbl_products[product_key],0))</f>
        <v>FRUIT_WHOLE</v>
      </c>
      <c r="AV82" s="19">
        <f>INDEX(BONUS_MALUS_MAINTAIN[Modifier],
MATCH(tbl_product_preparations[[#This Row],[maintain_modifier_group]],
BONUS_MALUS_MAINTAIN[Group],0))</f>
        <v>2</v>
      </c>
      <c r="AW82" s="19" t="str">
        <f>INDEX(tbl_products[gain_modifier_group],
MATCH(tbl_product_preparations[[#This Row],[product_key]],
tbl_products[product_key],0))</f>
        <v>FRUIT_WHOLE</v>
      </c>
      <c r="AX82" s="19">
        <f>INDEX(BONUS_MALUS_GAIN[Modifier],
MATCH(tbl_product_preparations[[#This Row],[gain_modifier_group]],
BONUS_MALUS_GAIN[Group],0))</f>
        <v>1</v>
      </c>
      <c r="AY82" s="19">
        <f>INDEX(PREPARATION_MODIFIERS[lose_preparation_modifier],
MATCH(tbl_product_preparations[[#This Row],[preparation_key]],
PREPARATION_MODIFIERS[preparation_key],0))</f>
        <v>0</v>
      </c>
      <c r="AZ82" s="19">
        <f>INDEX(PREPARATION_MODIFIERS[maintain_preparation_modifier],
MATCH(tbl_product_preparations[[#This Row],[preparation_key]],
PREPARATION_MODIFIERS[preparation_key],0))</f>
        <v>0</v>
      </c>
      <c r="BA82" s="19">
        <f>INDEX(PREPARATION_MODIFIERS[gain_preparation_modifier],
MATCH(tbl_product_preparations[[#This Row],[preparation_key]],
PREPARATION_MODIFIERS[preparation_key],0))</f>
        <v>0</v>
      </c>
    </row>
    <row r="83" spans="1:53" x14ac:dyDescent="0.2">
      <c r="A83" s="31" t="s">
        <v>340</v>
      </c>
      <c r="B83" s="31" t="s">
        <v>115</v>
      </c>
      <c r="C83" s="31" t="s">
        <v>242</v>
      </c>
      <c r="D83" s="31" t="s">
        <v>372</v>
      </c>
      <c r="E83" s="53" t="str">
        <f>IF(tbl_product_preparations[[#This Row],[source_key]]="MANUFACTURER","MANUFACTURER",
IF(tbl_product_preparations[[#This Row],[source_key]]="CALCULATED","CALCULATED",
"REAL"))</f>
        <v>REAL</v>
      </c>
      <c r="F83" s="53" t="str">
        <f>IF(LEFT(tbl_product_preparations[[#This Row],[source_key]],4)="USDA","US","EU")</f>
        <v>US</v>
      </c>
      <c r="G83" s="32">
        <v>47</v>
      </c>
      <c r="H83" s="18">
        <f>IF(
   ISNUMBER(tbl_product_preparations[[#This Row],[density_lookup]]),
   ROUND(tbl_product_preparations[[#This Row],[kcal_per_100g]]*tbl_product_preparations[[#This Row],[density_lookup]],1),
   ""
)</f>
        <v>48.9</v>
      </c>
      <c r="I83" s="35">
        <v>0.73</v>
      </c>
      <c r="J83" s="35">
        <v>10.3</v>
      </c>
      <c r="K83" s="35">
        <v>0.32</v>
      </c>
      <c r="L83" s="35">
        <v>0</v>
      </c>
      <c r="M83" s="32">
        <v>0</v>
      </c>
      <c r="N83" s="35">
        <v>8.2799999999999994</v>
      </c>
      <c r="O83" s="47">
        <f>IF(tbl_product_preparations[[#This Row],[sugar_per_100g]]=0,tbl_product_preparations[[#This Row],[carbs_per_100g]],tbl_product_preparations[[#This Row],[sugar_per_100g]])</f>
        <v>8.2799999999999994</v>
      </c>
      <c r="P83" s="37">
        <v>5.0000000000000001E-3</v>
      </c>
      <c r="Q83" s="48">
        <f>IF(tbl_product_preparations[[#This Row],[sodium_per_100g]]=0,
tbl_product_preparations[[#This Row],[salt_per_100g]]/2.5,
tbl_product_preparations[[#This Row],[sodium_per_100g]])</f>
        <v>5.0000000000000001E-3</v>
      </c>
      <c r="R83" s="24">
        <f>ROUND(tbl_product_preparations[[#This Row],[sodium_per_100g]]*2.5,3)</f>
        <v>1.2999999999999999E-2</v>
      </c>
      <c r="S83" s="24">
        <f>IF(tbl_product_preparations[[#This Row],[salt_per_100g]]=0,
tbl_product_preparations[[#This Row],[sodium_per_100g]]*2.5,
tbl_product_preparations[[#This Row],[salt_per_100g]])</f>
        <v>1.2999999999999999E-2</v>
      </c>
      <c r="T83" s="35">
        <v>88.2</v>
      </c>
      <c r="U83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83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47.000000000000007</v>
      </c>
      <c r="W83" s="19">
        <f>IF(tbl_product_preparations[[#This Row],[kcal_per_100g]]=0,0,ABS((tbl_product_preparations[[#This Row],[kcal_per_100g]]-tbl_product_preparations[[#This Row],[kcal_calc]])/tbl_product_preparations[[#This Row],[kcal_per_100g]])*100)</f>
        <v>1.5117930548087238E-14</v>
      </c>
      <c r="X83" s="19">
        <f>ROUND(tbl_product_preparations[[#This Row],[kcal_calc]],1)</f>
        <v>47</v>
      </c>
      <c r="Y83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99.555000000000007</v>
      </c>
      <c r="Z83" s="19" t="str">
        <f>IF(
  tbl_product_preparations[[#This Row],[macro_sum]] &lt;=
  100 + _xlfn.XLOOKUP("WATER_TOTAL_TOLERANCE",tbl_config[config_key],tbl_config[config_value]),
  "OK",
  "ERROR"
)</f>
        <v>OK</v>
      </c>
      <c r="AA83" s="15">
        <f>_xlfn.LET(
   _xlpm.d, _xlfn.XLOOKUP(tbl_product_preparations[[#This Row],[product_key]],tbl_products[product_key],tbl_products[density_g_per_ml]),
   IF(AND(ISNUMBER(_xlpm.d), _xlpm.d&gt;0), _xlpm.d, "")
)</f>
        <v>1.04</v>
      </c>
      <c r="AB83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>OK</v>
      </c>
      <c r="AC83" s="19" cm="1">
        <f t="array" ref="AC83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21.666666666666671</v>
      </c>
      <c r="AD83" s="19" cm="1">
        <f t="array" ref="AD83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41.25</v>
      </c>
      <c r="AE83" s="19" cm="1">
        <f t="array" ref="AE83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60.833333333333336</v>
      </c>
      <c r="AF83" s="19">
        <f>IF(tbl_product_preparations[[#This Row],[kcal_per_100g]]&lt;5,
 0,
 MAX(0,MIN(100,
  ((tbl_product_preparations[[#This Row],[protein_per_100g]]/tbl_product_preparations[[#This Row],[kcal_per_100g]]*100 - 1) / 7 * 100)
 ))
)</f>
        <v>7.902735562310033</v>
      </c>
      <c r="AG83" s="19">
        <f>IF(tbl_product_preparations[[#This Row],[kcal_per_100g]]&lt;5,
 0,
 MAX(0,MIN(100,(tbl_product_preparations[[#This Row],[fiber_per_100g]]/8*100)))
)</f>
        <v>0</v>
      </c>
      <c r="AH83" s="19">
        <f>MAX(0,MIN(100,100-(tbl_product_preparations[[#This Row],[sugar_per_100g]]/15*100)))</f>
        <v>44.800000000000004</v>
      </c>
      <c r="AI83" s="19">
        <f>MAX(0,100-(tbl_product_preparations[[#This Row],[alcohol_per_100g]]*50))</f>
        <v>100</v>
      </c>
      <c r="AJ83" s="19">
        <f>ROUND(tbl_product_preparations[[#This Row],[water_percent]],0)</f>
        <v>88</v>
      </c>
      <c r="AK83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22</v>
      </c>
      <c r="AL83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39</v>
      </c>
      <c r="AM83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50</v>
      </c>
      <c r="AN83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E</v>
      </c>
      <c r="AO83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D</v>
      </c>
      <c r="AP83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C</v>
      </c>
      <c r="AQ83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BEVERAGES</v>
      </c>
      <c r="AR83" s="19"/>
      <c r="AS83" s="19" t="str">
        <f>INDEX(tbl_products[lose_modifier_group],
MATCH(tbl_product_preparations[[#This Row],[product_key]],
tbl_products[product_key],0))</f>
        <v>FRUIT_JUICE</v>
      </c>
      <c r="AT83" s="19">
        <f>INDEX(BONUS_MALUS_LOSE[Modifier],
MATCH(tbl_product_preparations[[#This Row],[lose_modifier_group]],
BONUS_MALUS_LOSE[Group],0))</f>
        <v>-10</v>
      </c>
      <c r="AU83" s="19" t="str">
        <f>INDEX(tbl_products[maintain_modifier_group],
MATCH(tbl_product_preparations[[#This Row],[product_key]],
tbl_products[product_key],0))</f>
        <v>FRUIT_JUICE</v>
      </c>
      <c r="AV83" s="19">
        <f>INDEX(BONUS_MALUS_MAINTAIN[Modifier],
MATCH(tbl_product_preparations[[#This Row],[maintain_modifier_group]],
BONUS_MALUS_MAINTAIN[Group],0))</f>
        <v>-6</v>
      </c>
      <c r="AW83" s="19" t="str">
        <f>INDEX(tbl_products[gain_modifier_group],
MATCH(tbl_product_preparations[[#This Row],[product_key]],
tbl_products[product_key],0))</f>
        <v>FRUIT_JUICE</v>
      </c>
      <c r="AX83" s="19">
        <f>INDEX(BONUS_MALUS_GAIN[Modifier],
MATCH(tbl_product_preparations[[#This Row],[gain_modifier_group]],
BONUS_MALUS_GAIN[Group],0))</f>
        <v>5</v>
      </c>
      <c r="AY83" s="19">
        <f>INDEX(PREPARATION_MODIFIERS[lose_preparation_modifier],
MATCH(tbl_product_preparations[[#This Row],[preparation_key]],
PREPARATION_MODIFIERS[preparation_key],0))</f>
        <v>0</v>
      </c>
      <c r="AZ83" s="19">
        <f>INDEX(PREPARATION_MODIFIERS[maintain_preparation_modifier],
MATCH(tbl_product_preparations[[#This Row],[preparation_key]],
PREPARATION_MODIFIERS[preparation_key],0))</f>
        <v>0</v>
      </c>
      <c r="BA83" s="19">
        <f>INDEX(PREPARATION_MODIFIERS[gain_preparation_modifier],
MATCH(tbl_product_preparations[[#This Row],[preparation_key]],
PREPARATION_MODIFIERS[preparation_key],0))</f>
        <v>0</v>
      </c>
    </row>
    <row r="84" spans="1:53" x14ac:dyDescent="0.2">
      <c r="A84" s="31" t="s">
        <v>925</v>
      </c>
      <c r="B84" s="31" t="s">
        <v>115</v>
      </c>
      <c r="C84" s="31" t="s">
        <v>160</v>
      </c>
      <c r="D84" s="31" t="s">
        <v>929</v>
      </c>
      <c r="E84" s="53" t="str">
        <f>IF(tbl_product_preparations[[#This Row],[source_key]]="MANUFACTURER","MANUFACTURER",
IF(tbl_product_preparations[[#This Row],[source_key]]="CALCULATED","CALCULATED",
"REAL"))</f>
        <v>REAL</v>
      </c>
      <c r="F84" s="53" t="str">
        <f>IF(LEFT(tbl_product_preparations[[#This Row],[source_key]],4)="USDA","US","EU")</f>
        <v>EU</v>
      </c>
      <c r="G84" s="32">
        <v>39</v>
      </c>
      <c r="H84" s="18" t="str">
        <f>IF(
   ISNUMBER(tbl_product_preparations[[#This Row],[density_lookup]]),
   ROUND(tbl_product_preparations[[#This Row],[kcal_per_100g]]*tbl_product_preparations[[#This Row],[density_lookup]],1),
   ""
)</f>
        <v/>
      </c>
      <c r="I84" s="35">
        <v>0.5</v>
      </c>
      <c r="J84" s="35">
        <v>7.8</v>
      </c>
      <c r="K84" s="35">
        <v>0.3</v>
      </c>
      <c r="L84" s="35">
        <v>0</v>
      </c>
      <c r="M84" s="32">
        <v>1.7</v>
      </c>
      <c r="N84" s="35">
        <v>7.8</v>
      </c>
      <c r="O84" s="47">
        <f>IF(tbl_product_preparations[[#This Row],[sugar_per_100g]]=0,tbl_product_preparations[[#This Row],[carbs_per_100g]],tbl_product_preparations[[#This Row],[sugar_per_100g]])</f>
        <v>7.8</v>
      </c>
      <c r="P84" s="37">
        <v>1E-3</v>
      </c>
      <c r="Q84" s="48">
        <f>IF(tbl_product_preparations[[#This Row],[sodium_per_100g]]=0,
tbl_product_preparations[[#This Row],[salt_per_100g]]/2.5,
tbl_product_preparations[[#This Row],[sodium_per_100g]])</f>
        <v>1E-3</v>
      </c>
      <c r="R84" s="24">
        <f>ROUND(tbl_product_preparations[[#This Row],[sodium_per_100g]]*2.5,3)</f>
        <v>3.0000000000000001E-3</v>
      </c>
      <c r="S84" s="24">
        <f>IF(tbl_product_preparations[[#This Row],[salt_per_100g]]=0,
tbl_product_preparations[[#This Row],[sodium_per_100g]]*2.5,
tbl_product_preparations[[#This Row],[salt_per_100g]])</f>
        <v>3.0000000000000001E-3</v>
      </c>
      <c r="T84" s="35">
        <v>89.8</v>
      </c>
      <c r="U84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84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39.300000000000004</v>
      </c>
      <c r="W84" s="19">
        <f>IF(tbl_product_preparations[[#This Row],[kcal_per_100g]]=0,0,ABS((tbl_product_preparations[[#This Row],[kcal_per_100g]]-tbl_product_preparations[[#This Row],[kcal_calc]])/tbl_product_preparations[[#This Row],[kcal_per_100g]])*100)</f>
        <v>0.76923076923078015</v>
      </c>
      <c r="X84" s="19">
        <f>ROUND(tbl_product_preparations[[#This Row],[kcal_calc]],1)</f>
        <v>39.299999999999997</v>
      </c>
      <c r="Y84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100.101</v>
      </c>
      <c r="Z84" s="19" t="str">
        <f>IF(
  tbl_product_preparations[[#This Row],[macro_sum]] &lt;=
  100 + _xlfn.XLOOKUP("WATER_TOTAL_TOLERANCE",tbl_config[config_key],tbl_config[config_value]),
  "OK",
  "ERROR"
)</f>
        <v>OK</v>
      </c>
      <c r="AA84" s="15" t="str">
        <f>_xlfn.LET(
   _xlpm.d, _xlfn.XLOOKUP(tbl_product_preparations[[#This Row],[product_key]],tbl_products[product_key],tbl_products[density_g_per_ml]),
   IF(AND(ISNUMBER(_xlpm.d), _xlpm.d&gt;0), _xlpm.d, "")
)</f>
        <v/>
      </c>
      <c r="AB84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84" s="19" cm="1">
        <f t="array" ref="AC84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67.553865566313178</v>
      </c>
      <c r="AD84" s="19" cm="1">
        <f t="array" ref="AD84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66.029952021731305</v>
      </c>
      <c r="AE84" s="19" cm="1">
        <f t="array" ref="AE84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40.202138309465482</v>
      </c>
      <c r="AF84" s="19">
        <f>IF(tbl_product_preparations[[#This Row],[kcal_per_100g]]&lt;5,
 0,
 MAX(0,MIN(100,
  ((tbl_product_preparations[[#This Row],[protein_per_100g]]/tbl_product_preparations[[#This Row],[kcal_per_100g]]*100 - 1) / 7 * 100)
 ))
)</f>
        <v>4.0293040293040274</v>
      </c>
      <c r="AG84" s="19">
        <f>IF(tbl_product_preparations[[#This Row],[kcal_per_100g]]&lt;5,
 0,
 MAX(0,MIN(100,(tbl_product_preparations[[#This Row],[fiber_per_100g]]/8*100)))
)</f>
        <v>21.25</v>
      </c>
      <c r="AH84" s="19">
        <f>MAX(0,MIN(100,100-(tbl_product_preparations[[#This Row],[sugar_per_100g]]/15*100)))</f>
        <v>48</v>
      </c>
      <c r="AI84" s="19">
        <f>MAX(0,100-(tbl_product_preparations[[#This Row],[alcohol_per_100g]]*50))</f>
        <v>100</v>
      </c>
      <c r="AJ84" s="19">
        <f>ROUND(tbl_product_preparations[[#This Row],[water_percent]],0)</f>
        <v>90</v>
      </c>
      <c r="AK84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55</v>
      </c>
      <c r="AL84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51</v>
      </c>
      <c r="AM84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35</v>
      </c>
      <c r="AN84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C</v>
      </c>
      <c r="AO84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C</v>
      </c>
      <c r="AP84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D</v>
      </c>
      <c r="AQ84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FRUITS</v>
      </c>
      <c r="AR84" s="19"/>
      <c r="AS84" s="19" t="str">
        <f>INDEX(tbl_products[lose_modifier_group],
MATCH(tbl_product_preparations[[#This Row],[product_key]],
tbl_products[product_key],0))</f>
        <v>FRUIT_WHOLE</v>
      </c>
      <c r="AT84" s="19">
        <f>INDEX(BONUS_MALUS_LOSE[Modifier],
MATCH(tbl_product_preparations[[#This Row],[lose_modifier_group]],
BONUS_MALUS_LOSE[Group],0))</f>
        <v>3</v>
      </c>
      <c r="AU84" s="19" t="str">
        <f>INDEX(tbl_products[maintain_modifier_group],
MATCH(tbl_product_preparations[[#This Row],[product_key]],
tbl_products[product_key],0))</f>
        <v>FRUIT_WHOLE</v>
      </c>
      <c r="AV84" s="19">
        <f>INDEX(BONUS_MALUS_MAINTAIN[Modifier],
MATCH(tbl_product_preparations[[#This Row],[maintain_modifier_group]],
BONUS_MALUS_MAINTAIN[Group],0))</f>
        <v>2</v>
      </c>
      <c r="AW84" s="19" t="str">
        <f>INDEX(tbl_products[gain_modifier_group],
MATCH(tbl_product_preparations[[#This Row],[product_key]],
tbl_products[product_key],0))</f>
        <v>FRUIT_WHOLE</v>
      </c>
      <c r="AX84" s="19">
        <f>INDEX(BONUS_MALUS_GAIN[Modifier],
MATCH(tbl_product_preparations[[#This Row],[gain_modifier_group]],
BONUS_MALUS_GAIN[Group],0))</f>
        <v>1</v>
      </c>
      <c r="AY84" s="19">
        <f>INDEX(PREPARATION_MODIFIERS[lose_preparation_modifier],
MATCH(tbl_product_preparations[[#This Row],[preparation_key]],
PREPARATION_MODIFIERS[preparation_key],0))</f>
        <v>0</v>
      </c>
      <c r="AZ84" s="19">
        <f>INDEX(PREPARATION_MODIFIERS[maintain_preparation_modifier],
MATCH(tbl_product_preparations[[#This Row],[preparation_key]],
PREPARATION_MODIFIERS[preparation_key],0))</f>
        <v>0</v>
      </c>
      <c r="BA84" s="19">
        <f>INDEX(PREPARATION_MODIFIERS[gain_preparation_modifier],
MATCH(tbl_product_preparations[[#This Row],[preparation_key]],
PREPARATION_MODIFIERS[preparation_key],0))</f>
        <v>0</v>
      </c>
    </row>
    <row r="85" spans="1:53" x14ac:dyDescent="0.2">
      <c r="A85" s="31" t="s">
        <v>930</v>
      </c>
      <c r="B85" s="31" t="s">
        <v>115</v>
      </c>
      <c r="C85" s="31" t="s">
        <v>160</v>
      </c>
      <c r="D85" s="31" t="s">
        <v>936</v>
      </c>
      <c r="E85" s="53" t="str">
        <f>IF(tbl_product_preparations[[#This Row],[source_key]]="MANUFACTURER","MANUFACTURER",
IF(tbl_product_preparations[[#This Row],[source_key]]="CALCULATED","CALCULATED",
"REAL"))</f>
        <v>REAL</v>
      </c>
      <c r="F85" s="53" t="str">
        <f>IF(LEFT(tbl_product_preparations[[#This Row],[source_key]],4)="USDA","US","EU")</f>
        <v>EU</v>
      </c>
      <c r="G85" s="32">
        <v>52</v>
      </c>
      <c r="H85" s="18" t="str">
        <f>IF(
   ISNUMBER(tbl_product_preparations[[#This Row],[density_lookup]]),
   ROUND(tbl_product_preparations[[#This Row],[kcal_per_100g]]*tbl_product_preparations[[#This Row],[density_lookup]],1),
   ""
)</f>
        <v/>
      </c>
      <c r="I85" s="35">
        <v>2.6</v>
      </c>
      <c r="J85" s="35">
        <v>5.7</v>
      </c>
      <c r="K85" s="35">
        <v>0.4</v>
      </c>
      <c r="L85" s="35">
        <v>0</v>
      </c>
      <c r="M85" s="32">
        <v>3.3</v>
      </c>
      <c r="N85" s="35">
        <v>5.7</v>
      </c>
      <c r="O85" s="47">
        <f>IF(tbl_product_preparations[[#This Row],[sugar_per_100g]]=0,tbl_product_preparations[[#This Row],[carbs_per_100g]],tbl_product_preparations[[#This Row],[sugar_per_100g]])</f>
        <v>5.7</v>
      </c>
      <c r="P85" s="37">
        <v>1.9E-2</v>
      </c>
      <c r="Q85" s="48">
        <f>IF(tbl_product_preparations[[#This Row],[sodium_per_100g]]=0,
tbl_product_preparations[[#This Row],[salt_per_100g]]/2.5,
tbl_product_preparations[[#This Row],[sodium_per_100g]])</f>
        <v>1.9E-2</v>
      </c>
      <c r="R85" s="24">
        <f>ROUND(tbl_product_preparations[[#This Row],[sodium_per_100g]]*2.5,3)</f>
        <v>4.8000000000000001E-2</v>
      </c>
      <c r="S85" s="24">
        <f>IF(tbl_product_preparations[[#This Row],[salt_per_100g]]=0,
tbl_product_preparations[[#This Row],[sodium_per_100g]]*2.5,
tbl_product_preparations[[#This Row],[salt_per_100g]])</f>
        <v>4.8000000000000001E-2</v>
      </c>
      <c r="T85" s="35">
        <v>85</v>
      </c>
      <c r="U85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85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43.400000000000006</v>
      </c>
      <c r="W85" s="19">
        <f>IF(tbl_product_preparations[[#This Row],[kcal_per_100g]]=0,0,ABS((tbl_product_preparations[[#This Row],[kcal_per_100g]]-tbl_product_preparations[[#This Row],[kcal_calc]])/tbl_product_preparations[[#This Row],[kcal_per_100g]])*100)</f>
        <v>16.538461538461526</v>
      </c>
      <c r="X85" s="19">
        <f>ROUND(tbl_product_preparations[[#This Row],[kcal_calc]],1)</f>
        <v>43.4</v>
      </c>
      <c r="Y85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97.019000000000005</v>
      </c>
      <c r="Z85" s="19" t="str">
        <f>IF(
  tbl_product_preparations[[#This Row],[macro_sum]] &lt;=
  100 + _xlfn.XLOOKUP("WATER_TOTAL_TOLERANCE",tbl_config[config_key],tbl_config[config_value]),
  "OK",
  "ERROR"
)</f>
        <v>OK</v>
      </c>
      <c r="AA85" s="15" t="str">
        <f>_xlfn.LET(
   _xlpm.d, _xlfn.XLOOKUP(tbl_product_preparations[[#This Row],[product_key]],tbl_products[product_key],tbl_products[density_g_per_ml]),
   IF(AND(ISNUMBER(_xlpm.d), _xlpm.d&gt;0), _xlpm.d, "")
)</f>
        <v/>
      </c>
      <c r="AB85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85" s="19" cm="1">
        <f t="array" ref="AC85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87.61264072352644</v>
      </c>
      <c r="AD85" s="19" cm="1">
        <f t="array" ref="AD85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82.400370978743723</v>
      </c>
      <c r="AE85" s="19" cm="1">
        <f t="array" ref="AE85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52.612196409345643</v>
      </c>
      <c r="AF85" s="19">
        <f>IF(tbl_product_preparations[[#This Row],[kcal_per_100g]]&lt;5,
 0,
 MAX(0,MIN(100,
  ((tbl_product_preparations[[#This Row],[protein_per_100g]]/tbl_product_preparations[[#This Row],[kcal_per_100g]]*100 - 1) / 7 * 100)
 ))
)</f>
        <v>57.142857142857139</v>
      </c>
      <c r="AG85" s="19">
        <f>IF(tbl_product_preparations[[#This Row],[kcal_per_100g]]&lt;5,
 0,
 MAX(0,MIN(100,(tbl_product_preparations[[#This Row],[fiber_per_100g]]/8*100)))
)</f>
        <v>41.25</v>
      </c>
      <c r="AH85" s="19">
        <f>MAX(0,MIN(100,100-(tbl_product_preparations[[#This Row],[sugar_per_100g]]/15*100)))</f>
        <v>62</v>
      </c>
      <c r="AI85" s="19">
        <f>MAX(0,100-(tbl_product_preparations[[#This Row],[alcohol_per_100g]]*50))</f>
        <v>100</v>
      </c>
      <c r="AJ85" s="19">
        <f>ROUND(tbl_product_preparations[[#This Row],[water_percent]],0)</f>
        <v>85</v>
      </c>
      <c r="AK85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75</v>
      </c>
      <c r="AL85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71</v>
      </c>
      <c r="AM85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57</v>
      </c>
      <c r="AN85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B</v>
      </c>
      <c r="AO85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B</v>
      </c>
      <c r="AP85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C</v>
      </c>
      <c r="AQ85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FRUITS</v>
      </c>
      <c r="AR85" s="19"/>
      <c r="AS85" s="19" t="str">
        <f>INDEX(tbl_products[lose_modifier_group],
MATCH(tbl_product_preparations[[#This Row],[product_key]],
tbl_products[product_key],0))</f>
        <v>FRUIT_WHOLE</v>
      </c>
      <c r="AT85" s="19">
        <f>INDEX(BONUS_MALUS_LOSE[Modifier],
MATCH(tbl_product_preparations[[#This Row],[lose_modifier_group]],
BONUS_MALUS_LOSE[Group],0))</f>
        <v>3</v>
      </c>
      <c r="AU85" s="19" t="str">
        <f>INDEX(tbl_products[maintain_modifier_group],
MATCH(tbl_product_preparations[[#This Row],[product_key]],
tbl_products[product_key],0))</f>
        <v>FRUIT_WHOLE</v>
      </c>
      <c r="AV85" s="19">
        <f>INDEX(BONUS_MALUS_MAINTAIN[Modifier],
MATCH(tbl_product_preparations[[#This Row],[maintain_modifier_group]],
BONUS_MALUS_MAINTAIN[Group],0))</f>
        <v>2</v>
      </c>
      <c r="AW85" s="19" t="str">
        <f>INDEX(tbl_products[gain_modifier_group],
MATCH(tbl_product_preparations[[#This Row],[product_key]],
tbl_products[product_key],0))</f>
        <v>FRUIT_WHOLE</v>
      </c>
      <c r="AX85" s="19">
        <f>INDEX(BONUS_MALUS_GAIN[Modifier],
MATCH(tbl_product_preparations[[#This Row],[gain_modifier_group]],
BONUS_MALUS_GAIN[Group],0))</f>
        <v>1</v>
      </c>
      <c r="AY85" s="19">
        <f>INDEX(PREPARATION_MODIFIERS[lose_preparation_modifier],
MATCH(tbl_product_preparations[[#This Row],[preparation_key]],
PREPARATION_MODIFIERS[preparation_key],0))</f>
        <v>0</v>
      </c>
      <c r="AZ85" s="19">
        <f>INDEX(PREPARATION_MODIFIERS[maintain_preparation_modifier],
MATCH(tbl_product_preparations[[#This Row],[preparation_key]],
PREPARATION_MODIFIERS[preparation_key],0))</f>
        <v>0</v>
      </c>
      <c r="BA85" s="19">
        <f>INDEX(PREPARATION_MODIFIERS[gain_preparation_modifier],
MATCH(tbl_product_preparations[[#This Row],[preparation_key]],
PREPARATION_MODIFIERS[preparation_key],0))</f>
        <v>0</v>
      </c>
    </row>
    <row r="86" spans="1:53" x14ac:dyDescent="0.2">
      <c r="A86" s="31" t="s">
        <v>434</v>
      </c>
      <c r="B86" s="31" t="s">
        <v>115</v>
      </c>
      <c r="C86" s="31" t="s">
        <v>160</v>
      </c>
      <c r="D86" s="31" t="s">
        <v>433</v>
      </c>
      <c r="E86" s="53" t="str">
        <f>IF(tbl_product_preparations[[#This Row],[source_key]]="MANUFACTURER","MANUFACTURER",
IF(tbl_product_preparations[[#This Row],[source_key]]="CALCULATED","CALCULATED",
"REAL"))</f>
        <v>REAL</v>
      </c>
      <c r="F86" s="53" t="str">
        <f>IF(LEFT(tbl_product_preparations[[#This Row],[source_key]],4)="USDA","US","EU")</f>
        <v>EU</v>
      </c>
      <c r="G86" s="32">
        <v>654</v>
      </c>
      <c r="H86" s="18" t="str">
        <f>IF(
   ISNUMBER(tbl_product_preparations[[#This Row],[density_lookup]]),
   ROUND(tbl_product_preparations[[#This Row],[kcal_per_100g]]*tbl_product_preparations[[#This Row],[density_lookup]],1),
   ""
)</f>
        <v/>
      </c>
      <c r="I86" s="35">
        <v>22.5</v>
      </c>
      <c r="J86" s="35">
        <v>10</v>
      </c>
      <c r="K86" s="35">
        <v>56.4</v>
      </c>
      <c r="L86" s="35">
        <v>0</v>
      </c>
      <c r="M86" s="32">
        <v>8</v>
      </c>
      <c r="N86" s="35">
        <v>0</v>
      </c>
      <c r="O86" s="47">
        <f>IF(tbl_product_preparations[[#This Row],[sugar_per_100g]]=0,tbl_product_preparations[[#This Row],[carbs_per_100g]],tbl_product_preparations[[#This Row],[sugar_per_100g]])</f>
        <v>10</v>
      </c>
      <c r="P86" s="37">
        <v>0.248</v>
      </c>
      <c r="Q86" s="48">
        <f>IF(tbl_product_preparations[[#This Row],[sodium_per_100g]]=0,
tbl_product_preparations[[#This Row],[salt_per_100g]]/2.5,
tbl_product_preparations[[#This Row],[sodium_per_100g]])</f>
        <v>0.248</v>
      </c>
      <c r="R86" s="24">
        <f>ROUND(tbl_product_preparations[[#This Row],[sodium_per_100g]]*2.5,3)</f>
        <v>0.62</v>
      </c>
      <c r="S86" s="24">
        <f>IF(tbl_product_preparations[[#This Row],[salt_per_100g]]=0,
tbl_product_preparations[[#This Row],[sodium_per_100g]]*2.5,
tbl_product_preparations[[#This Row],[salt_per_100g]])</f>
        <v>0.62</v>
      </c>
      <c r="T86" s="35">
        <v>0.6</v>
      </c>
      <c r="U86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86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653.59999999999991</v>
      </c>
      <c r="W86" s="19">
        <f>IF(tbl_product_preparations[[#This Row],[kcal_per_100g]]=0,0,ABS((tbl_product_preparations[[#This Row],[kcal_per_100g]]-tbl_product_preparations[[#This Row],[kcal_calc]])/tbl_product_preparations[[#This Row],[kcal_per_100g]])*100)</f>
        <v>6.1162079510717268E-2</v>
      </c>
      <c r="X86" s="19">
        <f>ROUND(tbl_product_preparations[[#This Row],[kcal_calc]],1)</f>
        <v>653.6</v>
      </c>
      <c r="Y86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97.748000000000005</v>
      </c>
      <c r="Z86" s="19" t="str">
        <f>IF(
  tbl_product_preparations[[#This Row],[macro_sum]] &lt;=
  100 + _xlfn.XLOOKUP("WATER_TOTAL_TOLERANCE",tbl_config[config_key],tbl_config[config_value]),
  "OK",
  "ERROR"
)</f>
        <v>OK</v>
      </c>
      <c r="AA86" s="15" t="str">
        <f>_xlfn.LET(
   _xlpm.d, _xlfn.XLOOKUP(tbl_product_preparations[[#This Row],[product_key]],tbl_products[product_key],tbl_products[density_g_per_ml]),
   IF(AND(ISNUMBER(_xlpm.d), _xlpm.d&gt;0), _xlpm.d, "")
)</f>
        <v/>
      </c>
      <c r="AB86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86" s="19" cm="1">
        <f t="array" ref="AC86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4.49634946228087E-7</v>
      </c>
      <c r="AD86" s="19" cm="1">
        <f t="array" ref="AD86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5.8473400550822961E-6</v>
      </c>
      <c r="AE86" s="19" cm="1">
        <f t="array" ref="AE86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78.634822087715378</v>
      </c>
      <c r="AF86" s="19">
        <f>IF(tbl_product_preparations[[#This Row],[kcal_per_100g]]&lt;5,
 0,
 MAX(0,MIN(100,
  ((tbl_product_preparations[[#This Row],[protein_per_100g]]/tbl_product_preparations[[#This Row],[kcal_per_100g]]*100 - 1) / 7 * 100)
 ))
)</f>
        <v>34.862385321100916</v>
      </c>
      <c r="AG86" s="19">
        <f>IF(tbl_product_preparations[[#This Row],[kcal_per_100g]]&lt;5,
 0,
 MAX(0,MIN(100,(tbl_product_preparations[[#This Row],[fiber_per_100g]]/8*100)))
)</f>
        <v>100</v>
      </c>
      <c r="AH86" s="19">
        <f>MAX(0,MIN(100,100-(tbl_product_preparations[[#This Row],[sugar_per_100g]]/15*100)))</f>
        <v>100</v>
      </c>
      <c r="AI86" s="19">
        <f>MAX(0,100-(tbl_product_preparations[[#This Row],[alcohol_per_100g]]*50))</f>
        <v>100</v>
      </c>
      <c r="AJ86" s="19">
        <f>ROUND(tbl_product_preparations[[#This Row],[water_percent]],0)</f>
        <v>1</v>
      </c>
      <c r="AK86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45</v>
      </c>
      <c r="AL86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42</v>
      </c>
      <c r="AM86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78</v>
      </c>
      <c r="AN86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D</v>
      </c>
      <c r="AO86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D</v>
      </c>
      <c r="AP86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B</v>
      </c>
      <c r="AQ86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NUTS_SEEDS</v>
      </c>
      <c r="AR86" s="19"/>
      <c r="AS86" s="19" t="str">
        <f>INDEX(tbl_products[lose_modifier_group],
MATCH(tbl_product_preparations[[#This Row],[product_key]],
tbl_products[product_key],0))</f>
        <v>NEUTRAL</v>
      </c>
      <c r="AT86" s="19">
        <f>INDEX(BONUS_MALUS_LOSE[Modifier],
MATCH(tbl_product_preparations[[#This Row],[lose_modifier_group]],
BONUS_MALUS_LOSE[Group],0))</f>
        <v>0</v>
      </c>
      <c r="AU86" s="19" t="str">
        <f>INDEX(tbl_products[maintain_modifier_group],
MATCH(tbl_product_preparations[[#This Row],[product_key]],
tbl_products[product_key],0))</f>
        <v>NEUTRAL</v>
      </c>
      <c r="AV86" s="19">
        <f>INDEX(BONUS_MALUS_MAINTAIN[Modifier],
MATCH(tbl_product_preparations[[#This Row],[maintain_modifier_group]],
BONUS_MALUS_MAINTAIN[Group],0))</f>
        <v>0</v>
      </c>
      <c r="AW86" s="19" t="str">
        <f>INDEX(tbl_products[gain_modifier_group],
MATCH(tbl_product_preparations[[#This Row],[product_key]],
tbl_products[product_key],0))</f>
        <v>NUTS_SEEDS</v>
      </c>
      <c r="AX86" s="19">
        <f>INDEX(BONUS_MALUS_GAIN[Modifier],
MATCH(tbl_product_preparations[[#This Row],[gain_modifier_group]],
BONUS_MALUS_GAIN[Group],0))</f>
        <v>6</v>
      </c>
      <c r="AY86" s="19">
        <f>INDEX(PREPARATION_MODIFIERS[lose_preparation_modifier],
MATCH(tbl_product_preparations[[#This Row],[preparation_key]],
PREPARATION_MODIFIERS[preparation_key],0))</f>
        <v>0</v>
      </c>
      <c r="AZ86" s="19">
        <f>INDEX(PREPARATION_MODIFIERS[maintain_preparation_modifier],
MATCH(tbl_product_preparations[[#This Row],[preparation_key]],
PREPARATION_MODIFIERS[preparation_key],0))</f>
        <v>0</v>
      </c>
      <c r="BA86" s="19">
        <f>INDEX(PREPARATION_MODIFIERS[gain_preparation_modifier],
MATCH(tbl_product_preparations[[#This Row],[preparation_key]],
PREPARATION_MODIFIERS[preparation_key],0))</f>
        <v>0</v>
      </c>
    </row>
    <row r="87" spans="1:53" x14ac:dyDescent="0.2">
      <c r="A87" s="31" t="s">
        <v>828</v>
      </c>
      <c r="B87" s="31" t="s">
        <v>579</v>
      </c>
      <c r="C87" s="31" t="s">
        <v>160</v>
      </c>
      <c r="D87" s="31" t="s">
        <v>834</v>
      </c>
      <c r="E87" s="53" t="str">
        <f>IF(tbl_product_preparations[[#This Row],[source_key]]="MANUFACTURER","MANUFACTURER",
IF(tbl_product_preparations[[#This Row],[source_key]]="CALCULATED","CALCULATED",
"REAL"))</f>
        <v>REAL</v>
      </c>
      <c r="F87" s="53" t="str">
        <f>IF(LEFT(tbl_product_preparations[[#This Row],[source_key]],4)="USDA","US","EU")</f>
        <v>EU</v>
      </c>
      <c r="G87" s="32">
        <v>40</v>
      </c>
      <c r="H87" s="18" t="str">
        <f>IF(
   ISNUMBER(tbl_product_preparations[[#This Row],[density_lookup]]),
   ROUND(tbl_product_preparations[[#This Row],[kcal_per_100g]]*tbl_product_preparations[[#This Row],[density_lookup]],1),
   ""
)</f>
        <v/>
      </c>
      <c r="I87" s="35">
        <v>1</v>
      </c>
      <c r="J87" s="35">
        <v>7.2</v>
      </c>
      <c r="K87" s="35">
        <v>0.1</v>
      </c>
      <c r="L87" s="35">
        <v>0</v>
      </c>
      <c r="M87" s="32">
        <v>2</v>
      </c>
      <c r="N87" s="35">
        <v>7.2</v>
      </c>
      <c r="O87" s="47">
        <f>IF(tbl_product_preparations[[#This Row],[sugar_per_100g]]=0,tbl_product_preparations[[#This Row],[carbs_per_100g]],tbl_product_preparations[[#This Row],[sugar_per_100g]])</f>
        <v>7.2</v>
      </c>
      <c r="P87" s="37">
        <v>1E-3</v>
      </c>
      <c r="Q87" s="48">
        <f>IF(tbl_product_preparations[[#This Row],[sodium_per_100g]]=0,
tbl_product_preparations[[#This Row],[salt_per_100g]]/2.5,
tbl_product_preparations[[#This Row],[sodium_per_100g]])</f>
        <v>1E-3</v>
      </c>
      <c r="R87" s="24">
        <f>ROUND(tbl_product_preparations[[#This Row],[sodium_per_100g]]*2.5,3)</f>
        <v>3.0000000000000001E-3</v>
      </c>
      <c r="S87" s="24">
        <f>IF(tbl_product_preparations[[#This Row],[salt_per_100g]]=0,
tbl_product_preparations[[#This Row],[sodium_per_100g]]*2.5,
tbl_product_preparations[[#This Row],[salt_per_100g]])</f>
        <v>3.0000000000000001E-3</v>
      </c>
      <c r="T87" s="35">
        <v>88.9</v>
      </c>
      <c r="U87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87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37.699999999999996</v>
      </c>
      <c r="W87" s="19">
        <f>IF(tbl_product_preparations[[#This Row],[kcal_per_100g]]=0,0,ABS((tbl_product_preparations[[#This Row],[kcal_per_100g]]-tbl_product_preparations[[#This Row],[kcal_calc]])/tbl_product_preparations[[#This Row],[kcal_per_100g]])*100)</f>
        <v>5.7500000000000107</v>
      </c>
      <c r="X87" s="19">
        <f>ROUND(tbl_product_preparations[[#This Row],[kcal_calc]],1)</f>
        <v>37.700000000000003</v>
      </c>
      <c r="Y87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99.201000000000008</v>
      </c>
      <c r="Z87" s="19" t="str">
        <f>IF(
  tbl_product_preparations[[#This Row],[macro_sum]] &lt;=
  100 + _xlfn.XLOOKUP("WATER_TOTAL_TOLERANCE",tbl_config[config_key],tbl_config[config_value]),
  "OK",
  "ERROR"
)</f>
        <v>OK</v>
      </c>
      <c r="AA87" s="15" t="str">
        <f>_xlfn.LET(
   _xlpm.d, _xlfn.XLOOKUP(tbl_product_preparations[[#This Row],[product_key]],tbl_products[product_key],tbl_products[density_g_per_ml]),
   IF(AND(ISNUMBER(_xlpm.d), _xlpm.d&gt;0), _xlpm.d, "")
)</f>
        <v/>
      </c>
      <c r="AB87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87" s="19" cm="1">
        <f t="array" ref="AC87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69.256932420519774</v>
      </c>
      <c r="AD87" s="19" cm="1">
        <f t="array" ref="AD87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67.363845534472674</v>
      </c>
      <c r="AE87" s="19" cm="1">
        <f t="array" ref="AE87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41.111229050718748</v>
      </c>
      <c r="AF87" s="19">
        <f>IF(tbl_product_preparations[[#This Row],[kcal_per_100g]]&lt;5,
 0,
 MAX(0,MIN(100,
  ((tbl_product_preparations[[#This Row],[protein_per_100g]]/tbl_product_preparations[[#This Row],[kcal_per_100g]]*100 - 1) / 7 * 100)
 ))
)</f>
        <v>21.428571428571427</v>
      </c>
      <c r="AG87" s="19">
        <f>IF(tbl_product_preparations[[#This Row],[kcal_per_100g]]&lt;5,
 0,
 MAX(0,MIN(100,(tbl_product_preparations[[#This Row],[fiber_per_100g]]/8*100)))
)</f>
        <v>25</v>
      </c>
      <c r="AH87" s="19">
        <f>MAX(0,MIN(100,100-(tbl_product_preparations[[#This Row],[sugar_per_100g]]/15*100)))</f>
        <v>51.999999999999993</v>
      </c>
      <c r="AI87" s="19">
        <f>MAX(0,100-(tbl_product_preparations[[#This Row],[alcohol_per_100g]]*50))</f>
        <v>100</v>
      </c>
      <c r="AJ87" s="19">
        <f>ROUND(tbl_product_preparations[[#This Row],[water_percent]],0)</f>
        <v>89</v>
      </c>
      <c r="AK87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60</v>
      </c>
      <c r="AL87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56</v>
      </c>
      <c r="AM87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40</v>
      </c>
      <c r="AN87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C</v>
      </c>
      <c r="AO87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C</v>
      </c>
      <c r="AP87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D</v>
      </c>
      <c r="AQ87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FRUITS</v>
      </c>
      <c r="AR87" s="19"/>
      <c r="AS87" s="19" t="str">
        <f>INDEX(tbl_products[lose_modifier_group],
MATCH(tbl_product_preparations[[#This Row],[product_key]],
tbl_products[product_key],0))</f>
        <v>FRUIT_WHOLE</v>
      </c>
      <c r="AT87" s="19">
        <f>INDEX(BONUS_MALUS_LOSE[Modifier],
MATCH(tbl_product_preparations[[#This Row],[lose_modifier_group]],
BONUS_MALUS_LOSE[Group],0))</f>
        <v>3</v>
      </c>
      <c r="AU87" s="19" t="str">
        <f>INDEX(tbl_products[maintain_modifier_group],
MATCH(tbl_product_preparations[[#This Row],[product_key]],
tbl_products[product_key],0))</f>
        <v>FRUIT_WHOLE</v>
      </c>
      <c r="AV87" s="19">
        <f>INDEX(BONUS_MALUS_MAINTAIN[Modifier],
MATCH(tbl_product_preparations[[#This Row],[maintain_modifier_group]],
BONUS_MALUS_MAINTAIN[Group],0))</f>
        <v>2</v>
      </c>
      <c r="AW87" s="19" t="str">
        <f>INDEX(tbl_products[gain_modifier_group],
MATCH(tbl_product_preparations[[#This Row],[product_key]],
tbl_products[product_key],0))</f>
        <v>FRUIT_WHOLE</v>
      </c>
      <c r="AX87" s="19">
        <f>INDEX(BONUS_MALUS_GAIN[Modifier],
MATCH(tbl_product_preparations[[#This Row],[gain_modifier_group]],
BONUS_MALUS_GAIN[Group],0))</f>
        <v>1</v>
      </c>
      <c r="AY87" s="19">
        <f>INDEX(PREPARATION_MODIFIERS[lose_preparation_modifier],
MATCH(tbl_product_preparations[[#This Row],[preparation_key]],
PREPARATION_MODIFIERS[preparation_key],0))</f>
        <v>0</v>
      </c>
      <c r="AZ87" s="19">
        <f>INDEX(PREPARATION_MODIFIERS[maintain_preparation_modifier],
MATCH(tbl_product_preparations[[#This Row],[preparation_key]],
PREPARATION_MODIFIERS[preparation_key],0))</f>
        <v>0</v>
      </c>
      <c r="BA87" s="19">
        <f>INDEX(PREPARATION_MODIFIERS[gain_preparation_modifier],
MATCH(tbl_product_preparations[[#This Row],[preparation_key]],
PREPARATION_MODIFIERS[preparation_key],0))</f>
        <v>0</v>
      </c>
    </row>
    <row r="88" spans="1:53" x14ac:dyDescent="0.2">
      <c r="A88" s="31" t="s">
        <v>828</v>
      </c>
      <c r="B88" s="31" t="s">
        <v>581</v>
      </c>
      <c r="C88" s="31" t="s">
        <v>160</v>
      </c>
      <c r="D88" s="31" t="s">
        <v>835</v>
      </c>
      <c r="E88" s="53" t="str">
        <f>IF(tbl_product_preparations[[#This Row],[source_key]]="MANUFACTURER","MANUFACTURER",
IF(tbl_product_preparations[[#This Row],[source_key]]="CALCULATED","CALCULATED",
"REAL"))</f>
        <v>REAL</v>
      </c>
      <c r="F88" s="53" t="str">
        <f>IF(LEFT(tbl_product_preparations[[#This Row],[source_key]],4)="USDA","US","EU")</f>
        <v>EU</v>
      </c>
      <c r="G88" s="32">
        <v>41</v>
      </c>
      <c r="H88" s="18" t="str">
        <f>IF(
   ISNUMBER(tbl_product_preparations[[#This Row],[density_lookup]]),
   ROUND(tbl_product_preparations[[#This Row],[kcal_per_100g]]*tbl_product_preparations[[#This Row],[density_lookup]],1),
   ""
)</f>
        <v/>
      </c>
      <c r="I88" s="35">
        <v>1</v>
      </c>
      <c r="J88" s="35">
        <v>7.9</v>
      </c>
      <c r="K88" s="35">
        <v>0</v>
      </c>
      <c r="L88" s="35">
        <v>0</v>
      </c>
      <c r="M88" s="32">
        <v>1.4</v>
      </c>
      <c r="N88" s="35">
        <v>7.9</v>
      </c>
      <c r="O88" s="47">
        <f>IF(tbl_product_preparations[[#This Row],[sugar_per_100g]]=0,tbl_product_preparations[[#This Row],[carbs_per_100g]],tbl_product_preparations[[#This Row],[sugar_per_100g]])</f>
        <v>7.9</v>
      </c>
      <c r="P88" s="37">
        <v>0</v>
      </c>
      <c r="Q88" s="48">
        <f>IF(tbl_product_preparations[[#This Row],[sodium_per_100g]]=0,
tbl_product_preparations[[#This Row],[salt_per_100g]]/2.5,
tbl_product_preparations[[#This Row],[sodium_per_100g]])</f>
        <v>0</v>
      </c>
      <c r="R88" s="24">
        <f>ROUND(tbl_product_preparations[[#This Row],[sodium_per_100g]]*2.5,3)</f>
        <v>0</v>
      </c>
      <c r="S88" s="24">
        <f>IF(tbl_product_preparations[[#This Row],[salt_per_100g]]=0,
tbl_product_preparations[[#This Row],[sodium_per_100g]]*2.5,
tbl_product_preparations[[#This Row],[salt_per_100g]])</f>
        <v>0</v>
      </c>
      <c r="T88" s="35">
        <v>89</v>
      </c>
      <c r="U88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88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38.4</v>
      </c>
      <c r="W88" s="19">
        <f>IF(tbl_product_preparations[[#This Row],[kcal_per_100g]]=0,0,ABS((tbl_product_preparations[[#This Row],[kcal_per_100g]]-tbl_product_preparations[[#This Row],[kcal_calc]])/tbl_product_preparations[[#This Row],[kcal_per_100g]])*100)</f>
        <v>6.3414634146341493</v>
      </c>
      <c r="X88" s="19">
        <f>ROUND(tbl_product_preparations[[#This Row],[kcal_calc]],1)</f>
        <v>38.4</v>
      </c>
      <c r="Y88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99.3</v>
      </c>
      <c r="Z88" s="19" t="str">
        <f>IF(
  tbl_product_preparations[[#This Row],[macro_sum]] &lt;=
  100 + _xlfn.XLOOKUP("WATER_TOTAL_TOLERANCE",tbl_config[config_key],tbl_config[config_value]),
  "OK",
  "ERROR"
)</f>
        <v>OK</v>
      </c>
      <c r="AA88" s="15" t="str">
        <f>_xlfn.LET(
   _xlpm.d, _xlfn.XLOOKUP(tbl_product_preparations[[#This Row],[product_key]],tbl_products[product_key],tbl_products[density_g_per_ml]),
   IF(AND(ISNUMBER(_xlpm.d), _xlpm.d&gt;0), _xlpm.d, "")
)</f>
        <v/>
      </c>
      <c r="AB88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88" s="19" cm="1">
        <f t="array" ref="AC88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70.944996517052203</v>
      </c>
      <c r="AD88" s="19" cm="1">
        <f t="array" ref="AD88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68.690755745738784</v>
      </c>
      <c r="AE88" s="19" cm="1">
        <f t="array" ref="AE88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42.029200656495121</v>
      </c>
      <c r="AF88" s="19">
        <f>IF(tbl_product_preparations[[#This Row],[kcal_per_100g]]&lt;5,
 0,
 MAX(0,MIN(100,
  ((tbl_product_preparations[[#This Row],[protein_per_100g]]/tbl_product_preparations[[#This Row],[kcal_per_100g]]*100 - 1) / 7 * 100)
 ))
)</f>
        <v>20.557491289198605</v>
      </c>
      <c r="AG88" s="19">
        <f>IF(tbl_product_preparations[[#This Row],[kcal_per_100g]]&lt;5,
 0,
 MAX(0,MIN(100,(tbl_product_preparations[[#This Row],[fiber_per_100g]]/8*100)))
)</f>
        <v>17.5</v>
      </c>
      <c r="AH88" s="19">
        <f>MAX(0,MIN(100,100-(tbl_product_preparations[[#This Row],[sugar_per_100g]]/15*100)))</f>
        <v>47.333333333333329</v>
      </c>
      <c r="AI88" s="19">
        <f>MAX(0,100-(tbl_product_preparations[[#This Row],[alcohol_per_100g]]*50))</f>
        <v>100</v>
      </c>
      <c r="AJ88" s="19">
        <f>ROUND(tbl_product_preparations[[#This Row],[water_percent]],0)</f>
        <v>89</v>
      </c>
      <c r="AK88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58</v>
      </c>
      <c r="AL88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54</v>
      </c>
      <c r="AM88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40</v>
      </c>
      <c r="AN88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C</v>
      </c>
      <c r="AO88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C</v>
      </c>
      <c r="AP88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D</v>
      </c>
      <c r="AQ88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FRUITS</v>
      </c>
      <c r="AR88" s="19"/>
      <c r="AS88" s="19" t="str">
        <f>INDEX(tbl_products[lose_modifier_group],
MATCH(tbl_product_preparations[[#This Row],[product_key]],
tbl_products[product_key],0))</f>
        <v>FRUIT_WHOLE</v>
      </c>
      <c r="AT88" s="19">
        <f>INDEX(BONUS_MALUS_LOSE[Modifier],
MATCH(tbl_product_preparations[[#This Row],[lose_modifier_group]],
BONUS_MALUS_LOSE[Group],0))</f>
        <v>3</v>
      </c>
      <c r="AU88" s="19" t="str">
        <f>INDEX(tbl_products[maintain_modifier_group],
MATCH(tbl_product_preparations[[#This Row],[product_key]],
tbl_products[product_key],0))</f>
        <v>FRUIT_WHOLE</v>
      </c>
      <c r="AV88" s="19">
        <f>INDEX(BONUS_MALUS_MAINTAIN[Modifier],
MATCH(tbl_product_preparations[[#This Row],[maintain_modifier_group]],
BONUS_MALUS_MAINTAIN[Group],0))</f>
        <v>2</v>
      </c>
      <c r="AW88" s="19" t="str">
        <f>INDEX(tbl_products[gain_modifier_group],
MATCH(tbl_product_preparations[[#This Row],[product_key]],
tbl_products[product_key],0))</f>
        <v>FRUIT_WHOLE</v>
      </c>
      <c r="AX88" s="19">
        <f>INDEX(BONUS_MALUS_GAIN[Modifier],
MATCH(tbl_product_preparations[[#This Row],[gain_modifier_group]],
BONUS_MALUS_GAIN[Group],0))</f>
        <v>1</v>
      </c>
      <c r="AY88" s="19">
        <f>INDEX(PREPARATION_MODIFIERS[lose_preparation_modifier],
MATCH(tbl_product_preparations[[#This Row],[preparation_key]],
PREPARATION_MODIFIERS[preparation_key],0))</f>
        <v>0</v>
      </c>
      <c r="AZ88" s="19">
        <f>INDEX(PREPARATION_MODIFIERS[maintain_preparation_modifier],
MATCH(tbl_product_preparations[[#This Row],[preparation_key]],
PREPARATION_MODIFIERS[preparation_key],0))</f>
        <v>0</v>
      </c>
      <c r="BA88" s="19">
        <f>INDEX(PREPARATION_MODIFIERS[gain_preparation_modifier],
MATCH(tbl_product_preparations[[#This Row],[preparation_key]],
PREPARATION_MODIFIERS[preparation_key],0))</f>
        <v>0</v>
      </c>
    </row>
    <row r="89" spans="1:53" x14ac:dyDescent="0.2">
      <c r="A89" s="31" t="s">
        <v>573</v>
      </c>
      <c r="B89" s="31" t="s">
        <v>579</v>
      </c>
      <c r="C89" s="31" t="s">
        <v>160</v>
      </c>
      <c r="D89" s="31" t="s">
        <v>591</v>
      </c>
      <c r="E89" s="53" t="str">
        <f>IF(tbl_product_preparations[[#This Row],[source_key]]="MANUFACTURER","MANUFACTURER",
IF(tbl_product_preparations[[#This Row],[source_key]]="CALCULATED","CALCULATED",
"REAL"))</f>
        <v>REAL</v>
      </c>
      <c r="F89" s="53" t="str">
        <f>IF(LEFT(tbl_product_preparations[[#This Row],[source_key]],4)="USDA","US","EU")</f>
        <v>EU</v>
      </c>
      <c r="G89" s="32">
        <v>55</v>
      </c>
      <c r="H89" s="18" t="str">
        <f>IF(
   ISNUMBER(tbl_product_preparations[[#This Row],[density_lookup]]),
   ROUND(tbl_product_preparations[[#This Row],[kcal_per_100g]]*tbl_product_preparations[[#This Row],[density_lookup]],1),
   ""
)</f>
        <v/>
      </c>
      <c r="I89" s="35">
        <v>0.2</v>
      </c>
      <c r="J89" s="35">
        <v>11.7</v>
      </c>
      <c r="K89" s="35">
        <v>0.3</v>
      </c>
      <c r="L89" s="35">
        <v>0</v>
      </c>
      <c r="M89" s="32">
        <v>2.2000000000000002</v>
      </c>
      <c r="N89" s="35">
        <v>0</v>
      </c>
      <c r="O89" s="47">
        <f>IF(tbl_product_preparations[[#This Row],[sugar_per_100g]]=0,tbl_product_preparations[[#This Row],[carbs_per_100g]],tbl_product_preparations[[#This Row],[sugar_per_100g]])</f>
        <v>11.7</v>
      </c>
      <c r="P89" s="37">
        <v>1E-3</v>
      </c>
      <c r="Q89" s="48">
        <f>IF(tbl_product_preparations[[#This Row],[sodium_per_100g]]=0,
tbl_product_preparations[[#This Row],[salt_per_100g]]/2.5,
tbl_product_preparations[[#This Row],[sodium_per_100g]])</f>
        <v>1E-3</v>
      </c>
      <c r="R89" s="24">
        <f>ROUND(tbl_product_preparations[[#This Row],[sodium_per_100g]]*2.5,3)</f>
        <v>3.0000000000000001E-3</v>
      </c>
      <c r="S89" s="24">
        <f>IF(tbl_product_preparations[[#This Row],[salt_per_100g]]=0,
tbl_product_preparations[[#This Row],[sodium_per_100g]]*2.5,
tbl_product_preparations[[#This Row],[salt_per_100g]])</f>
        <v>3.0000000000000001E-3</v>
      </c>
      <c r="T89" s="35">
        <v>85.4</v>
      </c>
      <c r="U89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89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54.699999999999996</v>
      </c>
      <c r="W89" s="19">
        <f>IF(tbl_product_preparations[[#This Row],[kcal_per_100g]]=0,0,ABS((tbl_product_preparations[[#This Row],[kcal_per_100g]]-tbl_product_preparations[[#This Row],[kcal_calc]])/tbl_product_preparations[[#This Row],[kcal_per_100g]])*100)</f>
        <v>0.54545454545455319</v>
      </c>
      <c r="X89" s="19">
        <f>ROUND(tbl_product_preparations[[#This Row],[kcal_calc]],1)</f>
        <v>54.7</v>
      </c>
      <c r="Y89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99.801000000000002</v>
      </c>
      <c r="Z89" s="19" t="str">
        <f>IF(
  tbl_product_preparations[[#This Row],[macro_sum]] &lt;=
  100 + _xlfn.XLOOKUP("WATER_TOTAL_TOLERANCE",tbl_config[config_key],tbl_config[config_value]),
  "OK",
  "ERROR"
)</f>
        <v>OK</v>
      </c>
      <c r="AA89" s="15" t="str">
        <f>_xlfn.LET(
   _xlpm.d, _xlfn.XLOOKUP(tbl_product_preparations[[#This Row],[product_key]],tbl_products[product_key],tbl_products[density_g_per_ml]),
   IF(AND(ISNUMBER(_xlpm.d), _xlpm.d&gt;0), _xlpm.d, "")
)</f>
        <v/>
      </c>
      <c r="AB89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89" s="19" cm="1">
        <f t="array" ref="AC89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91.225407682854524</v>
      </c>
      <c r="AD89" s="19" cm="1">
        <f t="array" ref="AD89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85.699689143527891</v>
      </c>
      <c r="AE89" s="19" cm="1">
        <f t="array" ref="AE89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55.610088377320864</v>
      </c>
      <c r="AF89" s="19">
        <f>IF(tbl_product_preparations[[#This Row],[kcal_per_100g]]&lt;5,
 0,
 MAX(0,MIN(100,
  ((tbl_product_preparations[[#This Row],[protein_per_100g]]/tbl_product_preparations[[#This Row],[kcal_per_100g]]*100 - 1) / 7 * 100)
 ))
)</f>
        <v>0</v>
      </c>
      <c r="AG89" s="19">
        <f>IF(tbl_product_preparations[[#This Row],[kcal_per_100g]]&lt;5,
 0,
 MAX(0,MIN(100,(tbl_product_preparations[[#This Row],[fiber_per_100g]]/8*100)))
)</f>
        <v>27.500000000000004</v>
      </c>
      <c r="AH89" s="19">
        <f>MAX(0,MIN(100,100-(tbl_product_preparations[[#This Row],[sugar_per_100g]]/15*100)))</f>
        <v>100</v>
      </c>
      <c r="AI89" s="19">
        <f>MAX(0,100-(tbl_product_preparations[[#This Row],[alcohol_per_100g]]*50))</f>
        <v>100</v>
      </c>
      <c r="AJ89" s="19">
        <f>ROUND(tbl_product_preparations[[#This Row],[water_percent]],0)</f>
        <v>85</v>
      </c>
      <c r="AK89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69</v>
      </c>
      <c r="AL89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63</v>
      </c>
      <c r="AM89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48</v>
      </c>
      <c r="AN89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B</v>
      </c>
      <c r="AO89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C</v>
      </c>
      <c r="AP89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D</v>
      </c>
      <c r="AQ89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FRUITS</v>
      </c>
      <c r="AR89" s="19"/>
      <c r="AS89" s="19" t="str">
        <f>INDEX(tbl_products[lose_modifier_group],
MATCH(tbl_product_preparations[[#This Row],[product_key]],
tbl_products[product_key],0))</f>
        <v>FRUIT_WHOLE</v>
      </c>
      <c r="AT89" s="19">
        <f>INDEX(BONUS_MALUS_LOSE[Modifier],
MATCH(tbl_product_preparations[[#This Row],[lose_modifier_group]],
BONUS_MALUS_LOSE[Group],0))</f>
        <v>3</v>
      </c>
      <c r="AU89" s="19" t="str">
        <f>INDEX(tbl_products[maintain_modifier_group],
MATCH(tbl_product_preparations[[#This Row],[product_key]],
tbl_products[product_key],0))</f>
        <v>FRUIT_WHOLE</v>
      </c>
      <c r="AV89" s="19">
        <f>INDEX(BONUS_MALUS_MAINTAIN[Modifier],
MATCH(tbl_product_preparations[[#This Row],[maintain_modifier_group]],
BONUS_MALUS_MAINTAIN[Group],0))</f>
        <v>2</v>
      </c>
      <c r="AW89" s="19" t="str">
        <f>INDEX(tbl_products[gain_modifier_group],
MATCH(tbl_product_preparations[[#This Row],[product_key]],
tbl_products[product_key],0))</f>
        <v>FRUIT_WHOLE</v>
      </c>
      <c r="AX89" s="19">
        <f>INDEX(BONUS_MALUS_GAIN[Modifier],
MATCH(tbl_product_preparations[[#This Row],[gain_modifier_group]],
BONUS_MALUS_GAIN[Group],0))</f>
        <v>1</v>
      </c>
      <c r="AY89" s="19">
        <f>INDEX(PREPARATION_MODIFIERS[lose_preparation_modifier],
MATCH(tbl_product_preparations[[#This Row],[preparation_key]],
PREPARATION_MODIFIERS[preparation_key],0))</f>
        <v>0</v>
      </c>
      <c r="AZ89" s="19">
        <f>INDEX(PREPARATION_MODIFIERS[maintain_preparation_modifier],
MATCH(tbl_product_preparations[[#This Row],[preparation_key]],
PREPARATION_MODIFIERS[preparation_key],0))</f>
        <v>0</v>
      </c>
      <c r="BA89" s="19">
        <f>INDEX(PREPARATION_MODIFIERS[gain_preparation_modifier],
MATCH(tbl_product_preparations[[#This Row],[preparation_key]],
PREPARATION_MODIFIERS[preparation_key],0))</f>
        <v>0</v>
      </c>
    </row>
    <row r="90" spans="1:53" x14ac:dyDescent="0.2">
      <c r="A90" s="31" t="s">
        <v>573</v>
      </c>
      <c r="B90" s="31" t="s">
        <v>581</v>
      </c>
      <c r="C90" s="31" t="s">
        <v>160</v>
      </c>
      <c r="D90" s="31" t="s">
        <v>592</v>
      </c>
      <c r="E90" s="53" t="str">
        <f>IF(tbl_product_preparations[[#This Row],[source_key]]="MANUFACTURER","MANUFACTURER",
IF(tbl_product_preparations[[#This Row],[source_key]]="CALCULATED","CALCULATED",
"REAL"))</f>
        <v>REAL</v>
      </c>
      <c r="F90" s="53" t="str">
        <f>IF(LEFT(tbl_product_preparations[[#This Row],[source_key]],4)="USDA","US","EU")</f>
        <v>EU</v>
      </c>
      <c r="G90" s="32">
        <v>53</v>
      </c>
      <c r="H90" s="18" t="str">
        <f>IF(
   ISNUMBER(tbl_product_preparations[[#This Row],[density_lookup]]),
   ROUND(tbl_product_preparations[[#This Row],[kcal_per_100g]]*tbl_product_preparations[[#This Row],[density_lookup]],1),
   ""
)</f>
        <v/>
      </c>
      <c r="I90" s="35">
        <v>0.3</v>
      </c>
      <c r="J90" s="35">
        <v>11.7</v>
      </c>
      <c r="K90" s="35">
        <v>0.2</v>
      </c>
      <c r="L90" s="35">
        <v>0</v>
      </c>
      <c r="M90" s="32">
        <v>1.6</v>
      </c>
      <c r="N90" s="35">
        <v>0</v>
      </c>
      <c r="O90" s="47">
        <f>IF(tbl_product_preparations[[#This Row],[sugar_per_100g]]=0,tbl_product_preparations[[#This Row],[carbs_per_100g]],tbl_product_preparations[[#This Row],[sugar_per_100g]])</f>
        <v>11.7</v>
      </c>
      <c r="P90" s="37">
        <v>1E-3</v>
      </c>
      <c r="Q90" s="48">
        <f>IF(tbl_product_preparations[[#This Row],[sodium_per_100g]]=0,
tbl_product_preparations[[#This Row],[salt_per_100g]]/2.5,
tbl_product_preparations[[#This Row],[sodium_per_100g]])</f>
        <v>1E-3</v>
      </c>
      <c r="R90" s="24">
        <f>ROUND(tbl_product_preparations[[#This Row],[sodium_per_100g]]*2.5,3)</f>
        <v>3.0000000000000001E-3</v>
      </c>
      <c r="S90" s="24">
        <f>IF(tbl_product_preparations[[#This Row],[salt_per_100g]]=0,
tbl_product_preparations[[#This Row],[sodium_per_100g]]*2.5,
tbl_product_preparations[[#This Row],[salt_per_100g]])</f>
        <v>3.0000000000000001E-3</v>
      </c>
      <c r="T90" s="35">
        <v>85.9</v>
      </c>
      <c r="U90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90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53</v>
      </c>
      <c r="W90" s="19">
        <f>IF(tbl_product_preparations[[#This Row],[kcal_per_100g]]=0,0,ABS((tbl_product_preparations[[#This Row],[kcal_per_100g]]-tbl_product_preparations[[#This Row],[kcal_calc]])/tbl_product_preparations[[#This Row],[kcal_per_100g]])*100)</f>
        <v>0</v>
      </c>
      <c r="X90" s="19">
        <f>ROUND(tbl_product_preparations[[#This Row],[kcal_calc]],1)</f>
        <v>53</v>
      </c>
      <c r="Y90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99.701000000000008</v>
      </c>
      <c r="Z90" s="19" t="str">
        <f>IF(
  tbl_product_preparations[[#This Row],[macro_sum]] &lt;=
  100 + _xlfn.XLOOKUP("WATER_TOTAL_TOLERANCE",tbl_config[config_key],tbl_config[config_value]),
  "OK",
  "ERROR"
)</f>
        <v>OK</v>
      </c>
      <c r="AA90" s="15" t="str">
        <f>_xlfn.LET(
   _xlpm.d, _xlfn.XLOOKUP(tbl_product_preparations[[#This Row],[product_key]],tbl_products[product_key],tbl_products[density_g_per_ml]),
   IF(AND(ISNUMBER(_xlpm.d), _xlpm.d&gt;0), _xlpm.d, "")
)</f>
        <v/>
      </c>
      <c r="AB90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90" s="19" cm="1">
        <f t="array" ref="AC90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88.873232666316909</v>
      </c>
      <c r="AD90" s="19" cm="1">
        <f t="array" ref="AD90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83.527021141127193</v>
      </c>
      <c r="AE90" s="19" cm="1">
        <f t="array" ref="AE90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53.607981403119965</v>
      </c>
      <c r="AF90" s="19">
        <f>IF(tbl_product_preparations[[#This Row],[kcal_per_100g]]&lt;5,
 0,
 MAX(0,MIN(100,
  ((tbl_product_preparations[[#This Row],[protein_per_100g]]/tbl_product_preparations[[#This Row],[kcal_per_100g]]*100 - 1) / 7 * 100)
 ))
)</f>
        <v>0</v>
      </c>
      <c r="AG90" s="19">
        <f>IF(tbl_product_preparations[[#This Row],[kcal_per_100g]]&lt;5,
 0,
 MAX(0,MIN(100,(tbl_product_preparations[[#This Row],[fiber_per_100g]]/8*100)))
)</f>
        <v>20</v>
      </c>
      <c r="AH90" s="19">
        <f>MAX(0,MIN(100,100-(tbl_product_preparations[[#This Row],[sugar_per_100g]]/15*100)))</f>
        <v>100</v>
      </c>
      <c r="AI90" s="19">
        <f>MAX(0,100-(tbl_product_preparations[[#This Row],[alcohol_per_100g]]*50))</f>
        <v>100</v>
      </c>
      <c r="AJ90" s="19">
        <f>ROUND(tbl_product_preparations[[#This Row],[water_percent]],0)</f>
        <v>86</v>
      </c>
      <c r="AK90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67</v>
      </c>
      <c r="AL90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61</v>
      </c>
      <c r="AM90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46</v>
      </c>
      <c r="AN90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B</v>
      </c>
      <c r="AO90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C</v>
      </c>
      <c r="AP90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D</v>
      </c>
      <c r="AQ90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FRUITS</v>
      </c>
      <c r="AR90" s="19"/>
      <c r="AS90" s="19" t="str">
        <f>INDEX(tbl_products[lose_modifier_group],
MATCH(tbl_product_preparations[[#This Row],[product_key]],
tbl_products[product_key],0))</f>
        <v>FRUIT_WHOLE</v>
      </c>
      <c r="AT90" s="19">
        <f>INDEX(BONUS_MALUS_LOSE[Modifier],
MATCH(tbl_product_preparations[[#This Row],[lose_modifier_group]],
BONUS_MALUS_LOSE[Group],0))</f>
        <v>3</v>
      </c>
      <c r="AU90" s="19" t="str">
        <f>INDEX(tbl_products[maintain_modifier_group],
MATCH(tbl_product_preparations[[#This Row],[product_key]],
tbl_products[product_key],0))</f>
        <v>FRUIT_WHOLE</v>
      </c>
      <c r="AV90" s="19">
        <f>INDEX(BONUS_MALUS_MAINTAIN[Modifier],
MATCH(tbl_product_preparations[[#This Row],[maintain_modifier_group]],
BONUS_MALUS_MAINTAIN[Group],0))</f>
        <v>2</v>
      </c>
      <c r="AW90" s="19" t="str">
        <f>INDEX(tbl_products[gain_modifier_group],
MATCH(tbl_product_preparations[[#This Row],[product_key]],
tbl_products[product_key],0))</f>
        <v>FRUIT_WHOLE</v>
      </c>
      <c r="AX90" s="19">
        <f>INDEX(BONUS_MALUS_GAIN[Modifier],
MATCH(tbl_product_preparations[[#This Row],[gain_modifier_group]],
BONUS_MALUS_GAIN[Group],0))</f>
        <v>1</v>
      </c>
      <c r="AY90" s="19">
        <f>INDEX(PREPARATION_MODIFIERS[lose_preparation_modifier],
MATCH(tbl_product_preparations[[#This Row],[preparation_key]],
PREPARATION_MODIFIERS[preparation_key],0))</f>
        <v>0</v>
      </c>
      <c r="AZ90" s="19">
        <f>INDEX(PREPARATION_MODIFIERS[maintain_preparation_modifier],
MATCH(tbl_product_preparations[[#This Row],[preparation_key]],
PREPARATION_MODIFIERS[preparation_key],0))</f>
        <v>0</v>
      </c>
      <c r="BA90" s="19">
        <f>INDEX(PREPARATION_MODIFIERS[gain_preparation_modifier],
MATCH(tbl_product_preparations[[#This Row],[preparation_key]],
PREPARATION_MODIFIERS[preparation_key],0))</f>
        <v>0</v>
      </c>
    </row>
    <row r="91" spans="1:53" x14ac:dyDescent="0.2">
      <c r="A91" s="31" t="s">
        <v>756</v>
      </c>
      <c r="B91" s="31" t="s">
        <v>115</v>
      </c>
      <c r="C91" s="31" t="s">
        <v>160</v>
      </c>
      <c r="D91" s="31" t="s">
        <v>759</v>
      </c>
      <c r="E91" s="53" t="str">
        <f>IF(tbl_product_preparations[[#This Row],[source_key]]="MANUFACTURER","MANUFACTURER",
IF(tbl_product_preparations[[#This Row],[source_key]]="CALCULATED","CALCULATED",
"REAL"))</f>
        <v>REAL</v>
      </c>
      <c r="F91" s="53" t="str">
        <f>IF(LEFT(tbl_product_preparations[[#This Row],[source_key]],4)="USDA","US","EU")</f>
        <v>EU</v>
      </c>
      <c r="G91" s="32">
        <v>54</v>
      </c>
      <c r="H91" s="18" t="str">
        <f>IF(
   ISNUMBER(tbl_product_preparations[[#This Row],[density_lookup]]),
   ROUND(tbl_product_preparations[[#This Row],[kcal_per_100g]]*tbl_product_preparations[[#This Row],[density_lookup]],1),
   ""
)</f>
        <v/>
      </c>
      <c r="I91" s="35">
        <v>0.5</v>
      </c>
      <c r="J91" s="35">
        <v>12</v>
      </c>
      <c r="K91" s="35">
        <v>0.1</v>
      </c>
      <c r="L91" s="35">
        <v>0</v>
      </c>
      <c r="M91" s="32">
        <v>1.6</v>
      </c>
      <c r="N91" s="35">
        <v>11.6</v>
      </c>
      <c r="O91" s="47">
        <f>IF(tbl_product_preparations[[#This Row],[sugar_per_100g]]=0,tbl_product_preparations[[#This Row],[carbs_per_100g]],tbl_product_preparations[[#This Row],[sugar_per_100g]])</f>
        <v>11.6</v>
      </c>
      <c r="P91" s="37">
        <v>0</v>
      </c>
      <c r="Q91" s="48">
        <f>IF(tbl_product_preparations[[#This Row],[sodium_per_100g]]=0,
tbl_product_preparations[[#This Row],[salt_per_100g]]/2.5,
tbl_product_preparations[[#This Row],[sodium_per_100g]])</f>
        <v>0</v>
      </c>
      <c r="R91" s="24">
        <f>ROUND(tbl_product_preparations[[#This Row],[sodium_per_100g]]*2.5,3)</f>
        <v>0</v>
      </c>
      <c r="S91" s="24">
        <f>IF(tbl_product_preparations[[#This Row],[salt_per_100g]]=0,
tbl_product_preparations[[#This Row],[sodium_per_100g]]*2.5,
tbl_product_preparations[[#This Row],[salt_per_100g]])</f>
        <v>0</v>
      </c>
      <c r="T91" s="35">
        <v>85.6</v>
      </c>
      <c r="U91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91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54.1</v>
      </c>
      <c r="W91" s="19">
        <f>IF(tbl_product_preparations[[#This Row],[kcal_per_100g]]=0,0,ABS((tbl_product_preparations[[#This Row],[kcal_per_100g]]-tbl_product_preparations[[#This Row],[kcal_calc]])/tbl_product_preparations[[#This Row],[kcal_per_100g]])*100)</f>
        <v>0.18518518518518781</v>
      </c>
      <c r="X91" s="19">
        <f>ROUND(tbl_product_preparations[[#This Row],[kcal_calc]],1)</f>
        <v>54.1</v>
      </c>
      <c r="Y91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99.8</v>
      </c>
      <c r="Z91" s="19" t="str">
        <f>IF(
  tbl_product_preparations[[#This Row],[macro_sum]] &lt;=
  100 + _xlfn.XLOOKUP("WATER_TOTAL_TOLERANCE",tbl_config[config_key],tbl_config[config_value]),
  "OK",
  "ERROR"
)</f>
        <v>OK</v>
      </c>
      <c r="AA91" s="15" t="str">
        <f>_xlfn.LET(
   _xlpm.d, _xlfn.XLOOKUP(tbl_product_preparations[[#This Row],[product_key]],tbl_products[product_key],tbl_products[density_g_per_ml]),
   IF(AND(ISNUMBER(_xlpm.d), _xlpm.d&gt;0), _xlpm.d, "")
)</f>
        <v/>
      </c>
      <c r="AB91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91" s="19" cm="1">
        <f t="array" ref="AC91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90.07839890333446</v>
      </c>
      <c r="AD91" s="19" cm="1">
        <f t="array" ref="AD91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84.627274285862029</v>
      </c>
      <c r="AE91" s="19" cm="1">
        <f t="array" ref="AE91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54.607442663970943</v>
      </c>
      <c r="AF91" s="19">
        <f>IF(tbl_product_preparations[[#This Row],[kcal_per_100g]]&lt;5,
 0,
 MAX(0,MIN(100,
  ((tbl_product_preparations[[#This Row],[protein_per_100g]]/tbl_product_preparations[[#This Row],[kcal_per_100g]]*100 - 1) / 7 * 100)
 ))
)</f>
        <v>0</v>
      </c>
      <c r="AG91" s="19">
        <f>IF(tbl_product_preparations[[#This Row],[kcal_per_100g]]&lt;5,
 0,
 MAX(0,MIN(100,(tbl_product_preparations[[#This Row],[fiber_per_100g]]/8*100)))
)</f>
        <v>20</v>
      </c>
      <c r="AH91" s="19">
        <f>MAX(0,MIN(100,100-(tbl_product_preparations[[#This Row],[sugar_per_100g]]/15*100)))</f>
        <v>22.666666666666671</v>
      </c>
      <c r="AI91" s="19">
        <f>MAX(0,100-(tbl_product_preparations[[#This Row],[alcohol_per_100g]]*50))</f>
        <v>100</v>
      </c>
      <c r="AJ91" s="19">
        <f>ROUND(tbl_product_preparations[[#This Row],[water_percent]],0)</f>
        <v>86</v>
      </c>
      <c r="AK91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59</v>
      </c>
      <c r="AL91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53</v>
      </c>
      <c r="AM91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39</v>
      </c>
      <c r="AN91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C</v>
      </c>
      <c r="AO91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C</v>
      </c>
      <c r="AP91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D</v>
      </c>
      <c r="AQ91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FRUITS</v>
      </c>
      <c r="AR91" s="19"/>
      <c r="AS91" s="19" t="str">
        <f>INDEX(tbl_products[lose_modifier_group],
MATCH(tbl_product_preparations[[#This Row],[product_key]],
tbl_products[product_key],0))</f>
        <v>FRUIT_WHOLE</v>
      </c>
      <c r="AT91" s="19">
        <f>INDEX(BONUS_MALUS_LOSE[Modifier],
MATCH(tbl_product_preparations[[#This Row],[lose_modifier_group]],
BONUS_MALUS_LOSE[Group],0))</f>
        <v>3</v>
      </c>
      <c r="AU91" s="19" t="str">
        <f>INDEX(tbl_products[maintain_modifier_group],
MATCH(tbl_product_preparations[[#This Row],[product_key]],
tbl_products[product_key],0))</f>
        <v>FRUIT_WHOLE</v>
      </c>
      <c r="AV91" s="19">
        <f>INDEX(BONUS_MALUS_MAINTAIN[Modifier],
MATCH(tbl_product_preparations[[#This Row],[maintain_modifier_group]],
BONUS_MALUS_MAINTAIN[Group],0))</f>
        <v>2</v>
      </c>
      <c r="AW91" s="19" t="str">
        <f>INDEX(tbl_products[gain_modifier_group],
MATCH(tbl_product_preparations[[#This Row],[product_key]],
tbl_products[product_key],0))</f>
        <v>FRUIT_WHOLE</v>
      </c>
      <c r="AX91" s="19">
        <f>INDEX(BONUS_MALUS_GAIN[Modifier],
MATCH(tbl_product_preparations[[#This Row],[gain_modifier_group]],
BONUS_MALUS_GAIN[Group],0))</f>
        <v>1</v>
      </c>
      <c r="AY91" s="19">
        <f>INDEX(PREPARATION_MODIFIERS[lose_preparation_modifier],
MATCH(tbl_product_preparations[[#This Row],[preparation_key]],
PREPARATION_MODIFIERS[preparation_key],0))</f>
        <v>0</v>
      </c>
      <c r="AZ91" s="19">
        <f>INDEX(PREPARATION_MODIFIERS[maintain_preparation_modifier],
MATCH(tbl_product_preparations[[#This Row],[preparation_key]],
PREPARATION_MODIFIERS[preparation_key],0))</f>
        <v>0</v>
      </c>
      <c r="BA91" s="19">
        <f>INDEX(PREPARATION_MODIFIERS[gain_preparation_modifier],
MATCH(tbl_product_preparations[[#This Row],[preparation_key]],
PREPARATION_MODIFIERS[preparation_key],0))</f>
        <v>0</v>
      </c>
    </row>
    <row r="92" spans="1:53" x14ac:dyDescent="0.2">
      <c r="A92" s="31" t="s">
        <v>841</v>
      </c>
      <c r="B92" s="31" t="s">
        <v>115</v>
      </c>
      <c r="C92" s="31" t="s">
        <v>160</v>
      </c>
      <c r="D92" s="31" t="s">
        <v>847</v>
      </c>
      <c r="E92" s="53" t="str">
        <f>IF(tbl_product_preparations[[#This Row],[source_key]]="MANUFACTURER","MANUFACTURER",
IF(tbl_product_preparations[[#This Row],[source_key]]="CALCULATED","CALCULATED",
"REAL"))</f>
        <v>REAL</v>
      </c>
      <c r="F92" s="53" t="str">
        <f>IF(LEFT(tbl_product_preparations[[#This Row],[source_key]],4)="USDA","US","EU")</f>
        <v>EU</v>
      </c>
      <c r="G92" s="32">
        <v>40</v>
      </c>
      <c r="H92" s="18" t="str">
        <f>IF(
   ISNUMBER(tbl_product_preparations[[#This Row],[density_lookup]]),
   ROUND(tbl_product_preparations[[#This Row],[kcal_per_100g]]*tbl_product_preparations[[#This Row],[density_lookup]],1),
   ""
)</f>
        <v/>
      </c>
      <c r="I92" s="35">
        <v>0.8</v>
      </c>
      <c r="J92" s="35">
        <v>7.3</v>
      </c>
      <c r="K92" s="35">
        <v>0</v>
      </c>
      <c r="L92" s="35">
        <v>0</v>
      </c>
      <c r="M92" s="32">
        <v>2.2000000000000002</v>
      </c>
      <c r="N92" s="35">
        <v>7.3</v>
      </c>
      <c r="O92" s="47">
        <f>IF(tbl_product_preparations[[#This Row],[sugar_per_100g]]=0,tbl_product_preparations[[#This Row],[carbs_per_100g]],tbl_product_preparations[[#This Row],[sugar_per_100g]])</f>
        <v>7.3</v>
      </c>
      <c r="P92" s="37">
        <v>0</v>
      </c>
      <c r="Q92" s="48">
        <f>IF(tbl_product_preparations[[#This Row],[sodium_per_100g]]=0,
tbl_product_preparations[[#This Row],[salt_per_100g]]/2.5,
tbl_product_preparations[[#This Row],[sodium_per_100g]])</f>
        <v>0</v>
      </c>
      <c r="R92" s="24">
        <f>ROUND(tbl_product_preparations[[#This Row],[sodium_per_100g]]*2.5,3)</f>
        <v>0</v>
      </c>
      <c r="S92" s="24">
        <f>IF(tbl_product_preparations[[#This Row],[salt_per_100g]]=0,
tbl_product_preparations[[#This Row],[sodium_per_100g]]*2.5,
tbl_product_preparations[[#This Row],[salt_per_100g]])</f>
        <v>0</v>
      </c>
      <c r="T92" s="35">
        <v>88</v>
      </c>
      <c r="U92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92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36.799999999999997</v>
      </c>
      <c r="W92" s="19">
        <f>IF(tbl_product_preparations[[#This Row],[kcal_per_100g]]=0,0,ABS((tbl_product_preparations[[#This Row],[kcal_per_100g]]-tbl_product_preparations[[#This Row],[kcal_calc]])/tbl_product_preparations[[#This Row],[kcal_per_100g]])*100)</f>
        <v>8.0000000000000071</v>
      </c>
      <c r="X92" s="19">
        <f>ROUND(tbl_product_preparations[[#This Row],[kcal_calc]],1)</f>
        <v>36.799999999999997</v>
      </c>
      <c r="Y92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98.3</v>
      </c>
      <c r="Z92" s="19" t="str">
        <f>IF(
  tbl_product_preparations[[#This Row],[macro_sum]] &lt;=
  100 + _xlfn.XLOOKUP("WATER_TOTAL_TOLERANCE",tbl_config[config_key],tbl_config[config_value]),
  "OK",
  "ERROR"
)</f>
        <v>OK</v>
      </c>
      <c r="AA92" s="15" t="str">
        <f>_xlfn.LET(
   _xlpm.d, _xlfn.XLOOKUP(tbl_product_preparations[[#This Row],[product_key]],tbl_products[product_key],tbl_products[density_g_per_ml]),
   IF(AND(ISNUMBER(_xlpm.d), _xlpm.d&gt;0), _xlpm.d, "")
)</f>
        <v/>
      </c>
      <c r="AB92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92" s="19" cm="1">
        <f t="array" ref="AC92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69.256932420519774</v>
      </c>
      <c r="AD92" s="19" cm="1">
        <f t="array" ref="AD92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67.363845534472674</v>
      </c>
      <c r="AE92" s="19" cm="1">
        <f t="array" ref="AE92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41.111229050718748</v>
      </c>
      <c r="AF92" s="19">
        <f>IF(tbl_product_preparations[[#This Row],[kcal_per_100g]]&lt;5,
 0,
 MAX(0,MIN(100,
  ((tbl_product_preparations[[#This Row],[protein_per_100g]]/tbl_product_preparations[[#This Row],[kcal_per_100g]]*100 - 1) / 7 * 100)
 ))
)</f>
        <v>14.285714285714285</v>
      </c>
      <c r="AG92" s="19">
        <f>IF(tbl_product_preparations[[#This Row],[kcal_per_100g]]&lt;5,
 0,
 MAX(0,MIN(100,(tbl_product_preparations[[#This Row],[fiber_per_100g]]/8*100)))
)</f>
        <v>27.500000000000004</v>
      </c>
      <c r="AH92" s="19">
        <f>MAX(0,MIN(100,100-(tbl_product_preparations[[#This Row],[sugar_per_100g]]/15*100)))</f>
        <v>51.333333333333336</v>
      </c>
      <c r="AI92" s="19">
        <f>MAX(0,100-(tbl_product_preparations[[#This Row],[alcohol_per_100g]]*50))</f>
        <v>100</v>
      </c>
      <c r="AJ92" s="19">
        <f>ROUND(tbl_product_preparations[[#This Row],[water_percent]],0)</f>
        <v>88</v>
      </c>
      <c r="AK92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59</v>
      </c>
      <c r="AL92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54</v>
      </c>
      <c r="AM92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39</v>
      </c>
      <c r="AN92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C</v>
      </c>
      <c r="AO92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C</v>
      </c>
      <c r="AP92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D</v>
      </c>
      <c r="AQ92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FRUITS</v>
      </c>
      <c r="AR92" s="19"/>
      <c r="AS92" s="19" t="str">
        <f>INDEX(tbl_products[lose_modifier_group],
MATCH(tbl_product_preparations[[#This Row],[product_key]],
tbl_products[product_key],0))</f>
        <v>FRUIT_WHOLE</v>
      </c>
      <c r="AT92" s="19">
        <f>INDEX(BONUS_MALUS_LOSE[Modifier],
MATCH(tbl_product_preparations[[#This Row],[lose_modifier_group]],
BONUS_MALUS_LOSE[Group],0))</f>
        <v>3</v>
      </c>
      <c r="AU92" s="19" t="str">
        <f>INDEX(tbl_products[maintain_modifier_group],
MATCH(tbl_product_preparations[[#This Row],[product_key]],
tbl_products[product_key],0))</f>
        <v>FRUIT_WHOLE</v>
      </c>
      <c r="AV92" s="19">
        <f>INDEX(BONUS_MALUS_MAINTAIN[Modifier],
MATCH(tbl_product_preparations[[#This Row],[maintain_modifier_group]],
BONUS_MALUS_MAINTAIN[Group],0))</f>
        <v>2</v>
      </c>
      <c r="AW92" s="19" t="str">
        <f>INDEX(tbl_products[gain_modifier_group],
MATCH(tbl_product_preparations[[#This Row],[product_key]],
tbl_products[product_key],0))</f>
        <v>FRUIT_WHOLE</v>
      </c>
      <c r="AX92" s="19">
        <f>INDEX(BONUS_MALUS_GAIN[Modifier],
MATCH(tbl_product_preparations[[#This Row],[gain_modifier_group]],
BONUS_MALUS_GAIN[Group],0))</f>
        <v>1</v>
      </c>
      <c r="AY92" s="19">
        <f>INDEX(PREPARATION_MODIFIERS[lose_preparation_modifier],
MATCH(tbl_product_preparations[[#This Row],[preparation_key]],
PREPARATION_MODIFIERS[preparation_key],0))</f>
        <v>0</v>
      </c>
      <c r="AZ92" s="19">
        <f>INDEX(PREPARATION_MODIFIERS[maintain_preparation_modifier],
MATCH(tbl_product_preparations[[#This Row],[preparation_key]],
PREPARATION_MODIFIERS[preparation_key],0))</f>
        <v>0</v>
      </c>
      <c r="BA92" s="19">
        <f>INDEX(PREPARATION_MODIFIERS[gain_preparation_modifier],
MATCH(tbl_product_preparations[[#This Row],[preparation_key]],
PREPARATION_MODIFIERS[preparation_key],0))</f>
        <v>0</v>
      </c>
    </row>
    <row r="93" spans="1:53" x14ac:dyDescent="0.2">
      <c r="A93" s="31" t="s">
        <v>937</v>
      </c>
      <c r="B93" s="31" t="s">
        <v>115</v>
      </c>
      <c r="C93" s="31" t="s">
        <v>160</v>
      </c>
      <c r="D93" s="31" t="s">
        <v>943</v>
      </c>
      <c r="E93" s="53" t="str">
        <f>IF(tbl_product_preparations[[#This Row],[source_key]]="MANUFACTURER","MANUFACTURER",
IF(tbl_product_preparations[[#This Row],[source_key]]="CALCULATED","CALCULATED",
"REAL"))</f>
        <v>REAL</v>
      </c>
      <c r="F93" s="53" t="str">
        <f>IF(LEFT(tbl_product_preparations[[#This Row],[source_key]],4)="USDA","US","EU")</f>
        <v>EU</v>
      </c>
      <c r="G93" s="32">
        <v>91</v>
      </c>
      <c r="H93" s="18" t="str">
        <f>IF(
   ISNUMBER(tbl_product_preparations[[#This Row],[density_lookup]]),
   ROUND(tbl_product_preparations[[#This Row],[kcal_per_100g]]*tbl_product_preparations[[#This Row],[density_lookup]],1),
   ""
)</f>
        <v/>
      </c>
      <c r="I93" s="35">
        <v>1</v>
      </c>
      <c r="J93" s="35">
        <v>17</v>
      </c>
      <c r="K93" s="35">
        <v>1</v>
      </c>
      <c r="L93" s="35">
        <v>0</v>
      </c>
      <c r="M93" s="32">
        <v>3.4</v>
      </c>
      <c r="N93" s="35">
        <v>1.2</v>
      </c>
      <c r="O93" s="47">
        <f>IF(tbl_product_preparations[[#This Row],[sugar_per_100g]]=0,tbl_product_preparations[[#This Row],[carbs_per_100g]],tbl_product_preparations[[#This Row],[sugar_per_100g]])</f>
        <v>1.2</v>
      </c>
      <c r="P93" s="37">
        <v>1E-3</v>
      </c>
      <c r="Q93" s="48">
        <f>IF(tbl_product_preparations[[#This Row],[sodium_per_100g]]=0,
tbl_product_preparations[[#This Row],[salt_per_100g]]/2.5,
tbl_product_preparations[[#This Row],[sodium_per_100g]])</f>
        <v>1E-3</v>
      </c>
      <c r="R93" s="24">
        <f>ROUND(tbl_product_preparations[[#This Row],[sodium_per_100g]]*2.5,3)</f>
        <v>3.0000000000000001E-3</v>
      </c>
      <c r="S93" s="24">
        <f>IF(tbl_product_preparations[[#This Row],[salt_per_100g]]=0,
tbl_product_preparations[[#This Row],[sodium_per_100g]]*2.5,
tbl_product_preparations[[#This Row],[salt_per_100g]])</f>
        <v>3.0000000000000001E-3</v>
      </c>
      <c r="T93" s="35">
        <v>82</v>
      </c>
      <c r="U93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93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87.8</v>
      </c>
      <c r="W93" s="19">
        <f>IF(tbl_product_preparations[[#This Row],[kcal_per_100g]]=0,0,ABS((tbl_product_preparations[[#This Row],[kcal_per_100g]]-tbl_product_preparations[[#This Row],[kcal_calc]])/tbl_product_preparations[[#This Row],[kcal_per_100g]])*100)</f>
        <v>3.51648351648352</v>
      </c>
      <c r="X93" s="19">
        <f>ROUND(tbl_product_preparations[[#This Row],[kcal_calc]],1)</f>
        <v>87.8</v>
      </c>
      <c r="Y93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104.401</v>
      </c>
      <c r="Z93" s="19" t="str">
        <f>IF(
  tbl_product_preparations[[#This Row],[macro_sum]] &lt;=
  100 + _xlfn.XLOOKUP("WATER_TOTAL_TOLERANCE",tbl_config[config_key],tbl_config[config_value]),
  "OK",
  "ERROR"
)</f>
        <v>ERROR</v>
      </c>
      <c r="AA93" s="15" t="str">
        <f>_xlfn.LET(
   _xlpm.d, _xlfn.XLOOKUP(tbl_product_preparations[[#This Row],[product_key]],tbl_products[product_key],tbl_products[density_g_per_ml]),
   IF(AND(ISNUMBER(_xlpm.d), _xlpm.d&gt;0), _xlpm.d, "")
)</f>
        <v/>
      </c>
      <c r="AB93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93" s="19" cm="1">
        <f t="array" ref="AC93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83.527021141127193</v>
      </c>
      <c r="AD93" s="19" cm="1">
        <f t="array" ref="AD93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97.056534903493514</v>
      </c>
      <c r="AE93" s="19" cm="1">
        <f t="array" ref="AE93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88.975818488017609</v>
      </c>
      <c r="AF93" s="19">
        <f>IF(tbl_product_preparations[[#This Row],[kcal_per_100g]]&lt;5,
 0,
 MAX(0,MIN(100,
  ((tbl_product_preparations[[#This Row],[protein_per_100g]]/tbl_product_preparations[[#This Row],[kcal_per_100g]]*100 - 1) / 7 * 100)
 ))
)</f>
        <v>1.4128728414442713</v>
      </c>
      <c r="AG93" s="19">
        <f>IF(tbl_product_preparations[[#This Row],[kcal_per_100g]]&lt;5,
 0,
 MAX(0,MIN(100,(tbl_product_preparations[[#This Row],[fiber_per_100g]]/8*100)))
)</f>
        <v>42.5</v>
      </c>
      <c r="AH93" s="19">
        <f>MAX(0,MIN(100,100-(tbl_product_preparations[[#This Row],[sugar_per_100g]]/15*100)))</f>
        <v>92</v>
      </c>
      <c r="AI93" s="19">
        <f>MAX(0,100-(tbl_product_preparations[[#This Row],[alcohol_per_100g]]*50))</f>
        <v>100</v>
      </c>
      <c r="AJ93" s="19">
        <f>ROUND(tbl_product_preparations[[#This Row],[water_percent]],0)</f>
        <v>82</v>
      </c>
      <c r="AK93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68</v>
      </c>
      <c r="AL93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68</v>
      </c>
      <c r="AM93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67</v>
      </c>
      <c r="AN93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B</v>
      </c>
      <c r="AO93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B</v>
      </c>
      <c r="AP93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B</v>
      </c>
      <c r="AQ93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FRUITS</v>
      </c>
      <c r="AR93" s="19"/>
      <c r="AS93" s="19" t="str">
        <f>INDEX(tbl_products[lose_modifier_group],
MATCH(tbl_product_preparations[[#This Row],[product_key]],
tbl_products[product_key],0))</f>
        <v>FRUIT_WHOLE</v>
      </c>
      <c r="AT93" s="19">
        <f>INDEX(BONUS_MALUS_LOSE[Modifier],
MATCH(tbl_product_preparations[[#This Row],[lose_modifier_group]],
BONUS_MALUS_LOSE[Group],0))</f>
        <v>3</v>
      </c>
      <c r="AU93" s="19" t="str">
        <f>INDEX(tbl_products[maintain_modifier_group],
MATCH(tbl_product_preparations[[#This Row],[product_key]],
tbl_products[product_key],0))</f>
        <v>FRUIT_WHOLE</v>
      </c>
      <c r="AV93" s="19">
        <f>INDEX(BONUS_MALUS_MAINTAIN[Modifier],
MATCH(tbl_product_preparations[[#This Row],[maintain_modifier_group]],
BONUS_MALUS_MAINTAIN[Group],0))</f>
        <v>2</v>
      </c>
      <c r="AW93" s="19" t="str">
        <f>INDEX(tbl_products[gain_modifier_group],
MATCH(tbl_product_preparations[[#This Row],[product_key]],
tbl_products[product_key],0))</f>
        <v>FRUIT_WHOLE</v>
      </c>
      <c r="AX93" s="19">
        <f>INDEX(BONUS_MALUS_GAIN[Modifier],
MATCH(tbl_product_preparations[[#This Row],[gain_modifier_group]],
BONUS_MALUS_GAIN[Group],0))</f>
        <v>1</v>
      </c>
      <c r="AY93" s="19">
        <f>INDEX(PREPARATION_MODIFIERS[lose_preparation_modifier],
MATCH(tbl_product_preparations[[#This Row],[preparation_key]],
PREPARATION_MODIFIERS[preparation_key],0))</f>
        <v>0</v>
      </c>
      <c r="AZ93" s="19">
        <f>INDEX(PREPARATION_MODIFIERS[maintain_preparation_modifier],
MATCH(tbl_product_preparations[[#This Row],[preparation_key]],
PREPARATION_MODIFIERS[preparation_key],0))</f>
        <v>0</v>
      </c>
      <c r="BA93" s="19">
        <f>INDEX(PREPARATION_MODIFIERS[gain_preparation_modifier],
MATCH(tbl_product_preparations[[#This Row],[preparation_key]],
PREPARATION_MODIFIERS[preparation_key],0))</f>
        <v>0</v>
      </c>
    </row>
    <row r="94" spans="1:53" x14ac:dyDescent="0.2">
      <c r="A94" s="31" t="s">
        <v>701</v>
      </c>
      <c r="B94" s="31" t="s">
        <v>115</v>
      </c>
      <c r="C94" s="31" t="s">
        <v>160</v>
      </c>
      <c r="D94" s="31" t="s">
        <v>707</v>
      </c>
      <c r="E94" s="53" t="str">
        <f>IF(tbl_product_preparations[[#This Row],[source_key]]="MANUFACTURER","MANUFACTURER",
IF(tbl_product_preparations[[#This Row],[source_key]]="CALCULATED","CALCULATED",
"REAL"))</f>
        <v>REAL</v>
      </c>
      <c r="F94" s="53" t="str">
        <f>IF(LEFT(tbl_product_preparations[[#This Row],[source_key]],4)="USDA","US","EU")</f>
        <v>EU</v>
      </c>
      <c r="G94" s="32">
        <v>37</v>
      </c>
      <c r="H94" s="18" t="str">
        <f>IF(
   ISNUMBER(tbl_product_preparations[[#This Row],[density_lookup]]),
   ROUND(tbl_product_preparations[[#This Row],[kcal_per_100g]]*tbl_product_preparations[[#This Row],[density_lookup]],1),
   ""
)</f>
        <v/>
      </c>
      <c r="I94" s="35">
        <v>1.4</v>
      </c>
      <c r="J94" s="35">
        <v>4.5</v>
      </c>
      <c r="K94" s="35">
        <v>0.3</v>
      </c>
      <c r="L94" s="35">
        <v>0</v>
      </c>
      <c r="M94" s="32">
        <v>2.5</v>
      </c>
      <c r="N94" s="35">
        <v>4.5</v>
      </c>
      <c r="O94" s="47">
        <f>IF(tbl_product_preparations[[#This Row],[sugar_per_100g]]=0,tbl_product_preparations[[#This Row],[carbs_per_100g]],tbl_product_preparations[[#This Row],[sugar_per_100g]])</f>
        <v>4.5</v>
      </c>
      <c r="P94" s="37">
        <v>3.0000000000000001E-3</v>
      </c>
      <c r="Q94" s="48">
        <f>IF(tbl_product_preparations[[#This Row],[sodium_per_100g]]=0,
tbl_product_preparations[[#This Row],[salt_per_100g]]/2.5,
tbl_product_preparations[[#This Row],[sodium_per_100g]])</f>
        <v>3.0000000000000001E-3</v>
      </c>
      <c r="R94" s="24">
        <f>ROUND(tbl_product_preparations[[#This Row],[sodium_per_100g]]*2.5,3)</f>
        <v>8.0000000000000002E-3</v>
      </c>
      <c r="S94" s="24">
        <f>IF(tbl_product_preparations[[#This Row],[salt_per_100g]]=0,
tbl_product_preparations[[#This Row],[sodium_per_100g]]*2.5,
tbl_product_preparations[[#This Row],[salt_per_100g]])</f>
        <v>8.0000000000000002E-3</v>
      </c>
      <c r="T94" s="35">
        <v>88</v>
      </c>
      <c r="U94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94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31.3</v>
      </c>
      <c r="W94" s="19">
        <f>IF(tbl_product_preparations[[#This Row],[kcal_per_100g]]=0,0,ABS((tbl_product_preparations[[#This Row],[kcal_per_100g]]-tbl_product_preparations[[#This Row],[kcal_calc]])/tbl_product_preparations[[#This Row],[kcal_per_100g]])*100)</f>
        <v>15.405405405405403</v>
      </c>
      <c r="X94" s="19">
        <f>ROUND(tbl_product_preparations[[#This Row],[kcal_calc]],1)</f>
        <v>31.3</v>
      </c>
      <c r="Y94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96.703000000000003</v>
      </c>
      <c r="Z94" s="19" t="str">
        <f>IF(
  tbl_product_preparations[[#This Row],[macro_sum]] &lt;=
  100 + _xlfn.XLOOKUP("WATER_TOTAL_TOLERANCE",tbl_config[config_key],tbl_config[config_value]),
  "OK",
  "ERROR"
)</f>
        <v>OK</v>
      </c>
      <c r="AA94" s="15" t="str">
        <f>_xlfn.LET(
   _xlpm.d, _xlfn.XLOOKUP(tbl_product_preparations[[#This Row],[product_key]],tbl_products[product_key],tbl_products[density_g_per_ml]),
   IF(AND(ISNUMBER(_xlpm.d), _xlpm.d&gt;0), _xlpm.d, "")
)</f>
        <v/>
      </c>
      <c r="AB94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94" s="19" cm="1">
        <f t="array" ref="AC94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64.115131061365474</v>
      </c>
      <c r="AD94" s="19" cm="1">
        <f t="array" ref="AD94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63.346963665735068</v>
      </c>
      <c r="AE94" s="19" cm="1">
        <f t="array" ref="AE94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38.411797171992866</v>
      </c>
      <c r="AF94" s="19">
        <f>IF(tbl_product_preparations[[#This Row],[kcal_per_100g]]&lt;5,
 0,
 MAX(0,MIN(100,
  ((tbl_product_preparations[[#This Row],[protein_per_100g]]/tbl_product_preparations[[#This Row],[kcal_per_100g]]*100 - 1) / 7 * 100)
 ))
)</f>
        <v>39.768339768339764</v>
      </c>
      <c r="AG94" s="19">
        <f>IF(tbl_product_preparations[[#This Row],[kcal_per_100g]]&lt;5,
 0,
 MAX(0,MIN(100,(tbl_product_preparations[[#This Row],[fiber_per_100g]]/8*100)))
)</f>
        <v>31.25</v>
      </c>
      <c r="AH94" s="19">
        <f>MAX(0,MIN(100,100-(tbl_product_preparations[[#This Row],[sugar_per_100g]]/15*100)))</f>
        <v>70</v>
      </c>
      <c r="AI94" s="19">
        <f>MAX(0,100-(tbl_product_preparations[[#This Row],[alcohol_per_100g]]*50))</f>
        <v>100</v>
      </c>
      <c r="AJ94" s="19">
        <f>ROUND(tbl_product_preparations[[#This Row],[water_percent]],0)</f>
        <v>88</v>
      </c>
      <c r="AK94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63</v>
      </c>
      <c r="AL94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61</v>
      </c>
      <c r="AM94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46</v>
      </c>
      <c r="AN94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C</v>
      </c>
      <c r="AO94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C</v>
      </c>
      <c r="AP94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D</v>
      </c>
      <c r="AQ94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FRUITS</v>
      </c>
      <c r="AR94" s="19"/>
      <c r="AS94" s="19" t="str">
        <f>INDEX(tbl_products[lose_modifier_group],
MATCH(tbl_product_preparations[[#This Row],[product_key]],
tbl_products[product_key],0))</f>
        <v>FRUIT_WHOLE</v>
      </c>
      <c r="AT94" s="19">
        <f>INDEX(BONUS_MALUS_LOSE[Modifier],
MATCH(tbl_product_preparations[[#This Row],[lose_modifier_group]],
BONUS_MALUS_LOSE[Group],0))</f>
        <v>3</v>
      </c>
      <c r="AU94" s="19" t="str">
        <f>INDEX(tbl_products[maintain_modifier_group],
MATCH(tbl_product_preparations[[#This Row],[product_key]],
tbl_products[product_key],0))</f>
        <v>FRUIT_WHOLE</v>
      </c>
      <c r="AV94" s="19">
        <f>INDEX(BONUS_MALUS_MAINTAIN[Modifier],
MATCH(tbl_product_preparations[[#This Row],[maintain_modifier_group]],
BONUS_MALUS_MAINTAIN[Group],0))</f>
        <v>2</v>
      </c>
      <c r="AW94" s="19" t="str">
        <f>INDEX(tbl_products[gain_modifier_group],
MATCH(tbl_product_preparations[[#This Row],[product_key]],
tbl_products[product_key],0))</f>
        <v>FRUIT_WHOLE</v>
      </c>
      <c r="AX94" s="19">
        <f>INDEX(BONUS_MALUS_GAIN[Modifier],
MATCH(tbl_product_preparations[[#This Row],[gain_modifier_group]],
BONUS_MALUS_GAIN[Group],0))</f>
        <v>1</v>
      </c>
      <c r="AY94" s="19">
        <f>INDEX(PREPARATION_MODIFIERS[lose_preparation_modifier],
MATCH(tbl_product_preparations[[#This Row],[preparation_key]],
PREPARATION_MODIFIERS[preparation_key],0))</f>
        <v>0</v>
      </c>
      <c r="AZ94" s="19">
        <f>INDEX(PREPARATION_MODIFIERS[maintain_preparation_modifier],
MATCH(tbl_product_preparations[[#This Row],[preparation_key]],
PREPARATION_MODIFIERS[preparation_key],0))</f>
        <v>0</v>
      </c>
      <c r="BA94" s="19">
        <f>INDEX(PREPARATION_MODIFIERS[gain_preparation_modifier],
MATCH(tbl_product_preparations[[#This Row],[preparation_key]],
PREPARATION_MODIFIERS[preparation_key],0))</f>
        <v>0</v>
      </c>
    </row>
    <row r="95" spans="1:53" x14ac:dyDescent="0.2">
      <c r="A95" s="31" t="s">
        <v>467</v>
      </c>
      <c r="B95" s="31" t="s">
        <v>115</v>
      </c>
      <c r="C95" s="31" t="s">
        <v>170</v>
      </c>
      <c r="D95" s="31" t="s">
        <v>468</v>
      </c>
      <c r="E95" s="53" t="str">
        <f>IF(tbl_product_preparations[[#This Row],[source_key]]="MANUFACTURER","MANUFACTURER",
IF(tbl_product_preparations[[#This Row],[source_key]]="CALCULATED","CALCULATED",
"REAL"))</f>
        <v>MANUFACTURER</v>
      </c>
      <c r="F95" s="53" t="str">
        <f>IF(LEFT(tbl_product_preparations[[#This Row],[source_key]],4)="USDA","US","EU")</f>
        <v>EU</v>
      </c>
      <c r="G95" s="32">
        <v>451</v>
      </c>
      <c r="H95" s="18" t="str">
        <f>IF(
   ISNUMBER(tbl_product_preparations[[#This Row],[density_lookup]]),
   ROUND(tbl_product_preparations[[#This Row],[kcal_per_100g]]*tbl_product_preparations[[#This Row],[density_lookup]],1),
   ""
)</f>
        <v/>
      </c>
      <c r="I95" s="35">
        <v>10</v>
      </c>
      <c r="J95" s="35">
        <v>49.5</v>
      </c>
      <c r="K95" s="35">
        <v>21</v>
      </c>
      <c r="L95" s="35">
        <v>0</v>
      </c>
      <c r="M95" s="32">
        <v>12</v>
      </c>
      <c r="N95" s="35">
        <v>3</v>
      </c>
      <c r="O95" s="47">
        <f>IF(tbl_product_preparations[[#This Row],[sugar_per_100g]]=0,tbl_product_preparations[[#This Row],[carbs_per_100g]],tbl_product_preparations[[#This Row],[sugar_per_100g]])</f>
        <v>3</v>
      </c>
      <c r="P95" s="37">
        <v>0.44500000000000001</v>
      </c>
      <c r="Q95" s="48">
        <f>IF(tbl_product_preparations[[#This Row],[sodium_per_100g]]=0,
tbl_product_preparations[[#This Row],[salt_per_100g]]/2.5,
tbl_product_preparations[[#This Row],[sodium_per_100g]])</f>
        <v>0.44500000000000001</v>
      </c>
      <c r="R95" s="24">
        <f>ROUND(tbl_product_preparations[[#This Row],[sodium_per_100g]]*2.5,3)</f>
        <v>1.113</v>
      </c>
      <c r="S95" s="24">
        <f>IF(tbl_product_preparations[[#This Row],[salt_per_100g]]=0,
tbl_product_preparations[[#This Row],[sodium_per_100g]]*2.5,
tbl_product_preparations[[#This Row],[salt_per_100g]])</f>
        <v>1.113</v>
      </c>
      <c r="T95" s="35">
        <v>0</v>
      </c>
      <c r="U95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95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451</v>
      </c>
      <c r="W95" s="19">
        <f>IF(tbl_product_preparations[[#This Row],[kcal_per_100g]]=0,0,ABS((tbl_product_preparations[[#This Row],[kcal_per_100g]]-tbl_product_preparations[[#This Row],[kcal_calc]])/tbl_product_preparations[[#This Row],[kcal_per_100g]])*100)</f>
        <v>0</v>
      </c>
      <c r="X95" s="19">
        <f>ROUND(tbl_product_preparations[[#This Row],[kcal_calc]],1)</f>
        <v>451</v>
      </c>
      <c r="Y95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92.944999999999993</v>
      </c>
      <c r="Z95" s="19" t="str">
        <f>IF(
  tbl_product_preparations[[#This Row],[macro_sum]] &lt;=
  100 + _xlfn.XLOOKUP("WATER_TOTAL_TOLERANCE",tbl_config[config_key],tbl_config[config_value]),
  "OK",
  "ERROR"
)</f>
        <v>OK</v>
      </c>
      <c r="AA95" s="15" t="str">
        <f>_xlfn.LET(
   _xlpm.d, _xlfn.XLOOKUP(tbl_product_preparations[[#This Row],[product_key]],tbl_products[product_key],tbl_products[density_g_per_ml]),
   IF(AND(ISNUMBER(_xlpm.d), _xlpm.d&gt;0), _xlpm.d, "")
)</f>
        <v/>
      </c>
      <c r="AB95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95" s="19" cm="1">
        <f t="array" ref="AC95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0.32225634779165746</v>
      </c>
      <c r="AD95" s="19" cm="1">
        <f t="array" ref="AD95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24.476195921014625</v>
      </c>
      <c r="AE95" s="19" cm="1">
        <f t="array" ref="AE95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83.942787346201868</v>
      </c>
      <c r="AF95" s="19">
        <f>IF(tbl_product_preparations[[#This Row],[kcal_per_100g]]&lt;5,
 0,
 MAX(0,MIN(100,
  ((tbl_product_preparations[[#This Row],[protein_per_100g]]/tbl_product_preparations[[#This Row],[kcal_per_100g]]*100 - 1) / 7 * 100)
 ))
)</f>
        <v>17.389927146024707</v>
      </c>
      <c r="AG95" s="19">
        <f>IF(tbl_product_preparations[[#This Row],[kcal_per_100g]]&lt;5,
 0,
 MAX(0,MIN(100,(tbl_product_preparations[[#This Row],[fiber_per_100g]]/8*100)))
)</f>
        <v>100</v>
      </c>
      <c r="AH95" s="19">
        <f>MAX(0,MIN(100,100-(tbl_product_preparations[[#This Row],[sugar_per_100g]]/15*100)))</f>
        <v>80</v>
      </c>
      <c r="AI95" s="19">
        <f>MAX(0,100-(tbl_product_preparations[[#This Row],[alcohol_per_100g]]*50))</f>
        <v>100</v>
      </c>
      <c r="AJ95" s="19">
        <f>ROUND(tbl_product_preparations[[#This Row],[water_percent]],0)</f>
        <v>0</v>
      </c>
      <c r="AK95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41</v>
      </c>
      <c r="AL95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45</v>
      </c>
      <c r="AM95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69</v>
      </c>
      <c r="AN95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D</v>
      </c>
      <c r="AO95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D</v>
      </c>
      <c r="AP95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B</v>
      </c>
      <c r="AQ95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GRAINS</v>
      </c>
      <c r="AR95" s="19"/>
      <c r="AS95" s="19" t="str">
        <f>INDEX(tbl_products[lose_modifier_group],
MATCH(tbl_product_preparations[[#This Row],[product_key]],
tbl_products[product_key],0))</f>
        <v>NEUTRAL</v>
      </c>
      <c r="AT95" s="19">
        <f>INDEX(BONUS_MALUS_LOSE[Modifier],
MATCH(tbl_product_preparations[[#This Row],[lose_modifier_group]],
BONUS_MALUS_LOSE[Group],0))</f>
        <v>0</v>
      </c>
      <c r="AU95" s="19" t="str">
        <f>INDEX(tbl_products[maintain_modifier_group],
MATCH(tbl_product_preparations[[#This Row],[product_key]],
tbl_products[product_key],0))</f>
        <v>NEUTRAL</v>
      </c>
      <c r="AV95" s="19">
        <f>INDEX(BONUS_MALUS_MAINTAIN[Modifier],
MATCH(tbl_product_preparations[[#This Row],[maintain_modifier_group]],
BONUS_MALUS_MAINTAIN[Group],0))</f>
        <v>0</v>
      </c>
      <c r="AW95" s="19" t="str">
        <f>INDEX(tbl_products[gain_modifier_group],
MATCH(tbl_product_preparations[[#This Row],[product_key]],
tbl_products[product_key],0))</f>
        <v>NEUTRAL</v>
      </c>
      <c r="AX95" s="19">
        <f>INDEX(BONUS_MALUS_GAIN[Modifier],
MATCH(tbl_product_preparations[[#This Row],[gain_modifier_group]],
BONUS_MALUS_GAIN[Group],0))</f>
        <v>0</v>
      </c>
      <c r="AY95" s="19">
        <f>INDEX(PREPARATION_MODIFIERS[lose_preparation_modifier],
MATCH(tbl_product_preparations[[#This Row],[preparation_key]],
PREPARATION_MODIFIERS[preparation_key],0))</f>
        <v>0</v>
      </c>
      <c r="AZ95" s="19">
        <f>INDEX(PREPARATION_MODIFIERS[maintain_preparation_modifier],
MATCH(tbl_product_preparations[[#This Row],[preparation_key]],
PREPARATION_MODIFIERS[preparation_key],0))</f>
        <v>0</v>
      </c>
      <c r="BA95" s="19">
        <f>INDEX(PREPARATION_MODIFIERS[gain_preparation_modifier],
MATCH(tbl_product_preparations[[#This Row],[preparation_key]],
PREPARATION_MODIFIERS[preparation_key],0))</f>
        <v>0</v>
      </c>
    </row>
    <row r="96" spans="1:53" x14ac:dyDescent="0.2">
      <c r="A96" s="31" t="s">
        <v>687</v>
      </c>
      <c r="B96" s="31" t="s">
        <v>115</v>
      </c>
      <c r="C96" s="31" t="s">
        <v>160</v>
      </c>
      <c r="D96" s="31" t="s">
        <v>693</v>
      </c>
      <c r="E96" s="53" t="str">
        <f>IF(tbl_product_preparations[[#This Row],[source_key]]="MANUFACTURER","MANUFACTURER",
IF(tbl_product_preparations[[#This Row],[source_key]]="CALCULATED","CALCULATED",
"REAL"))</f>
        <v>REAL</v>
      </c>
      <c r="F96" s="53" t="str">
        <f>IF(LEFT(tbl_product_preparations[[#This Row],[source_key]],4)="USDA","US","EU")</f>
        <v>EU</v>
      </c>
      <c r="G96" s="32">
        <v>29</v>
      </c>
      <c r="H96" s="18" t="str">
        <f>IF(
   ISNUMBER(tbl_product_preparations[[#This Row],[density_lookup]]),
   ROUND(tbl_product_preparations[[#This Row],[kcal_per_100g]]*tbl_product_preparations[[#This Row],[density_lookup]],1),
   ""
)</f>
        <v/>
      </c>
      <c r="I96" s="35">
        <v>0.7</v>
      </c>
      <c r="J96" s="35">
        <v>5.0999999999999996</v>
      </c>
      <c r="K96" s="35">
        <v>0</v>
      </c>
      <c r="L96" s="35">
        <v>0</v>
      </c>
      <c r="M96" s="32">
        <v>1.1000000000000001</v>
      </c>
      <c r="N96" s="35">
        <v>5.0999999999999996</v>
      </c>
      <c r="O96" s="47">
        <f>IF(tbl_product_preparations[[#This Row],[sugar_per_100g]]=0,tbl_product_preparations[[#This Row],[carbs_per_100g]],tbl_product_preparations[[#This Row],[sugar_per_100g]])</f>
        <v>5.0999999999999996</v>
      </c>
      <c r="P96" s="37">
        <v>3.0000000000000001E-3</v>
      </c>
      <c r="Q96" s="48">
        <f>IF(tbl_product_preparations[[#This Row],[sodium_per_100g]]=0,
tbl_product_preparations[[#This Row],[salt_per_100g]]/2.5,
tbl_product_preparations[[#This Row],[sodium_per_100g]])</f>
        <v>3.0000000000000001E-3</v>
      </c>
      <c r="R96" s="24">
        <f>ROUND(tbl_product_preparations[[#This Row],[sodium_per_100g]]*2.5,3)</f>
        <v>8.0000000000000002E-3</v>
      </c>
      <c r="S96" s="24">
        <f>IF(tbl_product_preparations[[#This Row],[salt_per_100g]]=0,
tbl_product_preparations[[#This Row],[sodium_per_100g]]*2.5,
tbl_product_preparations[[#This Row],[salt_per_100g]])</f>
        <v>8.0000000000000002E-3</v>
      </c>
      <c r="T96" s="35">
        <v>91.2</v>
      </c>
      <c r="U96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96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25.4</v>
      </c>
      <c r="W96" s="19">
        <f>IF(tbl_product_preparations[[#This Row],[kcal_per_100g]]=0,0,ABS((tbl_product_preparations[[#This Row],[kcal_per_100g]]-tbl_product_preparations[[#This Row],[kcal_calc]])/tbl_product_preparations[[#This Row],[kcal_per_100g]])*100)</f>
        <v>12.413793103448281</v>
      </c>
      <c r="X96" s="19">
        <f>ROUND(tbl_product_preparations[[#This Row],[kcal_calc]],1)</f>
        <v>25.4</v>
      </c>
      <c r="Y96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98.103000000000009</v>
      </c>
      <c r="Z96" s="19" t="str">
        <f>IF(
  tbl_product_preparations[[#This Row],[macro_sum]] &lt;=
  100 + _xlfn.XLOOKUP("WATER_TOTAL_TOLERANCE",tbl_config[config_key],tbl_config[config_value]),
  "OK",
  "ERROR"
)</f>
        <v>OK</v>
      </c>
      <c r="AA96" s="15" t="str">
        <f>_xlfn.LET(
   _xlpm.d, _xlfn.XLOOKUP(tbl_product_preparations[[#This Row],[product_key]],tbl_products[product_key],tbl_products[density_g_per_ml]),
   IF(AND(ISNUMBER(_xlpm.d), _xlpm.d&gt;0), _xlpm.d, "")
)</f>
        <v/>
      </c>
      <c r="AB96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/>
      </c>
      <c r="AC96" s="19" cm="1">
        <f t="array" ref="AC96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50.352473144179044</v>
      </c>
      <c r="AD96" s="19" cm="1">
        <f t="array" ref="AD96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52.612196409345643</v>
      </c>
      <c r="AE96" s="19" cm="1">
        <f t="array" ref="AE96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31.659279510381261</v>
      </c>
      <c r="AF96" s="19">
        <f>IF(tbl_product_preparations[[#This Row],[kcal_per_100g]]&lt;5,
 0,
 MAX(0,MIN(100,
  ((tbl_product_preparations[[#This Row],[protein_per_100g]]/tbl_product_preparations[[#This Row],[kcal_per_100g]]*100 - 1) / 7 * 100)
 ))
)</f>
        <v>20.19704433497537</v>
      </c>
      <c r="AG96" s="19">
        <f>IF(tbl_product_preparations[[#This Row],[kcal_per_100g]]&lt;5,
 0,
 MAX(0,MIN(100,(tbl_product_preparations[[#This Row],[fiber_per_100g]]/8*100)))
)</f>
        <v>13.750000000000002</v>
      </c>
      <c r="AH96" s="19">
        <f>MAX(0,MIN(100,100-(tbl_product_preparations[[#This Row],[sugar_per_100g]]/15*100)))</f>
        <v>66</v>
      </c>
      <c r="AI96" s="19">
        <f>MAX(0,100-(tbl_product_preparations[[#This Row],[alcohol_per_100g]]*50))</f>
        <v>100</v>
      </c>
      <c r="AJ96" s="19">
        <f>ROUND(tbl_product_preparations[[#This Row],[water_percent]],0)</f>
        <v>91</v>
      </c>
      <c r="AK96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52</v>
      </c>
      <c r="AL96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50</v>
      </c>
      <c r="AM96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36</v>
      </c>
      <c r="AN96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C</v>
      </c>
      <c r="AO96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C</v>
      </c>
      <c r="AP96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D</v>
      </c>
      <c r="AQ96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FRUITS</v>
      </c>
      <c r="AR96" s="19"/>
      <c r="AS96" s="19" t="str">
        <f>INDEX(tbl_products[lose_modifier_group],
MATCH(tbl_product_preparations[[#This Row],[product_key]],
tbl_products[product_key],0))</f>
        <v>FRUIT_WHOLE</v>
      </c>
      <c r="AT96" s="19">
        <f>INDEX(BONUS_MALUS_LOSE[Modifier],
MATCH(tbl_product_preparations[[#This Row],[lose_modifier_group]],
BONUS_MALUS_LOSE[Group],0))</f>
        <v>3</v>
      </c>
      <c r="AU96" s="19" t="str">
        <f>INDEX(tbl_products[maintain_modifier_group],
MATCH(tbl_product_preparations[[#This Row],[product_key]],
tbl_products[product_key],0))</f>
        <v>FRUIT_WHOLE</v>
      </c>
      <c r="AV96" s="19">
        <f>INDEX(BONUS_MALUS_MAINTAIN[Modifier],
MATCH(tbl_product_preparations[[#This Row],[maintain_modifier_group]],
BONUS_MALUS_MAINTAIN[Group],0))</f>
        <v>2</v>
      </c>
      <c r="AW96" s="19" t="str">
        <f>INDEX(tbl_products[gain_modifier_group],
MATCH(tbl_product_preparations[[#This Row],[product_key]],
tbl_products[product_key],0))</f>
        <v>FRUIT_WHOLE</v>
      </c>
      <c r="AX96" s="19">
        <f>INDEX(BONUS_MALUS_GAIN[Modifier],
MATCH(tbl_product_preparations[[#This Row],[gain_modifier_group]],
BONUS_MALUS_GAIN[Group],0))</f>
        <v>1</v>
      </c>
      <c r="AY96" s="19">
        <f>INDEX(PREPARATION_MODIFIERS[lose_preparation_modifier],
MATCH(tbl_product_preparations[[#This Row],[preparation_key]],
PREPARATION_MODIFIERS[preparation_key],0))</f>
        <v>0</v>
      </c>
      <c r="AZ96" s="19">
        <f>INDEX(PREPARATION_MODIFIERS[maintain_preparation_modifier],
MATCH(tbl_product_preparations[[#This Row],[preparation_key]],
PREPARATION_MODIFIERS[preparation_key],0))</f>
        <v>0</v>
      </c>
      <c r="BA96" s="19">
        <f>INDEX(PREPARATION_MODIFIERS[gain_preparation_modifier],
MATCH(tbl_product_preparations[[#This Row],[preparation_key]],
PREPARATION_MODIFIERS[preparation_key],0))</f>
        <v>0</v>
      </c>
    </row>
    <row r="97" spans="1:53" x14ac:dyDescent="0.2">
      <c r="A97" s="31" t="s">
        <v>117</v>
      </c>
      <c r="B97" s="31" t="s">
        <v>115</v>
      </c>
      <c r="C97" s="31" t="s">
        <v>245</v>
      </c>
      <c r="D97" s="31" t="s">
        <v>373</v>
      </c>
      <c r="E97" s="53" t="str">
        <f>IF(tbl_product_preparations[[#This Row],[source_key]]="MANUFACTURER","MANUFACTURER",
IF(tbl_product_preparations[[#This Row],[source_key]]="CALCULATED","CALCULATED",
"REAL"))</f>
        <v>REAL</v>
      </c>
      <c r="F97" s="53" t="str">
        <f>IF(LEFT(tbl_product_preparations[[#This Row],[source_key]],4)="USDA","US","EU")</f>
        <v>US</v>
      </c>
      <c r="G97" s="35">
        <v>1.2</v>
      </c>
      <c r="H97" s="19">
        <f>IF(
   ISNUMBER(tbl_product_preparations[[#This Row],[density_lookup]]),
   ROUND(tbl_product_preparations[[#This Row],[kcal_per_100g]]*tbl_product_preparations[[#This Row],[density_lookup]],1),
   ""
)</f>
        <v>1.2</v>
      </c>
      <c r="I97" s="35">
        <v>0</v>
      </c>
      <c r="J97" s="35">
        <v>0.3</v>
      </c>
      <c r="K97" s="35">
        <v>0</v>
      </c>
      <c r="L97" s="35">
        <v>0</v>
      </c>
      <c r="M97" s="35">
        <v>0</v>
      </c>
      <c r="N97" s="35">
        <v>0</v>
      </c>
      <c r="O97" s="47">
        <f>IF(tbl_product_preparations[[#This Row],[sugar_per_100g]]=0,tbl_product_preparations[[#This Row],[carbs_per_100g]],tbl_product_preparations[[#This Row],[sugar_per_100g]])</f>
        <v>0.3</v>
      </c>
      <c r="P97" s="37">
        <v>0</v>
      </c>
      <c r="Q97" s="48">
        <f>IF(tbl_product_preparations[[#This Row],[sodium_per_100g]]=0,
tbl_product_preparations[[#This Row],[salt_per_100g]]/2.5,
tbl_product_preparations[[#This Row],[sodium_per_100g]])</f>
        <v>0</v>
      </c>
      <c r="R97" s="24">
        <f>ROUND(tbl_product_preparations[[#This Row],[sodium_per_100g]]*2.5,3)</f>
        <v>0</v>
      </c>
      <c r="S97" s="24">
        <f>IF(tbl_product_preparations[[#This Row],[salt_per_100g]]=0,
tbl_product_preparations[[#This Row],[sodium_per_100g]]*2.5,
tbl_product_preparations[[#This Row],[salt_per_100g]])</f>
        <v>0</v>
      </c>
      <c r="T97" s="35">
        <v>99.7</v>
      </c>
      <c r="U97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LOW_ENERGY</v>
      </c>
      <c r="V97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1.2</v>
      </c>
      <c r="W97" s="19">
        <f>IF(tbl_product_preparations[[#This Row],[kcal_per_100g]]=0,0,ABS((tbl_product_preparations[[#This Row],[kcal_per_100g]]-tbl_product_preparations[[#This Row],[kcal_calc]])/tbl_product_preparations[[#This Row],[kcal_per_100g]])*100)</f>
        <v>0</v>
      </c>
      <c r="X97" s="19">
        <f>ROUND(tbl_product_preparations[[#This Row],[kcal_calc]],1)</f>
        <v>1.2</v>
      </c>
      <c r="Y97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100</v>
      </c>
      <c r="Z97" s="19" t="str">
        <f>IF(
  tbl_product_preparations[[#This Row],[macro_sum]] &lt;=
  100 + _xlfn.XLOOKUP("WATER_TOTAL_TOLERANCE",tbl_config[config_key],tbl_config[config_value]),
  "OK",
  "ERROR"
)</f>
        <v>OK</v>
      </c>
      <c r="AA97" s="15">
        <f>_xlfn.LET(
   _xlpm.d, _xlfn.XLOOKUP(tbl_product_preparations[[#This Row],[product_key]],tbl_products[product_key],tbl_products[density_g_per_ml]),
   IF(AND(ISNUMBER(_xlpm.d), _xlpm.d&gt;0), _xlpm.d, "")
)</f>
        <v>1</v>
      </c>
      <c r="AB97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>OK</v>
      </c>
      <c r="AC97" s="19" cm="1">
        <f t="array" ref="AC97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98</v>
      </c>
      <c r="AD97" s="19" cm="1">
        <f t="array" ref="AD97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98.5</v>
      </c>
      <c r="AE97" s="19" cm="1">
        <f t="array" ref="AE97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99</v>
      </c>
      <c r="AF97" s="19">
        <f>IF(tbl_product_preparations[[#This Row],[kcal_per_100g]]&lt;5,
 0,
 MAX(0,MIN(100,
  ((tbl_product_preparations[[#This Row],[protein_per_100g]]/tbl_product_preparations[[#This Row],[kcal_per_100g]]*100 - 1) / 7 * 100)
 ))
)</f>
        <v>0</v>
      </c>
      <c r="AG97" s="19">
        <f>IF(tbl_product_preparations[[#This Row],[kcal_per_100g]]&lt;5,
 0,
 MAX(0,MIN(100,(tbl_product_preparations[[#This Row],[fiber_per_100g]]/8*100)))
)</f>
        <v>0</v>
      </c>
      <c r="AH97" s="19">
        <f>MAX(0,MIN(100,100-(tbl_product_preparations[[#This Row],[sugar_per_100g]]/15*100)))</f>
        <v>100</v>
      </c>
      <c r="AI97" s="19">
        <f>MAX(0,100-(tbl_product_preparations[[#This Row],[alcohol_per_100g]]*50))</f>
        <v>100</v>
      </c>
      <c r="AJ97" s="19">
        <f>ROUND(tbl_product_preparations[[#This Row],[water_percent]],0)</f>
        <v>100</v>
      </c>
      <c r="AK97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64</v>
      </c>
      <c r="AL97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64</v>
      </c>
      <c r="AM97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54</v>
      </c>
      <c r="AN97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C</v>
      </c>
      <c r="AO97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C</v>
      </c>
      <c r="AP97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C</v>
      </c>
      <c r="AQ97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BEVERAGES</v>
      </c>
      <c r="AR97" s="19"/>
      <c r="AS97" s="19" t="str">
        <f>INDEX(tbl_products[lose_modifier_group],
MATCH(tbl_product_preparations[[#This Row],[product_key]],
tbl_products[product_key],0))</f>
        <v>NEUTRAL</v>
      </c>
      <c r="AT97" s="19">
        <f>INDEX(BONUS_MALUS_LOSE[Modifier],
MATCH(tbl_product_preparations[[#This Row],[lose_modifier_group]],
BONUS_MALUS_LOSE[Group],0))</f>
        <v>0</v>
      </c>
      <c r="AU97" s="19" t="str">
        <f>INDEX(tbl_products[maintain_modifier_group],
MATCH(tbl_product_preparations[[#This Row],[product_key]],
tbl_products[product_key],0))</f>
        <v>NEUTRAL</v>
      </c>
      <c r="AV97" s="19">
        <f>INDEX(BONUS_MALUS_MAINTAIN[Modifier],
MATCH(tbl_product_preparations[[#This Row],[maintain_modifier_group]],
BONUS_MALUS_MAINTAIN[Group],0))</f>
        <v>0</v>
      </c>
      <c r="AW97" s="19" t="str">
        <f>INDEX(tbl_products[gain_modifier_group],
MATCH(tbl_product_preparations[[#This Row],[product_key]],
tbl_products[product_key],0))</f>
        <v>LOW_CAL_DRINK</v>
      </c>
      <c r="AX97" s="19">
        <f>INDEX(BONUS_MALUS_GAIN[Modifier],
MATCH(tbl_product_preparations[[#This Row],[gain_modifier_group]],
BONUS_MALUS_GAIN[Group],0))</f>
        <v>-15</v>
      </c>
      <c r="AY97" s="19">
        <f>INDEX(PREPARATION_MODIFIERS[lose_preparation_modifier],
MATCH(tbl_product_preparations[[#This Row],[preparation_key]],
PREPARATION_MODIFIERS[preparation_key],0))</f>
        <v>0</v>
      </c>
      <c r="AZ97" s="19">
        <f>INDEX(PREPARATION_MODIFIERS[maintain_preparation_modifier],
MATCH(tbl_product_preparations[[#This Row],[preparation_key]],
PREPARATION_MODIFIERS[preparation_key],0))</f>
        <v>0</v>
      </c>
      <c r="BA97" s="19">
        <f>INDEX(PREPARATION_MODIFIERS[gain_preparation_modifier],
MATCH(tbl_product_preparations[[#This Row],[preparation_key]],
PREPARATION_MODIFIERS[preparation_key],0))</f>
        <v>0</v>
      </c>
    </row>
    <row r="98" spans="1:53" x14ac:dyDescent="0.2">
      <c r="A98" s="31" t="s">
        <v>117</v>
      </c>
      <c r="B98" s="31" t="s">
        <v>213</v>
      </c>
      <c r="C98" s="31" t="s">
        <v>176</v>
      </c>
      <c r="D98" s="34" t="s">
        <v>398</v>
      </c>
      <c r="E98" s="53" t="str">
        <f>IF(tbl_product_preparations[[#This Row],[source_key]]="MANUFACTURER","MANUFACTURER",
IF(tbl_product_preparations[[#This Row],[source_key]]="CALCULATED","CALCULATED",
"REAL"))</f>
        <v>CALCULATED</v>
      </c>
      <c r="F98" s="53" t="str">
        <f>IF(LEFT(tbl_product_preparations[[#This Row],[source_key]],4)="USDA","US","EU")</f>
        <v>EU</v>
      </c>
      <c r="G98" s="35">
        <v>15.2</v>
      </c>
      <c r="H98" s="19">
        <f>IF(
   ISNUMBER(tbl_product_preparations[[#This Row],[density_lookup]]),
   ROUND(tbl_product_preparations[[#This Row],[kcal_per_100g]]*tbl_product_preparations[[#This Row],[density_lookup]],1),
   ""
)</f>
        <v>15.2</v>
      </c>
      <c r="I98" s="35">
        <v>0</v>
      </c>
      <c r="J98" s="35">
        <v>3.8</v>
      </c>
      <c r="K98" s="35">
        <v>0</v>
      </c>
      <c r="L98" s="35">
        <v>0</v>
      </c>
      <c r="M98" s="35">
        <v>0</v>
      </c>
      <c r="N98" s="35">
        <v>3.5</v>
      </c>
      <c r="O98" s="47">
        <f>IF(tbl_product_preparations[[#This Row],[sugar_per_100g]]=0,tbl_product_preparations[[#This Row],[carbs_per_100g]],tbl_product_preparations[[#This Row],[sugar_per_100g]])</f>
        <v>3.5</v>
      </c>
      <c r="P98" s="37">
        <v>0</v>
      </c>
      <c r="Q98" s="48">
        <f>IF(tbl_product_preparations[[#This Row],[sodium_per_100g]]=0,
tbl_product_preparations[[#This Row],[salt_per_100g]]/2.5,
tbl_product_preparations[[#This Row],[sodium_per_100g]])</f>
        <v>0</v>
      </c>
      <c r="R98" s="24">
        <f>ROUND(tbl_product_preparations[[#This Row],[sodium_per_100g]]*2.5,3)</f>
        <v>0</v>
      </c>
      <c r="S98" s="24">
        <f>IF(tbl_product_preparations[[#This Row],[salt_per_100g]]=0,
tbl_product_preparations[[#This Row],[sodium_per_100g]]*2.5,
tbl_product_preparations[[#This Row],[salt_per_100g]])</f>
        <v>0</v>
      </c>
      <c r="T98" s="35">
        <v>96.5</v>
      </c>
      <c r="U98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98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15.2</v>
      </c>
      <c r="W98" s="19">
        <f>IF(tbl_product_preparations[[#This Row],[kcal_per_100g]]=0,0,ABS((tbl_product_preparations[[#This Row],[kcal_per_100g]]-tbl_product_preparations[[#This Row],[kcal_calc]])/tbl_product_preparations[[#This Row],[kcal_per_100g]])*100)</f>
        <v>0</v>
      </c>
      <c r="X98" s="19">
        <f>ROUND(tbl_product_preparations[[#This Row],[kcal_calc]],1)</f>
        <v>15.2</v>
      </c>
      <c r="Y98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100.3</v>
      </c>
      <c r="Z98" s="19" t="str">
        <f>IF(
  tbl_product_preparations[[#This Row],[macro_sum]] &lt;=
  100 + _xlfn.XLOOKUP("WATER_TOTAL_TOLERANCE",tbl_config[config_key],tbl_config[config_value]),
  "OK",
  "ERROR"
)</f>
        <v>OK</v>
      </c>
      <c r="AA98" s="15">
        <f>_xlfn.LET(
   _xlpm.d, _xlfn.XLOOKUP(tbl_product_preparations[[#This Row],[product_key]],tbl_products[product_key],tbl_products[density_g_per_ml]),
   IF(AND(ISNUMBER(_xlpm.d), _xlpm.d&gt;0), _xlpm.d, "")
)</f>
        <v>1</v>
      </c>
      <c r="AB98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>OK</v>
      </c>
      <c r="AC98" s="19" cm="1">
        <f t="array" ref="AC98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74.666666666666671</v>
      </c>
      <c r="AD98" s="19" cm="1">
        <f t="array" ref="AD98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81</v>
      </c>
      <c r="AE98" s="19" cm="1">
        <f t="array" ref="AE98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87.333333333333343</v>
      </c>
      <c r="AF98" s="19">
        <f>IF(tbl_product_preparations[[#This Row],[kcal_per_100g]]&lt;5,
 0,
 MAX(0,MIN(100,
  ((tbl_product_preparations[[#This Row],[protein_per_100g]]/tbl_product_preparations[[#This Row],[kcal_per_100g]]*100 - 1) / 7 * 100)
 ))
)</f>
        <v>0</v>
      </c>
      <c r="AG98" s="19">
        <f>IF(tbl_product_preparations[[#This Row],[kcal_per_100g]]&lt;5,
 0,
 MAX(0,MIN(100,(tbl_product_preparations[[#This Row],[fiber_per_100g]]/8*100)))
)</f>
        <v>0</v>
      </c>
      <c r="AH98" s="19">
        <f>MAX(0,MIN(100,100-(tbl_product_preparations[[#This Row],[sugar_per_100g]]/15*100)))</f>
        <v>76.666666666666671</v>
      </c>
      <c r="AI98" s="19">
        <f>MAX(0,100-(tbl_product_preparations[[#This Row],[alcohol_per_100g]]*50))</f>
        <v>100</v>
      </c>
      <c r="AJ98" s="19">
        <f>ROUND(tbl_product_preparations[[#This Row],[water_percent]],0)</f>
        <v>97</v>
      </c>
      <c r="AK98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54</v>
      </c>
      <c r="AL98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56</v>
      </c>
      <c r="AM98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46</v>
      </c>
      <c r="AN98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C</v>
      </c>
      <c r="AO98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C</v>
      </c>
      <c r="AP98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D</v>
      </c>
      <c r="AQ98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BEVERAGES</v>
      </c>
      <c r="AR98" s="19"/>
      <c r="AS98" s="19" t="str">
        <f>INDEX(tbl_products[lose_modifier_group],
MATCH(tbl_product_preparations[[#This Row],[product_key]],
tbl_products[product_key],0))</f>
        <v>NEUTRAL</v>
      </c>
      <c r="AT98" s="19">
        <f>INDEX(BONUS_MALUS_LOSE[Modifier],
MATCH(tbl_product_preparations[[#This Row],[lose_modifier_group]],
BONUS_MALUS_LOSE[Group],0))</f>
        <v>0</v>
      </c>
      <c r="AU98" s="19" t="str">
        <f>INDEX(tbl_products[maintain_modifier_group],
MATCH(tbl_product_preparations[[#This Row],[product_key]],
tbl_products[product_key],0))</f>
        <v>NEUTRAL</v>
      </c>
      <c r="AV98" s="19">
        <f>INDEX(BONUS_MALUS_MAINTAIN[Modifier],
MATCH(tbl_product_preparations[[#This Row],[maintain_modifier_group]],
BONUS_MALUS_MAINTAIN[Group],0))</f>
        <v>0</v>
      </c>
      <c r="AW98" s="19" t="str">
        <f>INDEX(tbl_products[gain_modifier_group],
MATCH(tbl_product_preparations[[#This Row],[product_key]],
tbl_products[product_key],0))</f>
        <v>LOW_CAL_DRINK</v>
      </c>
      <c r="AX98" s="19">
        <f>INDEX(BONUS_MALUS_GAIN[Modifier],
MATCH(tbl_product_preparations[[#This Row],[gain_modifier_group]],
BONUS_MALUS_GAIN[Group],0))</f>
        <v>-15</v>
      </c>
      <c r="AY98" s="19">
        <f>INDEX(PREPARATION_MODIFIERS[lose_preparation_modifier],
MATCH(tbl_product_preparations[[#This Row],[preparation_key]],
PREPARATION_MODIFIERS[preparation_key],0))</f>
        <v>0</v>
      </c>
      <c r="AZ98" s="19">
        <f>INDEX(PREPARATION_MODIFIERS[maintain_preparation_modifier],
MATCH(tbl_product_preparations[[#This Row],[preparation_key]],
PREPARATION_MODIFIERS[preparation_key],0))</f>
        <v>0</v>
      </c>
      <c r="BA98" s="19">
        <f>INDEX(PREPARATION_MODIFIERS[gain_preparation_modifier],
MATCH(tbl_product_preparations[[#This Row],[preparation_key]],
PREPARATION_MODIFIERS[preparation_key],0))</f>
        <v>0</v>
      </c>
    </row>
    <row r="99" spans="1:53" x14ac:dyDescent="0.2">
      <c r="A99" s="31" t="s">
        <v>117</v>
      </c>
      <c r="B99" s="31" t="s">
        <v>215</v>
      </c>
      <c r="C99" s="31" t="s">
        <v>176</v>
      </c>
      <c r="D99" s="34" t="s">
        <v>399</v>
      </c>
      <c r="E99" s="53" t="str">
        <f>IF(tbl_product_preparations[[#This Row],[source_key]]="MANUFACTURER","MANUFACTURER",
IF(tbl_product_preparations[[#This Row],[source_key]]="CALCULATED","CALCULATED",
"REAL"))</f>
        <v>CALCULATED</v>
      </c>
      <c r="F99" s="53" t="str">
        <f>IF(LEFT(tbl_product_preparations[[#This Row],[source_key]],4)="USDA","US","EU")</f>
        <v>EU</v>
      </c>
      <c r="G99" s="35">
        <v>5.4</v>
      </c>
      <c r="H99" s="19">
        <f>IF(
   ISNUMBER(tbl_product_preparations[[#This Row],[density_lookup]]),
   ROUND(tbl_product_preparations[[#This Row],[kcal_per_100g]]*tbl_product_preparations[[#This Row],[density_lookup]],1),
   ""
)</f>
        <v>5.4</v>
      </c>
      <c r="I99" s="35">
        <v>0.35</v>
      </c>
      <c r="J99" s="35">
        <v>0.65</v>
      </c>
      <c r="K99" s="35">
        <v>0.15</v>
      </c>
      <c r="L99" s="35">
        <v>0</v>
      </c>
      <c r="M99" s="35">
        <v>0</v>
      </c>
      <c r="N99" s="35">
        <v>0</v>
      </c>
      <c r="O99" s="47">
        <f>IF(tbl_product_preparations[[#This Row],[sugar_per_100g]]=0,tbl_product_preparations[[#This Row],[carbs_per_100g]],tbl_product_preparations[[#This Row],[sugar_per_100g]])</f>
        <v>0.65</v>
      </c>
      <c r="P99" s="37">
        <v>4.0000000000000001E-3</v>
      </c>
      <c r="Q99" s="48">
        <f>IF(tbl_product_preparations[[#This Row],[sodium_per_100g]]=0,
tbl_product_preparations[[#This Row],[salt_per_100g]]/2.5,
tbl_product_preparations[[#This Row],[sodium_per_100g]])</f>
        <v>4.0000000000000001E-3</v>
      </c>
      <c r="R99" s="24">
        <f>ROUND(tbl_product_preparations[[#This Row],[sodium_per_100g]]*2.5,3)</f>
        <v>0.01</v>
      </c>
      <c r="S99" s="24">
        <f>IF(tbl_product_preparations[[#This Row],[salt_per_100g]]=0,
tbl_product_preparations[[#This Row],[sodium_per_100g]]*2.5,
tbl_product_preparations[[#This Row],[salt_per_100g]])</f>
        <v>0.01</v>
      </c>
      <c r="T99" s="35">
        <v>98.7</v>
      </c>
      <c r="U99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99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5.35</v>
      </c>
      <c r="W99" s="19">
        <f>IF(tbl_product_preparations[[#This Row],[kcal_per_100g]]=0,0,ABS((tbl_product_preparations[[#This Row],[kcal_per_100g]]-tbl_product_preparations[[#This Row],[kcal_calc]])/tbl_product_preparations[[#This Row],[kcal_per_100g]])*100)</f>
        <v>0.92592592592593903</v>
      </c>
      <c r="X99" s="19">
        <f>ROUND(tbl_product_preparations[[#This Row],[kcal_calc]],1)</f>
        <v>5.4</v>
      </c>
      <c r="Y99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99.853999999999999</v>
      </c>
      <c r="Z99" s="19" t="str">
        <f>IF(
  tbl_product_preparations[[#This Row],[macro_sum]] &lt;=
  100 + _xlfn.XLOOKUP("WATER_TOTAL_TOLERANCE",tbl_config[config_key],tbl_config[config_value]),
  "OK",
  "ERROR"
)</f>
        <v>OK</v>
      </c>
      <c r="AA99" s="15">
        <f>_xlfn.LET(
   _xlpm.d, _xlfn.XLOOKUP(tbl_product_preparations[[#This Row],[product_key]],tbl_products[product_key],tbl_products[density_g_per_ml]),
   IF(AND(ISNUMBER(_xlpm.d), _xlpm.d&gt;0), _xlpm.d, "")
)</f>
        <v>1</v>
      </c>
      <c r="AB99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>OK</v>
      </c>
      <c r="AC99" s="19" cm="1">
        <f t="array" ref="AC99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91</v>
      </c>
      <c r="AD99" s="19" cm="1">
        <f t="array" ref="AD99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93.25</v>
      </c>
      <c r="AE99" s="19" cm="1">
        <f t="array" ref="AE99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95.5</v>
      </c>
      <c r="AF99" s="19">
        <f>IF(tbl_product_preparations[[#This Row],[kcal_per_100g]]&lt;5,
 0,
 MAX(0,MIN(100,
  ((tbl_product_preparations[[#This Row],[protein_per_100g]]/tbl_product_preparations[[#This Row],[kcal_per_100g]]*100 - 1) / 7 * 100)
 ))
)</f>
        <v>78.306878306878303</v>
      </c>
      <c r="AG99" s="19">
        <f>IF(tbl_product_preparations[[#This Row],[kcal_per_100g]]&lt;5,
 0,
 MAX(0,MIN(100,(tbl_product_preparations[[#This Row],[fiber_per_100g]]/8*100)))
)</f>
        <v>0</v>
      </c>
      <c r="AH99" s="19">
        <f>MAX(0,MIN(100,100-(tbl_product_preparations[[#This Row],[sugar_per_100g]]/15*100)))</f>
        <v>100</v>
      </c>
      <c r="AI99" s="19">
        <f>MAX(0,100-(tbl_product_preparations[[#This Row],[alcohol_per_100g]]*50))</f>
        <v>100</v>
      </c>
      <c r="AJ99" s="19">
        <f>ROUND(tbl_product_preparations[[#This Row],[water_percent]],0)</f>
        <v>99</v>
      </c>
      <c r="AK99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73</v>
      </c>
      <c r="AL99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78</v>
      </c>
      <c r="AM99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72</v>
      </c>
      <c r="AN99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B</v>
      </c>
      <c r="AO99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B</v>
      </c>
      <c r="AP99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B</v>
      </c>
      <c r="AQ99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BEVERAGES</v>
      </c>
      <c r="AR99" s="19"/>
      <c r="AS99" s="19" t="str">
        <f>INDEX(tbl_products[lose_modifier_group],
MATCH(tbl_product_preparations[[#This Row],[product_key]],
tbl_products[product_key],0))</f>
        <v>NEUTRAL</v>
      </c>
      <c r="AT99" s="19">
        <f>INDEX(BONUS_MALUS_LOSE[Modifier],
MATCH(tbl_product_preparations[[#This Row],[lose_modifier_group]],
BONUS_MALUS_LOSE[Group],0))</f>
        <v>0</v>
      </c>
      <c r="AU99" s="19" t="str">
        <f>INDEX(tbl_products[maintain_modifier_group],
MATCH(tbl_product_preparations[[#This Row],[product_key]],
tbl_products[product_key],0))</f>
        <v>NEUTRAL</v>
      </c>
      <c r="AV99" s="19">
        <f>INDEX(BONUS_MALUS_MAINTAIN[Modifier],
MATCH(tbl_product_preparations[[#This Row],[maintain_modifier_group]],
BONUS_MALUS_MAINTAIN[Group],0))</f>
        <v>0</v>
      </c>
      <c r="AW99" s="19" t="str">
        <f>INDEX(tbl_products[gain_modifier_group],
MATCH(tbl_product_preparations[[#This Row],[product_key]],
tbl_products[product_key],0))</f>
        <v>LOW_CAL_DRINK</v>
      </c>
      <c r="AX99" s="19">
        <f>INDEX(BONUS_MALUS_GAIN[Modifier],
MATCH(tbl_product_preparations[[#This Row],[gain_modifier_group]],
BONUS_MALUS_GAIN[Group],0))</f>
        <v>-15</v>
      </c>
      <c r="AY99" s="19">
        <f>INDEX(PREPARATION_MODIFIERS[lose_preparation_modifier],
MATCH(tbl_product_preparations[[#This Row],[preparation_key]],
PREPARATION_MODIFIERS[preparation_key],0))</f>
        <v>0</v>
      </c>
      <c r="AZ99" s="19">
        <f>INDEX(PREPARATION_MODIFIERS[maintain_preparation_modifier],
MATCH(tbl_product_preparations[[#This Row],[preparation_key]],
PREPARATION_MODIFIERS[preparation_key],0))</f>
        <v>0</v>
      </c>
      <c r="BA99" s="19">
        <f>INDEX(PREPARATION_MODIFIERS[gain_preparation_modifier],
MATCH(tbl_product_preparations[[#This Row],[preparation_key]],
PREPARATION_MODIFIERS[preparation_key],0))</f>
        <v>0</v>
      </c>
    </row>
    <row r="100" spans="1:53" x14ac:dyDescent="0.2">
      <c r="A100" s="31" t="s">
        <v>117</v>
      </c>
      <c r="B100" s="31" t="s">
        <v>211</v>
      </c>
      <c r="C100" s="31" t="s">
        <v>176</v>
      </c>
      <c r="D100" s="31" t="s">
        <v>400</v>
      </c>
      <c r="E100" s="53" t="str">
        <f>IF(tbl_product_preparations[[#This Row],[source_key]]="MANUFACTURER","MANUFACTURER",
IF(tbl_product_preparations[[#This Row],[source_key]]="CALCULATED","CALCULATED",
"REAL"))</f>
        <v>CALCULATED</v>
      </c>
      <c r="F100" s="53" t="str">
        <f>IF(LEFT(tbl_product_preparations[[#This Row],[source_key]],4)="USDA","US","EU")</f>
        <v>EU</v>
      </c>
      <c r="G100" s="35">
        <v>11.2</v>
      </c>
      <c r="H100" s="19">
        <f>IF(
   ISNUMBER(tbl_product_preparations[[#This Row],[density_lookup]]),
   ROUND(tbl_product_preparations[[#This Row],[kcal_per_100g]]*tbl_product_preparations[[#This Row],[density_lookup]],1),
   ""
)</f>
        <v>11.2</v>
      </c>
      <c r="I100" s="35">
        <v>0</v>
      </c>
      <c r="J100" s="35">
        <v>2.8</v>
      </c>
      <c r="K100" s="35">
        <v>0</v>
      </c>
      <c r="L100" s="35">
        <v>0</v>
      </c>
      <c r="M100" s="35">
        <v>0</v>
      </c>
      <c r="N100" s="35">
        <v>2.5</v>
      </c>
      <c r="O100" s="47">
        <f>IF(tbl_product_preparations[[#This Row],[sugar_per_100g]]=0,tbl_product_preparations[[#This Row],[carbs_per_100g]],tbl_product_preparations[[#This Row],[sugar_per_100g]])</f>
        <v>2.5</v>
      </c>
      <c r="P100" s="37">
        <v>0</v>
      </c>
      <c r="Q100" s="48">
        <f>IF(tbl_product_preparations[[#This Row],[sodium_per_100g]]=0,
tbl_product_preparations[[#This Row],[salt_per_100g]]/2.5,
tbl_product_preparations[[#This Row],[sodium_per_100g]])</f>
        <v>0</v>
      </c>
      <c r="R100" s="24">
        <f>ROUND(tbl_product_preparations[[#This Row],[sodium_per_100g]]*2.5,3)</f>
        <v>0</v>
      </c>
      <c r="S100" s="24">
        <f>IF(tbl_product_preparations[[#This Row],[salt_per_100g]]=0,
tbl_product_preparations[[#This Row],[sodium_per_100g]]*2.5,
tbl_product_preparations[[#This Row],[salt_per_100g]])</f>
        <v>0</v>
      </c>
      <c r="T100" s="35">
        <v>97.2</v>
      </c>
      <c r="U100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100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11.2</v>
      </c>
      <c r="W100" s="19">
        <f>IF(tbl_product_preparations[[#This Row],[kcal_per_100g]]=0,0,ABS((tbl_product_preparations[[#This Row],[kcal_per_100g]]-tbl_product_preparations[[#This Row],[kcal_calc]])/tbl_product_preparations[[#This Row],[kcal_per_100g]])*100)</f>
        <v>0</v>
      </c>
      <c r="X100" s="19">
        <f>ROUND(tbl_product_preparations[[#This Row],[kcal_calc]],1)</f>
        <v>11.2</v>
      </c>
      <c r="Y100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100</v>
      </c>
      <c r="Z100" s="19" t="str">
        <f>IF(
  tbl_product_preparations[[#This Row],[macro_sum]] &lt;=
  100 + _xlfn.XLOOKUP("WATER_TOTAL_TOLERANCE",tbl_config[config_key],tbl_config[config_value]),
  "OK",
  "ERROR"
)</f>
        <v>OK</v>
      </c>
      <c r="AA100" s="15">
        <f>_xlfn.LET(
   _xlpm.d, _xlfn.XLOOKUP(tbl_product_preparations[[#This Row],[product_key]],tbl_products[product_key],tbl_products[density_g_per_ml]),
   IF(AND(ISNUMBER(_xlpm.d), _xlpm.d&gt;0), _xlpm.d, "")
)</f>
        <v>1</v>
      </c>
      <c r="AB100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>OK</v>
      </c>
      <c r="AC100" s="19" cm="1">
        <f t="array" ref="AC100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81.333333333333343</v>
      </c>
      <c r="AD100" s="19" cm="1">
        <f t="array" ref="AD100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86</v>
      </c>
      <c r="AE100" s="19" cm="1">
        <f t="array" ref="AE100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90.666666666666671</v>
      </c>
      <c r="AF100" s="19">
        <f>IF(tbl_product_preparations[[#This Row],[kcal_per_100g]]&lt;5,
 0,
 MAX(0,MIN(100,
  ((tbl_product_preparations[[#This Row],[protein_per_100g]]/tbl_product_preparations[[#This Row],[kcal_per_100g]]*100 - 1) / 7 * 100)
 ))
)</f>
        <v>0</v>
      </c>
      <c r="AG100" s="19">
        <f>IF(tbl_product_preparations[[#This Row],[kcal_per_100g]]&lt;5,
 0,
 MAX(0,MIN(100,(tbl_product_preparations[[#This Row],[fiber_per_100g]]/8*100)))
)</f>
        <v>0</v>
      </c>
      <c r="AH100" s="19">
        <f>MAX(0,MIN(100,100-(tbl_product_preparations[[#This Row],[sugar_per_100g]]/15*100)))</f>
        <v>83.333333333333343</v>
      </c>
      <c r="AI100" s="19">
        <f>MAX(0,100-(tbl_product_preparations[[#This Row],[alcohol_per_100g]]*50))</f>
        <v>100</v>
      </c>
      <c r="AJ100" s="19">
        <f>ROUND(tbl_product_preparations[[#This Row],[water_percent]],0)</f>
        <v>97</v>
      </c>
      <c r="AK100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57</v>
      </c>
      <c r="AL100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58</v>
      </c>
      <c r="AM100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48</v>
      </c>
      <c r="AN100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C</v>
      </c>
      <c r="AO100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C</v>
      </c>
      <c r="AP100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D</v>
      </c>
      <c r="AQ100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BEVERAGES</v>
      </c>
      <c r="AR100" s="19"/>
      <c r="AS100" s="19" t="str">
        <f>INDEX(tbl_products[lose_modifier_group],
MATCH(tbl_product_preparations[[#This Row],[product_key]],
tbl_products[product_key],0))</f>
        <v>NEUTRAL</v>
      </c>
      <c r="AT100" s="19">
        <f>INDEX(BONUS_MALUS_LOSE[Modifier],
MATCH(tbl_product_preparations[[#This Row],[lose_modifier_group]],
BONUS_MALUS_LOSE[Group],0))</f>
        <v>0</v>
      </c>
      <c r="AU100" s="19" t="str">
        <f>INDEX(tbl_products[maintain_modifier_group],
MATCH(tbl_product_preparations[[#This Row],[product_key]],
tbl_products[product_key],0))</f>
        <v>NEUTRAL</v>
      </c>
      <c r="AV100" s="19">
        <f>INDEX(BONUS_MALUS_MAINTAIN[Modifier],
MATCH(tbl_product_preparations[[#This Row],[maintain_modifier_group]],
BONUS_MALUS_MAINTAIN[Group],0))</f>
        <v>0</v>
      </c>
      <c r="AW100" s="19" t="str">
        <f>INDEX(tbl_products[gain_modifier_group],
MATCH(tbl_product_preparations[[#This Row],[product_key]],
tbl_products[product_key],0))</f>
        <v>LOW_CAL_DRINK</v>
      </c>
      <c r="AX100" s="19">
        <f>INDEX(BONUS_MALUS_GAIN[Modifier],
MATCH(tbl_product_preparations[[#This Row],[gain_modifier_group]],
BONUS_MALUS_GAIN[Group],0))</f>
        <v>-15</v>
      </c>
      <c r="AY100" s="19">
        <f>INDEX(PREPARATION_MODIFIERS[lose_preparation_modifier],
MATCH(tbl_product_preparations[[#This Row],[preparation_key]],
PREPARATION_MODIFIERS[preparation_key],0))</f>
        <v>0</v>
      </c>
      <c r="AZ100" s="19">
        <f>INDEX(PREPARATION_MODIFIERS[maintain_preparation_modifier],
MATCH(tbl_product_preparations[[#This Row],[preparation_key]],
PREPARATION_MODIFIERS[preparation_key],0))</f>
        <v>0</v>
      </c>
      <c r="BA100" s="19">
        <f>INDEX(PREPARATION_MODIFIERS[gain_preparation_modifier],
MATCH(tbl_product_preparations[[#This Row],[preparation_key]],
PREPARATION_MODIFIERS[preparation_key],0))</f>
        <v>0</v>
      </c>
    </row>
    <row r="101" spans="1:53" x14ac:dyDescent="0.2">
      <c r="A101" s="31" t="s">
        <v>117</v>
      </c>
      <c r="B101" s="31" t="s">
        <v>217</v>
      </c>
      <c r="C101" s="31" t="s">
        <v>176</v>
      </c>
      <c r="D101" s="34" t="s">
        <v>401</v>
      </c>
      <c r="E101" s="53" t="str">
        <f>IF(tbl_product_preparations[[#This Row],[source_key]]="MANUFACTURER","MANUFACTURER",
IF(tbl_product_preparations[[#This Row],[source_key]]="CALCULATED","CALCULATED",
"REAL"))</f>
        <v>CALCULATED</v>
      </c>
      <c r="F101" s="53" t="str">
        <f>IF(LEFT(tbl_product_preparations[[#This Row],[source_key]],4)="USDA","US","EU")</f>
        <v>EU</v>
      </c>
      <c r="G101" s="35">
        <v>16.600000000000001</v>
      </c>
      <c r="H101" s="19">
        <f>IF(
   ISNUMBER(tbl_product_preparations[[#This Row],[density_lookup]]),
   ROUND(tbl_product_preparations[[#This Row],[kcal_per_100g]]*tbl_product_preparations[[#This Row],[density_lookup]],1),
   ""
)</f>
        <v>16.600000000000001</v>
      </c>
      <c r="I101" s="35">
        <v>0.35</v>
      </c>
      <c r="J101" s="35">
        <v>3.45</v>
      </c>
      <c r="K101" s="35">
        <v>0.15</v>
      </c>
      <c r="L101" s="35">
        <v>0</v>
      </c>
      <c r="M101" s="35">
        <v>0</v>
      </c>
      <c r="N101" s="35">
        <v>2.5</v>
      </c>
      <c r="O101" s="47">
        <f>IF(tbl_product_preparations[[#This Row],[sugar_per_100g]]=0,tbl_product_preparations[[#This Row],[carbs_per_100g]],tbl_product_preparations[[#This Row],[sugar_per_100g]])</f>
        <v>2.5</v>
      </c>
      <c r="P101" s="37">
        <v>0</v>
      </c>
      <c r="Q101" s="48">
        <f>IF(tbl_product_preparations[[#This Row],[sodium_per_100g]]=0,
tbl_product_preparations[[#This Row],[salt_per_100g]]/2.5,
tbl_product_preparations[[#This Row],[sodium_per_100g]])</f>
        <v>0</v>
      </c>
      <c r="R101" s="24">
        <f>ROUND(tbl_product_preparations[[#This Row],[sodium_per_100g]]*2.5,3)</f>
        <v>0</v>
      </c>
      <c r="S101" s="24">
        <f>IF(tbl_product_preparations[[#This Row],[salt_per_100g]]=0,
tbl_product_preparations[[#This Row],[sodium_per_100g]]*2.5,
tbl_product_preparations[[#This Row],[salt_per_100g]])</f>
        <v>0</v>
      </c>
      <c r="T101" s="35">
        <v>96.2</v>
      </c>
      <c r="U101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101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16.55</v>
      </c>
      <c r="W101" s="19">
        <f>IF(tbl_product_preparations[[#This Row],[kcal_per_100g]]=0,0,ABS((tbl_product_preparations[[#This Row],[kcal_per_100g]]-tbl_product_preparations[[#This Row],[kcal_calc]])/tbl_product_preparations[[#This Row],[kcal_per_100g]])*100)</f>
        <v>0.30120481927711268</v>
      </c>
      <c r="X101" s="19">
        <f>ROUND(tbl_product_preparations[[#This Row],[kcal_calc]],1)</f>
        <v>16.600000000000001</v>
      </c>
      <c r="Y101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100.15</v>
      </c>
      <c r="Z101" s="19" t="str">
        <f>IF(
  tbl_product_preparations[[#This Row],[macro_sum]] &lt;=
  100 + _xlfn.XLOOKUP("WATER_TOTAL_TOLERANCE",tbl_config[config_key],tbl_config[config_value]),
  "OK",
  "ERROR"
)</f>
        <v>OK</v>
      </c>
      <c r="AA101" s="15">
        <f>_xlfn.LET(
   _xlpm.d, _xlfn.XLOOKUP(tbl_product_preparations[[#This Row],[product_key]],tbl_products[product_key],tbl_products[density_g_per_ml]),
   IF(AND(ISNUMBER(_xlpm.d), _xlpm.d&gt;0), _xlpm.d, "")
)</f>
        <v>1</v>
      </c>
      <c r="AB101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>OK</v>
      </c>
      <c r="AC101" s="19" cm="1">
        <f t="array" ref="AC101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72.333333333333329</v>
      </c>
      <c r="AD101" s="19" cm="1">
        <f t="array" ref="AD101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79.25</v>
      </c>
      <c r="AE101" s="19" cm="1">
        <f t="array" ref="AE101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86.166666666666671</v>
      </c>
      <c r="AF101" s="19">
        <f>IF(tbl_product_preparations[[#This Row],[kcal_per_100g]]&lt;5,
 0,
 MAX(0,MIN(100,
  ((tbl_product_preparations[[#This Row],[protein_per_100g]]/tbl_product_preparations[[#This Row],[kcal_per_100g]]*100 - 1) / 7 * 100)
 ))
)</f>
        <v>15.834767641996558</v>
      </c>
      <c r="AG101" s="19">
        <f>IF(tbl_product_preparations[[#This Row],[kcal_per_100g]]&lt;5,
 0,
 MAX(0,MIN(100,(tbl_product_preparations[[#This Row],[fiber_per_100g]]/8*100)))
)</f>
        <v>0</v>
      </c>
      <c r="AH101" s="19">
        <f>MAX(0,MIN(100,100-(tbl_product_preparations[[#This Row],[sugar_per_100g]]/15*100)))</f>
        <v>83.333333333333343</v>
      </c>
      <c r="AI101" s="19">
        <f>MAX(0,100-(tbl_product_preparations[[#This Row],[alcohol_per_100g]]*50))</f>
        <v>100</v>
      </c>
      <c r="AJ101" s="19">
        <f>ROUND(tbl_product_preparations[[#This Row],[water_percent]],0)</f>
        <v>96</v>
      </c>
      <c r="AK101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56</v>
      </c>
      <c r="AL101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59</v>
      </c>
      <c r="AM101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50</v>
      </c>
      <c r="AN101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C</v>
      </c>
      <c r="AO101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C</v>
      </c>
      <c r="AP101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C</v>
      </c>
      <c r="AQ101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BEVERAGES</v>
      </c>
      <c r="AR101" s="19"/>
      <c r="AS101" s="19" t="str">
        <f>INDEX(tbl_products[lose_modifier_group],
MATCH(tbl_product_preparations[[#This Row],[product_key]],
tbl_products[product_key],0))</f>
        <v>NEUTRAL</v>
      </c>
      <c r="AT101" s="19">
        <f>INDEX(BONUS_MALUS_LOSE[Modifier],
MATCH(tbl_product_preparations[[#This Row],[lose_modifier_group]],
BONUS_MALUS_LOSE[Group],0))</f>
        <v>0</v>
      </c>
      <c r="AU101" s="19" t="str">
        <f>INDEX(tbl_products[maintain_modifier_group],
MATCH(tbl_product_preparations[[#This Row],[product_key]],
tbl_products[product_key],0))</f>
        <v>NEUTRAL</v>
      </c>
      <c r="AV101" s="19">
        <f>INDEX(BONUS_MALUS_MAINTAIN[Modifier],
MATCH(tbl_product_preparations[[#This Row],[maintain_modifier_group]],
BONUS_MALUS_MAINTAIN[Group],0))</f>
        <v>0</v>
      </c>
      <c r="AW101" s="19" t="str">
        <f>INDEX(tbl_products[gain_modifier_group],
MATCH(tbl_product_preparations[[#This Row],[product_key]],
tbl_products[product_key],0))</f>
        <v>LOW_CAL_DRINK</v>
      </c>
      <c r="AX101" s="19">
        <f>INDEX(BONUS_MALUS_GAIN[Modifier],
MATCH(tbl_product_preparations[[#This Row],[gain_modifier_group]],
BONUS_MALUS_GAIN[Group],0))</f>
        <v>-15</v>
      </c>
      <c r="AY101" s="19">
        <f>INDEX(PREPARATION_MODIFIERS[lose_preparation_modifier],
MATCH(tbl_product_preparations[[#This Row],[preparation_key]],
PREPARATION_MODIFIERS[preparation_key],0))</f>
        <v>0</v>
      </c>
      <c r="AZ101" s="19">
        <f>INDEX(PREPARATION_MODIFIERS[maintain_preparation_modifier],
MATCH(tbl_product_preparations[[#This Row],[preparation_key]],
PREPARATION_MODIFIERS[preparation_key],0))</f>
        <v>0</v>
      </c>
      <c r="BA101" s="19">
        <f>INDEX(PREPARATION_MODIFIERS[gain_preparation_modifier],
MATCH(tbl_product_preparations[[#This Row],[preparation_key]],
PREPARATION_MODIFIERS[preparation_key],0))</f>
        <v>0</v>
      </c>
    </row>
    <row r="102" spans="1:53" x14ac:dyDescent="0.2">
      <c r="A102" s="31" t="s">
        <v>7</v>
      </c>
      <c r="B102" s="31" t="s">
        <v>115</v>
      </c>
      <c r="C102" s="31" t="s">
        <v>245</v>
      </c>
      <c r="D102" s="31" t="s">
        <v>374</v>
      </c>
      <c r="E102" s="53" t="str">
        <f>IF(tbl_product_preparations[[#This Row],[source_key]]="MANUFACTURER","MANUFACTURER",
IF(tbl_product_preparations[[#This Row],[source_key]]="CALCULATED","CALCULATED",
"REAL"))</f>
        <v>REAL</v>
      </c>
      <c r="F102" s="53" t="str">
        <f>IF(LEFT(tbl_product_preparations[[#This Row],[source_key]],4)="USDA","US","EU")</f>
        <v>US</v>
      </c>
      <c r="G102" s="35">
        <v>0</v>
      </c>
      <c r="H102" s="19">
        <f>IF(
   ISNUMBER(tbl_product_preparations[[#This Row],[density_lookup]]),
   ROUND(tbl_product_preparations[[#This Row],[kcal_per_100g]]*tbl_product_preparations[[#This Row],[density_lookup]],1),
   ""
)</f>
        <v>0</v>
      </c>
      <c r="I102" s="35">
        <v>0</v>
      </c>
      <c r="J102" s="35">
        <v>0</v>
      </c>
      <c r="K102" s="35">
        <v>0</v>
      </c>
      <c r="L102" s="35">
        <v>0</v>
      </c>
      <c r="M102" s="35">
        <v>0</v>
      </c>
      <c r="N102" s="35">
        <v>0</v>
      </c>
      <c r="O102" s="47">
        <f>IF(tbl_product_preparations[[#This Row],[sugar_per_100g]]=0,tbl_product_preparations[[#This Row],[carbs_per_100g]],tbl_product_preparations[[#This Row],[sugar_per_100g]])</f>
        <v>0</v>
      </c>
      <c r="P102" s="37">
        <v>0</v>
      </c>
      <c r="Q102" s="48">
        <f>IF(tbl_product_preparations[[#This Row],[sodium_per_100g]]=0,
tbl_product_preparations[[#This Row],[salt_per_100g]]/2.5,
tbl_product_preparations[[#This Row],[sodium_per_100g]])</f>
        <v>0</v>
      </c>
      <c r="R102" s="24">
        <f>ROUND(tbl_product_preparations[[#This Row],[sodium_per_100g]]*2.5,3)</f>
        <v>0</v>
      </c>
      <c r="S102" s="24">
        <f>IF(tbl_product_preparations[[#This Row],[salt_per_100g]]=0,
tbl_product_preparations[[#This Row],[sodium_per_100g]]*2.5,
tbl_product_preparations[[#This Row],[salt_per_100g]])</f>
        <v>0</v>
      </c>
      <c r="T102" s="35">
        <v>100</v>
      </c>
      <c r="U102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LOW_ENERGY</v>
      </c>
      <c r="V102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0</v>
      </c>
      <c r="W102" s="19">
        <f>IF(tbl_product_preparations[[#This Row],[kcal_per_100g]]=0,0,ABS((tbl_product_preparations[[#This Row],[kcal_per_100g]]-tbl_product_preparations[[#This Row],[kcal_calc]])/tbl_product_preparations[[#This Row],[kcal_per_100g]])*100)</f>
        <v>0</v>
      </c>
      <c r="X102" s="19">
        <f>ROUND(tbl_product_preparations[[#This Row],[kcal_calc]],1)</f>
        <v>0</v>
      </c>
      <c r="Y102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100</v>
      </c>
      <c r="Z102" s="19" t="str">
        <f>IF(
  tbl_product_preparations[[#This Row],[macro_sum]] &lt;=
  100 + _xlfn.XLOOKUP("WATER_TOTAL_TOLERANCE",tbl_config[config_key],tbl_config[config_value]),
  "OK",
  "ERROR"
)</f>
        <v>OK</v>
      </c>
      <c r="AA102" s="15">
        <f>_xlfn.LET(
   _xlpm.d, _xlfn.XLOOKUP(tbl_product_preparations[[#This Row],[product_key]],tbl_products[product_key],tbl_products[density_g_per_ml]),
   IF(AND(ISNUMBER(_xlpm.d), _xlpm.d&gt;0), _xlpm.d, "")
)</f>
        <v>1</v>
      </c>
      <c r="AB102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>OK</v>
      </c>
      <c r="AC102" s="19" cm="1">
        <f t="array" ref="AC102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100</v>
      </c>
      <c r="AD102" s="19" cm="1">
        <f t="array" ref="AD102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100</v>
      </c>
      <c r="AE102" s="19" cm="1">
        <f t="array" ref="AE102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100</v>
      </c>
      <c r="AF102" s="19">
        <f>IF(tbl_product_preparations[[#This Row],[kcal_per_100g]]&lt;5,
 0,
 MAX(0,MIN(100,
  ((tbl_product_preparations[[#This Row],[protein_per_100g]]/tbl_product_preparations[[#This Row],[kcal_per_100g]]*100 - 1) / 7 * 100)
 ))
)</f>
        <v>0</v>
      </c>
      <c r="AG102" s="19">
        <f>IF(tbl_product_preparations[[#This Row],[kcal_per_100g]]&lt;5,
 0,
 MAX(0,MIN(100,(tbl_product_preparations[[#This Row],[fiber_per_100g]]/8*100)))
)</f>
        <v>0</v>
      </c>
      <c r="AH102" s="19">
        <f>MAX(0,MIN(100,100-(tbl_product_preparations[[#This Row],[sugar_per_100g]]/15*100)))</f>
        <v>100</v>
      </c>
      <c r="AI102" s="19">
        <f>MAX(0,100-(tbl_product_preparations[[#This Row],[alcohol_per_100g]]*50))</f>
        <v>100</v>
      </c>
      <c r="AJ102" s="19">
        <f>ROUND(tbl_product_preparations[[#This Row],[water_percent]],0)</f>
        <v>100</v>
      </c>
      <c r="AK102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65</v>
      </c>
      <c r="AL102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65</v>
      </c>
      <c r="AM102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55</v>
      </c>
      <c r="AN102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B</v>
      </c>
      <c r="AO102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B</v>
      </c>
      <c r="AP102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C</v>
      </c>
      <c r="AQ102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BEVERAGES</v>
      </c>
      <c r="AR102" s="19"/>
      <c r="AS102" s="19" t="str">
        <f>INDEX(tbl_products[lose_modifier_group],
MATCH(tbl_product_preparations[[#This Row],[product_key]],
tbl_products[product_key],0))</f>
        <v>NEUTRAL</v>
      </c>
      <c r="AT102" s="19">
        <f>INDEX(BONUS_MALUS_LOSE[Modifier],
MATCH(tbl_product_preparations[[#This Row],[lose_modifier_group]],
BONUS_MALUS_LOSE[Group],0))</f>
        <v>0</v>
      </c>
      <c r="AU102" s="19" t="str">
        <f>INDEX(tbl_products[maintain_modifier_group],
MATCH(tbl_product_preparations[[#This Row],[product_key]],
tbl_products[product_key],0))</f>
        <v>NEUTRAL</v>
      </c>
      <c r="AV102" s="19">
        <f>INDEX(BONUS_MALUS_MAINTAIN[Modifier],
MATCH(tbl_product_preparations[[#This Row],[maintain_modifier_group]],
BONUS_MALUS_MAINTAIN[Group],0))</f>
        <v>0</v>
      </c>
      <c r="AW102" s="19" t="str">
        <f>INDEX(tbl_products[gain_modifier_group],
MATCH(tbl_product_preparations[[#This Row],[product_key]],
tbl_products[product_key],0))</f>
        <v>LOW_CAL_DRINK</v>
      </c>
      <c r="AX102" s="19">
        <f>INDEX(BONUS_MALUS_GAIN[Modifier],
MATCH(tbl_product_preparations[[#This Row],[gain_modifier_group]],
BONUS_MALUS_GAIN[Group],0))</f>
        <v>-15</v>
      </c>
      <c r="AY102" s="19">
        <f>INDEX(PREPARATION_MODIFIERS[lose_preparation_modifier],
MATCH(tbl_product_preparations[[#This Row],[preparation_key]],
PREPARATION_MODIFIERS[preparation_key],0))</f>
        <v>0</v>
      </c>
      <c r="AZ102" s="19">
        <f>INDEX(PREPARATION_MODIFIERS[maintain_preparation_modifier],
MATCH(tbl_product_preparations[[#This Row],[preparation_key]],
PREPARATION_MODIFIERS[preparation_key],0))</f>
        <v>0</v>
      </c>
      <c r="BA102" s="19">
        <f>INDEX(PREPARATION_MODIFIERS[gain_preparation_modifier],
MATCH(tbl_product_preparations[[#This Row],[preparation_key]],
PREPARATION_MODIFIERS[preparation_key],0))</f>
        <v>0</v>
      </c>
    </row>
    <row r="103" spans="1:53" x14ac:dyDescent="0.2">
      <c r="A103" s="31" t="s">
        <v>346</v>
      </c>
      <c r="B103" s="31" t="s">
        <v>115</v>
      </c>
      <c r="C103" s="31" t="s">
        <v>160</v>
      </c>
      <c r="D103" s="31" t="s">
        <v>375</v>
      </c>
      <c r="E103" s="53" t="str">
        <f>IF(tbl_product_preparations[[#This Row],[source_key]]="MANUFACTURER","MANUFACTURER",
IF(tbl_product_preparations[[#This Row],[source_key]]="CALCULATED","CALCULATED",
"REAL"))</f>
        <v>REAL</v>
      </c>
      <c r="F103" s="53" t="str">
        <f>IF(LEFT(tbl_product_preparations[[#This Row],[source_key]],4)="USDA","US","EU")</f>
        <v>EU</v>
      </c>
      <c r="G103" s="35">
        <v>76</v>
      </c>
      <c r="H103" s="19">
        <f>IF(
   ISNUMBER(tbl_product_preparations[[#This Row],[density_lookup]]),
   ROUND(tbl_product_preparations[[#This Row],[kcal_per_100g]]*tbl_product_preparations[[#This Row],[density_lookup]],1),
   ""
)</f>
        <v>75.2</v>
      </c>
      <c r="I103" s="35">
        <v>0.1</v>
      </c>
      <c r="J103" s="35">
        <v>0.2</v>
      </c>
      <c r="K103" s="35">
        <v>0</v>
      </c>
      <c r="L103" s="35">
        <v>10.7</v>
      </c>
      <c r="M103" s="35">
        <v>0</v>
      </c>
      <c r="N103" s="35">
        <v>0.2</v>
      </c>
      <c r="O103" s="47">
        <f>IF(tbl_product_preparations[[#This Row],[sugar_per_100g]]=0,tbl_product_preparations[[#This Row],[carbs_per_100g]],tbl_product_preparations[[#This Row],[sugar_per_100g]])</f>
        <v>0.2</v>
      </c>
      <c r="P103" s="37">
        <v>7.0000000000000001E-3</v>
      </c>
      <c r="Q103" s="48">
        <f>IF(tbl_product_preparations[[#This Row],[sodium_per_100g]]=0,
tbl_product_preparations[[#This Row],[salt_per_100g]]/2.5,
tbl_product_preparations[[#This Row],[sodium_per_100g]])</f>
        <v>7.0000000000000001E-3</v>
      </c>
      <c r="R103" s="24">
        <f>ROUND(tbl_product_preparations[[#This Row],[sodium_per_100g]]*2.5,3)</f>
        <v>1.7999999999999999E-2</v>
      </c>
      <c r="S103" s="24">
        <f>IF(tbl_product_preparations[[#This Row],[salt_per_100g]]=0,
tbl_product_preparations[[#This Row],[sodium_per_100g]]*2.5,
tbl_product_preparations[[#This Row],[salt_per_100g]])</f>
        <v>1.7999999999999999E-2</v>
      </c>
      <c r="T103" s="35">
        <v>88.4</v>
      </c>
      <c r="U103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103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76.099999999999994</v>
      </c>
      <c r="W103" s="19">
        <f>IF(tbl_product_preparations[[#This Row],[kcal_per_100g]]=0,0,ABS((tbl_product_preparations[[#This Row],[kcal_per_100g]]-tbl_product_preparations[[#This Row],[kcal_calc]])/tbl_product_preparations[[#This Row],[kcal_per_100g]])*100)</f>
        <v>0.13157894736841358</v>
      </c>
      <c r="X103" s="19">
        <f>ROUND(tbl_product_preparations[[#This Row],[kcal_calc]],1)</f>
        <v>76.099999999999994</v>
      </c>
      <c r="Y103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99.407000000000011</v>
      </c>
      <c r="Z103" s="19" t="str">
        <f>IF(
  tbl_product_preparations[[#This Row],[macro_sum]] &lt;=
  100 + _xlfn.XLOOKUP("WATER_TOTAL_TOLERANCE",tbl_config[config_key],tbl_config[config_value]),
  "OK",
  "ERROR"
)</f>
        <v>OK</v>
      </c>
      <c r="AA103" s="15">
        <f>_xlfn.LET(
   _xlpm.d, _xlfn.XLOOKUP(tbl_product_preparations[[#This Row],[product_key]],tbl_products[product_key],tbl_products[density_g_per_ml]),
   IF(AND(ISNUMBER(_xlpm.d), _xlpm.d&gt;0), _xlpm.d, "")
)</f>
        <v>0.99</v>
      </c>
      <c r="AB103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>OK</v>
      </c>
      <c r="AC103" s="19" cm="1">
        <f t="array" ref="AC103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0</v>
      </c>
      <c r="AD103" s="19" cm="1">
        <f t="array" ref="AD103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5</v>
      </c>
      <c r="AE103" s="19" cm="1">
        <f t="array" ref="AE103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36.666666666666671</v>
      </c>
      <c r="AF103" s="19">
        <f>IF(tbl_product_preparations[[#This Row],[kcal_per_100g]]&lt;5,
 0,
 MAX(0,MIN(100,
  ((tbl_product_preparations[[#This Row],[protein_per_100g]]/tbl_product_preparations[[#This Row],[kcal_per_100g]]*100 - 1) / 7 * 100)
 ))
)</f>
        <v>0</v>
      </c>
      <c r="AG103" s="19">
        <f>IF(tbl_product_preparations[[#This Row],[kcal_per_100g]]&lt;5,
 0,
 MAX(0,MIN(100,(tbl_product_preparations[[#This Row],[fiber_per_100g]]/8*100)))
)</f>
        <v>0</v>
      </c>
      <c r="AH103" s="19">
        <f>MAX(0,MIN(100,100-(tbl_product_preparations[[#This Row],[sugar_per_100g]]/15*100)))</f>
        <v>98.666666666666671</v>
      </c>
      <c r="AI103" s="19">
        <f>MAX(0,100-(tbl_product_preparations[[#This Row],[alcohol_per_100g]]*50))</f>
        <v>0</v>
      </c>
      <c r="AJ103" s="19">
        <f>ROUND(tbl_product_preparations[[#This Row],[water_percent]],0)</f>
        <v>88</v>
      </c>
      <c r="AK103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9</v>
      </c>
      <c r="AL103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20</v>
      </c>
      <c r="AM103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23</v>
      </c>
      <c r="AN103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E</v>
      </c>
      <c r="AO103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E</v>
      </c>
      <c r="AP103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E</v>
      </c>
      <c r="AQ103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BEVERAGES</v>
      </c>
      <c r="AR103" s="19"/>
      <c r="AS103" s="19" t="str">
        <f>INDEX(tbl_products[lose_modifier_group],
MATCH(tbl_product_preparations[[#This Row],[product_key]],
tbl_products[product_key],0))</f>
        <v>ALCOHOL</v>
      </c>
      <c r="AT103" s="19">
        <f>INDEX(BONUS_MALUS_LOSE[Modifier],
MATCH(tbl_product_preparations[[#This Row],[lose_modifier_group]],
BONUS_MALUS_LOSE[Group],0))</f>
        <v>-10</v>
      </c>
      <c r="AU103" s="19" t="str">
        <f>INDEX(tbl_products[maintain_modifier_group],
MATCH(tbl_product_preparations[[#This Row],[product_key]],
tbl_products[product_key],0))</f>
        <v>ALCOHOL</v>
      </c>
      <c r="AV103" s="19">
        <f>INDEX(BONUS_MALUS_MAINTAIN[Modifier],
MATCH(tbl_product_preparations[[#This Row],[maintain_modifier_group]],
BONUS_MALUS_MAINTAIN[Group],0))</f>
        <v>-8</v>
      </c>
      <c r="AW103" s="19" t="str">
        <f>INDEX(tbl_products[gain_modifier_group],
MATCH(tbl_product_preparations[[#This Row],[product_key]],
tbl_products[product_key],0))</f>
        <v>ALCOHOL</v>
      </c>
      <c r="AX103" s="19">
        <f>INDEX(BONUS_MALUS_GAIN[Modifier],
MATCH(tbl_product_preparations[[#This Row],[gain_modifier_group]],
BONUS_MALUS_GAIN[Group],0))</f>
        <v>-7</v>
      </c>
      <c r="AY103" s="19">
        <f>INDEX(PREPARATION_MODIFIERS[lose_preparation_modifier],
MATCH(tbl_product_preparations[[#This Row],[preparation_key]],
PREPARATION_MODIFIERS[preparation_key],0))</f>
        <v>0</v>
      </c>
      <c r="AZ103" s="19">
        <f>INDEX(PREPARATION_MODIFIERS[maintain_preparation_modifier],
MATCH(tbl_product_preparations[[#This Row],[preparation_key]],
PREPARATION_MODIFIERS[preparation_key],0))</f>
        <v>0</v>
      </c>
      <c r="BA103" s="19">
        <f>INDEX(PREPARATION_MODIFIERS[gain_preparation_modifier],
MATCH(tbl_product_preparations[[#This Row],[preparation_key]],
PREPARATION_MODIFIERS[preparation_key],0))</f>
        <v>0</v>
      </c>
    </row>
    <row r="104" spans="1:53" x14ac:dyDescent="0.2">
      <c r="A104" s="31" t="s">
        <v>354</v>
      </c>
      <c r="B104" s="31" t="s">
        <v>115</v>
      </c>
      <c r="C104" s="31" t="s">
        <v>160</v>
      </c>
      <c r="D104" s="31" t="s">
        <v>376</v>
      </c>
      <c r="E104" s="53" t="str">
        <f>IF(tbl_product_preparations[[#This Row],[source_key]]="MANUFACTURER","MANUFACTURER",
IF(tbl_product_preparations[[#This Row],[source_key]]="CALCULATED","CALCULATED",
"REAL"))</f>
        <v>REAL</v>
      </c>
      <c r="F104" s="53" t="str">
        <f>IF(LEFT(tbl_product_preparations[[#This Row],[source_key]],4)="USDA","US","EU")</f>
        <v>EU</v>
      </c>
      <c r="G104" s="35">
        <v>71</v>
      </c>
      <c r="H104" s="19">
        <f>IF(
   ISNUMBER(tbl_product_preparations[[#This Row],[density_lookup]]),
   ROUND(tbl_product_preparations[[#This Row],[kcal_per_100g]]*tbl_product_preparations[[#This Row],[density_lookup]],1),
   ""
)</f>
        <v>70.3</v>
      </c>
      <c r="I104" s="35">
        <v>0.1</v>
      </c>
      <c r="J104" s="35">
        <v>2.5</v>
      </c>
      <c r="K104" s="35">
        <v>0</v>
      </c>
      <c r="L104" s="35">
        <v>8.6999999999999993</v>
      </c>
      <c r="M104" s="35">
        <v>0</v>
      </c>
      <c r="N104" s="35">
        <v>2.5</v>
      </c>
      <c r="O104" s="47">
        <f>IF(tbl_product_preparations[[#This Row],[sugar_per_100g]]=0,tbl_product_preparations[[#This Row],[carbs_per_100g]],tbl_product_preparations[[#This Row],[sugar_per_100g]])</f>
        <v>2.5</v>
      </c>
      <c r="P104" s="37">
        <v>4.0000000000000001E-3</v>
      </c>
      <c r="Q104" s="48">
        <f>IF(tbl_product_preparations[[#This Row],[sodium_per_100g]]=0,
tbl_product_preparations[[#This Row],[salt_per_100g]]/2.5,
tbl_product_preparations[[#This Row],[sodium_per_100g]])</f>
        <v>4.0000000000000001E-3</v>
      </c>
      <c r="R104" s="24">
        <f>ROUND(tbl_product_preparations[[#This Row],[sodium_per_100g]]*2.5,3)</f>
        <v>0.01</v>
      </c>
      <c r="S104" s="24">
        <f>IF(tbl_product_preparations[[#This Row],[salt_per_100g]]=0,
tbl_product_preparations[[#This Row],[sodium_per_100g]]*2.5,
tbl_product_preparations[[#This Row],[salt_per_100g]])</f>
        <v>0.01</v>
      </c>
      <c r="T104" s="35">
        <v>87.3</v>
      </c>
      <c r="U104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104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71.3</v>
      </c>
      <c r="W104" s="19">
        <f>IF(tbl_product_preparations[[#This Row],[kcal_per_100g]]=0,0,ABS((tbl_product_preparations[[#This Row],[kcal_per_100g]]-tbl_product_preparations[[#This Row],[kcal_calc]])/tbl_product_preparations[[#This Row],[kcal_per_100g]])*100)</f>
        <v>0.42253521126760163</v>
      </c>
      <c r="X104" s="19">
        <f>ROUND(tbl_product_preparations[[#This Row],[kcal_calc]],1)</f>
        <v>71.3</v>
      </c>
      <c r="Y104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98.603999999999999</v>
      </c>
      <c r="Z104" s="19" t="str">
        <f>IF(
  tbl_product_preparations[[#This Row],[macro_sum]] &lt;=
  100 + _xlfn.XLOOKUP("WATER_TOTAL_TOLERANCE",tbl_config[config_key],tbl_config[config_value]),
  "OK",
  "ERROR"
)</f>
        <v>OK</v>
      </c>
      <c r="AA104" s="15">
        <f>_xlfn.LET(
   _xlpm.d, _xlfn.XLOOKUP(tbl_product_preparations[[#This Row],[product_key]],tbl_products[product_key],tbl_products[density_g_per_ml]),
   IF(AND(ISNUMBER(_xlpm.d), _xlpm.d&gt;0), _xlpm.d, "")
)</f>
        <v>0.99</v>
      </c>
      <c r="AB104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>OK</v>
      </c>
      <c r="AC104" s="19" cm="1">
        <f t="array" ref="AC104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0</v>
      </c>
      <c r="AD104" s="19" cm="1">
        <f t="array" ref="AD104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11.25</v>
      </c>
      <c r="AE104" s="19" cm="1">
        <f t="array" ref="AE104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40.833333333333336</v>
      </c>
      <c r="AF104" s="19">
        <f>IF(tbl_product_preparations[[#This Row],[kcal_per_100g]]&lt;5,
 0,
 MAX(0,MIN(100,
  ((tbl_product_preparations[[#This Row],[protein_per_100g]]/tbl_product_preparations[[#This Row],[kcal_per_100g]]*100 - 1) / 7 * 100)
 ))
)</f>
        <v>0</v>
      </c>
      <c r="AG104" s="19">
        <f>IF(tbl_product_preparations[[#This Row],[kcal_per_100g]]&lt;5,
 0,
 MAX(0,MIN(100,(tbl_product_preparations[[#This Row],[fiber_per_100g]]/8*100)))
)</f>
        <v>0</v>
      </c>
      <c r="AH104" s="19">
        <f>MAX(0,MIN(100,100-(tbl_product_preparations[[#This Row],[sugar_per_100g]]/15*100)))</f>
        <v>83.333333333333343</v>
      </c>
      <c r="AI104" s="19">
        <f>MAX(0,100-(tbl_product_preparations[[#This Row],[alcohol_per_100g]]*50))</f>
        <v>0</v>
      </c>
      <c r="AJ104" s="19">
        <f>ROUND(tbl_product_preparations[[#This Row],[water_percent]],0)</f>
        <v>87</v>
      </c>
      <c r="AK104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7</v>
      </c>
      <c r="AL104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21</v>
      </c>
      <c r="AM104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24</v>
      </c>
      <c r="AN104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E</v>
      </c>
      <c r="AO104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E</v>
      </c>
      <c r="AP104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E</v>
      </c>
      <c r="AQ104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BEVERAGES</v>
      </c>
      <c r="AR104" s="19"/>
      <c r="AS104" s="19" t="str">
        <f>INDEX(tbl_products[lose_modifier_group],
MATCH(tbl_product_preparations[[#This Row],[product_key]],
tbl_products[product_key],0))</f>
        <v>ALCOHOL</v>
      </c>
      <c r="AT104" s="19">
        <f>INDEX(BONUS_MALUS_LOSE[Modifier],
MATCH(tbl_product_preparations[[#This Row],[lose_modifier_group]],
BONUS_MALUS_LOSE[Group],0))</f>
        <v>-10</v>
      </c>
      <c r="AU104" s="19" t="str">
        <f>INDEX(tbl_products[maintain_modifier_group],
MATCH(tbl_product_preparations[[#This Row],[product_key]],
tbl_products[product_key],0))</f>
        <v>ALCOHOL</v>
      </c>
      <c r="AV104" s="19">
        <f>INDEX(BONUS_MALUS_MAINTAIN[Modifier],
MATCH(tbl_product_preparations[[#This Row],[maintain_modifier_group]],
BONUS_MALUS_MAINTAIN[Group],0))</f>
        <v>-8</v>
      </c>
      <c r="AW104" s="19" t="str">
        <f>INDEX(tbl_products[gain_modifier_group],
MATCH(tbl_product_preparations[[#This Row],[product_key]],
tbl_products[product_key],0))</f>
        <v>ALCOHOL</v>
      </c>
      <c r="AX104" s="19">
        <f>INDEX(BONUS_MALUS_GAIN[Modifier],
MATCH(tbl_product_preparations[[#This Row],[gain_modifier_group]],
BONUS_MALUS_GAIN[Group],0))</f>
        <v>-7</v>
      </c>
      <c r="AY104" s="19">
        <f>INDEX(PREPARATION_MODIFIERS[lose_preparation_modifier],
MATCH(tbl_product_preparations[[#This Row],[preparation_key]],
PREPARATION_MODIFIERS[preparation_key],0))</f>
        <v>0</v>
      </c>
      <c r="AZ104" s="19">
        <f>INDEX(PREPARATION_MODIFIERS[maintain_preparation_modifier],
MATCH(tbl_product_preparations[[#This Row],[preparation_key]],
PREPARATION_MODIFIERS[preparation_key],0))</f>
        <v>0</v>
      </c>
      <c r="BA104" s="19">
        <f>INDEX(PREPARATION_MODIFIERS[gain_preparation_modifier],
MATCH(tbl_product_preparations[[#This Row],[preparation_key]],
PREPARATION_MODIFIERS[preparation_key],0))</f>
        <v>0</v>
      </c>
    </row>
    <row r="105" spans="1:53" x14ac:dyDescent="0.2">
      <c r="A105" s="31" t="s">
        <v>350</v>
      </c>
      <c r="B105" s="31" t="s">
        <v>115</v>
      </c>
      <c r="C105" s="31" t="s">
        <v>160</v>
      </c>
      <c r="D105" s="31" t="s">
        <v>377</v>
      </c>
      <c r="E105" s="53" t="str">
        <f>IF(tbl_product_preparations[[#This Row],[source_key]]="MANUFACTURER","MANUFACTURER",
IF(tbl_product_preparations[[#This Row],[source_key]]="CALCULATED","CALCULATED",
"REAL"))</f>
        <v>REAL</v>
      </c>
      <c r="F105" s="53" t="str">
        <f>IF(LEFT(tbl_product_preparations[[#This Row],[source_key]],4)="USDA","US","EU")</f>
        <v>EU</v>
      </c>
      <c r="G105" s="35">
        <v>67</v>
      </c>
      <c r="H105" s="19">
        <f>IF(
   ISNUMBER(tbl_product_preparations[[#This Row],[density_lookup]]),
   ROUND(tbl_product_preparations[[#This Row],[kcal_per_100g]]*tbl_product_preparations[[#This Row],[density_lookup]],1),
   ""
)</f>
        <v>66.3</v>
      </c>
      <c r="I105" s="35">
        <v>0.1</v>
      </c>
      <c r="J105" s="35">
        <v>0.6</v>
      </c>
      <c r="K105" s="35">
        <v>0</v>
      </c>
      <c r="L105" s="35">
        <v>9.1</v>
      </c>
      <c r="M105" s="35">
        <v>0</v>
      </c>
      <c r="N105" s="35">
        <v>0.6</v>
      </c>
      <c r="O105" s="47">
        <f>IF(tbl_product_preparations[[#This Row],[sugar_per_100g]]=0,tbl_product_preparations[[#This Row],[carbs_per_100g]],tbl_product_preparations[[#This Row],[sugar_per_100g]])</f>
        <v>0.6</v>
      </c>
      <c r="P105" s="37">
        <v>4.0000000000000001E-3</v>
      </c>
      <c r="Q105" s="48">
        <f>IF(tbl_product_preparations[[#This Row],[sodium_per_100g]]=0,
tbl_product_preparations[[#This Row],[salt_per_100g]]/2.5,
tbl_product_preparations[[#This Row],[sodium_per_100g]])</f>
        <v>4.0000000000000001E-3</v>
      </c>
      <c r="R105" s="24">
        <f>ROUND(tbl_product_preparations[[#This Row],[sodium_per_100g]]*2.5,3)</f>
        <v>0.01</v>
      </c>
      <c r="S105" s="24">
        <f>IF(tbl_product_preparations[[#This Row],[salt_per_100g]]=0,
tbl_product_preparations[[#This Row],[sodium_per_100g]]*2.5,
tbl_product_preparations[[#This Row],[salt_per_100g]])</f>
        <v>0.01</v>
      </c>
      <c r="T105" s="35">
        <v>86.1</v>
      </c>
      <c r="U105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105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66.5</v>
      </c>
      <c r="W105" s="19">
        <f>IF(tbl_product_preparations[[#This Row],[kcal_per_100g]]=0,0,ABS((tbl_product_preparations[[#This Row],[kcal_per_100g]]-tbl_product_preparations[[#This Row],[kcal_calc]])/tbl_product_preparations[[#This Row],[kcal_per_100g]])*100)</f>
        <v>0.74626865671641784</v>
      </c>
      <c r="X105" s="19">
        <f>ROUND(tbl_product_preparations[[#This Row],[kcal_calc]],1)</f>
        <v>66.5</v>
      </c>
      <c r="Y105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95.903999999999996</v>
      </c>
      <c r="Z105" s="19" t="str">
        <f>IF(
  tbl_product_preparations[[#This Row],[macro_sum]] &lt;=
  100 + _xlfn.XLOOKUP("WATER_TOTAL_TOLERANCE",tbl_config[config_key],tbl_config[config_value]),
  "OK",
  "ERROR"
)</f>
        <v>OK</v>
      </c>
      <c r="AA105" s="15">
        <f>_xlfn.LET(
   _xlpm.d, _xlfn.XLOOKUP(tbl_product_preparations[[#This Row],[product_key]],tbl_products[product_key],tbl_products[density_g_per_ml]),
   IF(AND(ISNUMBER(_xlpm.d), _xlpm.d&gt;0), _xlpm.d, "")
)</f>
        <v>0.99</v>
      </c>
      <c r="AB105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>OK</v>
      </c>
      <c r="AC105" s="19" cm="1">
        <f t="array" ref="AC105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0</v>
      </c>
      <c r="AD105" s="19" cm="1">
        <f t="array" ref="AD105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16.25</v>
      </c>
      <c r="AE105" s="19" cm="1">
        <f t="array" ref="AE105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44.166666666666664</v>
      </c>
      <c r="AF105" s="19">
        <f>IF(tbl_product_preparations[[#This Row],[kcal_per_100g]]&lt;5,
 0,
 MAX(0,MIN(100,
  ((tbl_product_preparations[[#This Row],[protein_per_100g]]/tbl_product_preparations[[#This Row],[kcal_per_100g]]*100 - 1) / 7 * 100)
 ))
)</f>
        <v>0</v>
      </c>
      <c r="AG105" s="19">
        <f>IF(tbl_product_preparations[[#This Row],[kcal_per_100g]]&lt;5,
 0,
 MAX(0,MIN(100,(tbl_product_preparations[[#This Row],[fiber_per_100g]]/8*100)))
)</f>
        <v>0</v>
      </c>
      <c r="AH105" s="19">
        <f>MAX(0,MIN(100,100-(tbl_product_preparations[[#This Row],[sugar_per_100g]]/15*100)))</f>
        <v>96</v>
      </c>
      <c r="AI105" s="19">
        <f>MAX(0,100-(tbl_product_preparations[[#This Row],[alcohol_per_100g]]*50))</f>
        <v>0</v>
      </c>
      <c r="AJ105" s="19">
        <f>ROUND(tbl_product_preparations[[#This Row],[water_percent]],0)</f>
        <v>86</v>
      </c>
      <c r="AK105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8</v>
      </c>
      <c r="AL105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24</v>
      </c>
      <c r="AM105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27</v>
      </c>
      <c r="AN105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E</v>
      </c>
      <c r="AO105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E</v>
      </c>
      <c r="AP105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E</v>
      </c>
      <c r="AQ105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BEVERAGES</v>
      </c>
      <c r="AR105" s="19"/>
      <c r="AS105" s="19" t="str">
        <f>INDEX(tbl_products[lose_modifier_group],
MATCH(tbl_product_preparations[[#This Row],[product_key]],
tbl_products[product_key],0))</f>
        <v>ALCOHOL</v>
      </c>
      <c r="AT105" s="19">
        <f>INDEX(BONUS_MALUS_LOSE[Modifier],
MATCH(tbl_product_preparations[[#This Row],[lose_modifier_group]],
BONUS_MALUS_LOSE[Group],0))</f>
        <v>-10</v>
      </c>
      <c r="AU105" s="19" t="str">
        <f>INDEX(tbl_products[maintain_modifier_group],
MATCH(tbl_product_preparations[[#This Row],[product_key]],
tbl_products[product_key],0))</f>
        <v>ALCOHOL</v>
      </c>
      <c r="AV105" s="19">
        <f>INDEX(BONUS_MALUS_MAINTAIN[Modifier],
MATCH(tbl_product_preparations[[#This Row],[maintain_modifier_group]],
BONUS_MALUS_MAINTAIN[Group],0))</f>
        <v>-8</v>
      </c>
      <c r="AW105" s="19" t="str">
        <f>INDEX(tbl_products[gain_modifier_group],
MATCH(tbl_product_preparations[[#This Row],[product_key]],
tbl_products[product_key],0))</f>
        <v>ALCOHOL</v>
      </c>
      <c r="AX105" s="19">
        <f>INDEX(BONUS_MALUS_GAIN[Modifier],
MATCH(tbl_product_preparations[[#This Row],[gain_modifier_group]],
BONUS_MALUS_GAIN[Group],0))</f>
        <v>-7</v>
      </c>
      <c r="AY105" s="19">
        <f>INDEX(PREPARATION_MODIFIERS[lose_preparation_modifier],
MATCH(tbl_product_preparations[[#This Row],[preparation_key]],
PREPARATION_MODIFIERS[preparation_key],0))</f>
        <v>0</v>
      </c>
      <c r="AZ105" s="19">
        <f>INDEX(PREPARATION_MODIFIERS[maintain_preparation_modifier],
MATCH(tbl_product_preparations[[#This Row],[preparation_key]],
PREPARATION_MODIFIERS[preparation_key],0))</f>
        <v>0</v>
      </c>
      <c r="BA105" s="19">
        <f>INDEX(PREPARATION_MODIFIERS[gain_preparation_modifier],
MATCH(tbl_product_preparations[[#This Row],[preparation_key]],
PREPARATION_MODIFIERS[preparation_key],0))</f>
        <v>0</v>
      </c>
    </row>
    <row r="106" spans="1:53" x14ac:dyDescent="0.2">
      <c r="A106" s="31" t="s">
        <v>351</v>
      </c>
      <c r="B106" s="31" t="s">
        <v>115</v>
      </c>
      <c r="C106" s="31" t="s">
        <v>160</v>
      </c>
      <c r="D106" s="31" t="s">
        <v>378</v>
      </c>
      <c r="E106" s="53" t="str">
        <f>IF(tbl_product_preparations[[#This Row],[source_key]]="MANUFACTURER","MANUFACTURER",
IF(tbl_product_preparations[[#This Row],[source_key]]="CALCULATED","CALCULATED",
"REAL"))</f>
        <v>REAL</v>
      </c>
      <c r="F106" s="53" t="str">
        <f>IF(LEFT(tbl_product_preparations[[#This Row],[source_key]],4)="USDA","US","EU")</f>
        <v>EU</v>
      </c>
      <c r="G106" s="35">
        <v>96</v>
      </c>
      <c r="H106" s="19">
        <f>IF(
   ISNUMBER(tbl_product_preparations[[#This Row],[density_lookup]]),
   ROUND(tbl_product_preparations[[#This Row],[kcal_per_100g]]*tbl_product_preparations[[#This Row],[density_lookup]],1),
   ""
)</f>
        <v>95</v>
      </c>
      <c r="I106" s="35">
        <v>0.2</v>
      </c>
      <c r="J106" s="35">
        <v>5.9</v>
      </c>
      <c r="K106" s="35">
        <v>0</v>
      </c>
      <c r="L106" s="35">
        <v>10.199999999999999</v>
      </c>
      <c r="M106" s="35">
        <v>0</v>
      </c>
      <c r="N106" s="35">
        <v>5.9</v>
      </c>
      <c r="O106" s="47">
        <f>IF(tbl_product_preparations[[#This Row],[sugar_per_100g]]=0,tbl_product_preparations[[#This Row],[carbs_per_100g]],tbl_product_preparations[[#This Row],[sugar_per_100g]])</f>
        <v>5.9</v>
      </c>
      <c r="P106" s="37">
        <v>1.2999999999999999E-2</v>
      </c>
      <c r="Q106" s="48">
        <f>IF(tbl_product_preparations[[#This Row],[sodium_per_100g]]=0,
tbl_product_preparations[[#This Row],[salt_per_100g]]/2.5,
tbl_product_preparations[[#This Row],[sodium_per_100g]])</f>
        <v>1.2999999999999999E-2</v>
      </c>
      <c r="R106" s="24">
        <f>ROUND(tbl_product_preparations[[#This Row],[sodium_per_100g]]*2.5,3)</f>
        <v>3.3000000000000002E-2</v>
      </c>
      <c r="S106" s="24">
        <f>IF(tbl_product_preparations[[#This Row],[salt_per_100g]]=0,
tbl_product_preparations[[#This Row],[sodium_per_100g]]*2.5,
tbl_product_preparations[[#This Row],[salt_per_100g]])</f>
        <v>3.3000000000000002E-2</v>
      </c>
      <c r="T106" s="35">
        <v>80.599999999999994</v>
      </c>
      <c r="U106" s="15" t="str">
        <f>IF(
  tbl_product_preparations[[#This Row],[kcal_per_100g]] &lt;
  _xlfn.XLOOKUP("MIN_KCAL_FOR_PERCENT_CHECK",tbl_config[config_key],tbl_config[config_value]),
  "LOW_ENERGY",
  IF(
     tbl_product_preparations[[#This Row],[kcal_diff_percent]] &lt;=
     _xlfn.XLOOKUP("ENERGY_TOLERANCE_PERCENT",tbl_config[config_key],tbl_config[config_value]),
     "OK",
     "ERROR"
  )
)</f>
        <v>OK</v>
      </c>
      <c r="V106" s="19">
        <f>tbl_product_preparations[[#This Row],[protein_per_100g]]*4
+ tbl_product_preparations[[#This Row],[carbs_per_100g]]*4
+ tbl_product_preparations[[#This Row],[fat_per_100g]]*9
+ tbl_product_preparations[[#This Row],[alcohol_per_100g]]*7
+tbl_product_preparations[[#This Row],[fiber_per_100g]]*2</f>
        <v>95.8</v>
      </c>
      <c r="W106" s="19">
        <f>IF(tbl_product_preparations[[#This Row],[kcal_per_100g]]=0,0,ABS((tbl_product_preparations[[#This Row],[kcal_per_100g]]-tbl_product_preparations[[#This Row],[kcal_calc]])/tbl_product_preparations[[#This Row],[kcal_per_100g]])*100)</f>
        <v>0.20833333333333628</v>
      </c>
      <c r="X106" s="19">
        <f>ROUND(tbl_product_preparations[[#This Row],[kcal_calc]],1)</f>
        <v>95.8</v>
      </c>
      <c r="Y106" s="19">
        <f>tbl_product_preparations[[#This Row],[protein_per_100g]]
+ tbl_product_preparations[[#This Row],[carbs_per_100g]]
+ tbl_product_preparations[[#This Row],[fat_per_100g]]
+ tbl_product_preparations[[#This Row],[alcohol_per_100g]]
+ tbl_product_preparations[[#This Row],[fiber_per_100g]]
+ tbl_product_preparations[[#This Row],[sodium_per_100g]]
+ tbl_product_preparations[[#This Row],[water_percent]]</f>
        <v>96.912999999999997</v>
      </c>
      <c r="Z106" s="19" t="str">
        <f>IF(
  tbl_product_preparations[[#This Row],[macro_sum]] &lt;=
  100 + _xlfn.XLOOKUP("WATER_TOTAL_TOLERANCE",tbl_config[config_key],tbl_config[config_value]),
  "OK",
  "ERROR"
)</f>
        <v>OK</v>
      </c>
      <c r="AA106" s="15">
        <f>_xlfn.LET(
   _xlpm.d, _xlfn.XLOOKUP(tbl_product_preparations[[#This Row],[product_key]],tbl_products[product_key],tbl_products[density_g_per_ml]),
   IF(AND(ISNUMBER(_xlpm.d), _xlpm.d&gt;0), _xlpm.d, "")
)</f>
        <v>0.99</v>
      </c>
      <c r="AB106" s="19" t="str">
        <f>IF(
   NOT(ISNUMBER(tbl_product_preparations[[#This Row],[density_lookup]])),
   "",
   IF(
      ABS(
         tbl_product_preparations[[#This Row],[kcal_per_100ml]]
         - ROUND(tbl_product_preparations[[#This Row],[kcal_per_100g]]*tbl_product_preparations[[#This Row],[density_lookup]],1)
      ) &lt;= 0.1,
      "OK",
      "ERROR"
   )
)</f>
        <v>OK</v>
      </c>
      <c r="AC106" s="19" cm="1">
        <f t="array" ref="AC106">IF(tbl_product_preparations[[#This Row],[group_model_key_lookup]]="BEVERAGES",
    MAX(0,MIN(100,100-(tbl_product_preparations[[#This Row],[kcal_per_100g]]/60*100))),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(tbl_group_goal_model[goal_key]="LOSE")*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0</v>
      </c>
      <c r="AD106" s="19" cm="1">
        <f t="array" ref="AD106">IF(tbl_product_preparations[[#This Row],[group_model_key_lookup]]="BEVERAGES",
    MAX(0,MIN(100,100-(tbl_product_preparations[[#This Row],[kcal_per_100g]]/80*100))),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(tbl_group_goal_model[goal_key]="MAINTAIN")*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0</v>
      </c>
      <c r="AE106" s="19" cm="1">
        <f t="array" ref="AE106">IF(tbl_product_preparations[[#This Row],[group_model_key_lookup]]="BEVERAGES",
    MAX(0,MIN(100,100-(tbl_product_preparations[[#This Row],[kcal_per_100g]]/120*100))),
    MAX(0,MIN(100,
        100*EXP(
            -(
                (tbl_product_preparations[[#This Row],[kcal_per_100g]]-
                    INDEX(tbl_group_goal_model[center_kcal],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
                )^2
            )/
            (
                2*
                (
                    INDEX(tbl_group_goal_model[sigma],
                        MATCH(
                            1,
                            (tbl_group_goal_model[goal_key]="GAIN")*
                            (tbl_group_goal_model[group_model_key]=tbl_product_preparations[[#This Row],[group_model_key_lookup]]),
                            0
                        )
                    )^2
                )
            )
        )
    ))
)</f>
        <v>20</v>
      </c>
      <c r="AF106" s="19">
        <f>IF(tbl_product_preparations[[#This Row],[kcal_per_100g]]&lt;5,
 0,
 MAX(0,MIN(100,
  ((tbl_product_preparations[[#This Row],[protein_per_100g]]/tbl_product_preparations[[#This Row],[kcal_per_100g]]*100 - 1) / 7 * 100)
 ))
)</f>
        <v>0</v>
      </c>
      <c r="AG106" s="19">
        <f>IF(tbl_product_preparations[[#This Row],[kcal_per_100g]]&lt;5,
 0,
 MAX(0,MIN(100,(tbl_product_preparations[[#This Row],[fiber_per_100g]]/8*100)))
)</f>
        <v>0</v>
      </c>
      <c r="AH106" s="19">
        <f>MAX(0,MIN(100,100-(tbl_product_preparations[[#This Row],[sugar_per_100g]]/15*100)))</f>
        <v>60.666666666666664</v>
      </c>
      <c r="AI106" s="19">
        <f>MAX(0,100-(tbl_product_preparations[[#This Row],[alcohol_per_100g]]*50))</f>
        <v>0</v>
      </c>
      <c r="AJ106" s="19">
        <f>ROUND(tbl_product_preparations[[#This Row],[water_percent]],0)</f>
        <v>81</v>
      </c>
      <c r="AK106" s="19">
        <f>MIN(100,
 MAX(0,
  ROUND(
   tbl_product_preparations[[#This Row],[energy_score_lose]]*0.35 +
   tbl_product_preparations[[#This Row],[protein_score]]*0.15 +
   tbl_product_preparations[[#This Row],[fiber_score]]*0.2 +
   tbl_product_preparations[[#This Row],[sugar_score]]*0.1 +
   tbl_product_preparations[[#This Row],[alcohol_score]]*0.1 +
   tbl_product_preparations[[#This Row],[hydration_score]]*0.1 +
   tbl_product_preparations[[#This Row],[lose_modifier]]+
   tbl_product_preparations[[#This Row],[lose_preparation_modifier]],0)
))</f>
        <v>4</v>
      </c>
      <c r="AL106" s="19">
        <f>ROUND(
 tbl_product_preparations[[#This Row],[energy_score_maintain]]*0.35 +
 tbl_product_preparations[[#This Row],[protein_score]]*0.2 +
 tbl_product_preparations[[#This Row],[fiber_score]]*0.15 +
 tbl_product_preparations[[#This Row],[sugar_score]]*0.1 +
 tbl_product_preparations[[#This Row],[alcohol_score]]*0.1 +
 tbl_product_preparations[[#This Row],[hydration_score]]*0.1,0)</f>
        <v>14</v>
      </c>
      <c r="AM106" s="19">
        <f>_xlfn.LET(
 _xlpm.baseScore,
 MIN(100,
  MAX(0,
   ROUND(
    tbl_product_preparations[[#This Row],[energy_score_gain]]*0.55 +
    tbl_product_preparations[[#This Row],[protein_score]]*0.25 +
    tbl_product_preparations[[#This Row],[fiber_score]]*0.05 +
    tbl_product_preparations[[#This Row],[sugar_score]]*0.1 +
    tbl_product_preparations[[#This Row],[alcohol_score]]*0.05 +
    tbl_product_preparations[[#This Row],[gain_modifier]] +
    tbl_product_preparations[[#This Row],[gain_preparation_modifier]],0)
  )
 ),
 IF(
  AND(
   tbl_product_preparations[[#This Row],[kcal_per_100g]]&lt;10,
   tbl_product_preparations[[#This Row],[alcohol_per_100g]]=0
  ),
  MAX(_xlpm.baseScore,35),
  _xlpm.baseScore
 )
)</f>
        <v>10</v>
      </c>
      <c r="AN106" s="39" t="str">
        <f>IF(tbl_product_preparations[[#This Row],[score_lose_weight]]&gt;=85,"A",
 IF(tbl_product_preparations[[#This Row],[score_lose_weight]]&gt;=65,"B",
  IF(tbl_product_preparations[[#This Row],[score_lose_weight]]&gt;=50,"C",
   IF(tbl_product_preparations[[#This Row],[score_lose_weight]]&gt;=35,"D","E"))))</f>
        <v>E</v>
      </c>
      <c r="AO106" s="39" t="str">
        <f>IF(tbl_product_preparations[[#This Row],[score_maintain]]&gt;=80,"A",
 IF(tbl_product_preparations[[#This Row],[score_maintain]]&gt;=65,"B",
  IF(tbl_product_preparations[[#This Row],[score_maintain]]&gt;=50,"C",
   IF(tbl_product_preparations[[#This Row],[score_maintain]]&gt;=35,"D","E"))))</f>
        <v>E</v>
      </c>
      <c r="AP106" s="39" t="str">
        <f>IF(tbl_product_preparations[[#This Row],[score_gain_weight]]&gt;=80,"A",
 IF(tbl_product_preparations[[#This Row],[score_gain_weight]]&gt;=65,"B",
  IF(tbl_product_preparations[[#This Row],[score_gain_weight]]&gt;=50,"C",
   IF(tbl_product_preparations[[#This Row],[score_gain_weight]]&gt;=30,"D","E"))))</f>
        <v>E</v>
      </c>
      <c r="AQ106" s="19" t="str">
        <f>IF(
 tbl_product_preparations[[#This Row],[group_model_key_override]]&lt;&gt;"",
 tbl_product_preparations[[#This Row],[group_model_key_override]],
 INDEX(
  tbl_products[group_model_key],
  MATCH(
   tbl_product_preparations[[#This Row],[product_key]],
   tbl_products[product_key],
   0
  )
 )
)</f>
        <v>BEVERAGES</v>
      </c>
      <c r="AR106" s="19"/>
      <c r="AS106" s="19" t="str">
        <f>INDEX(tbl_products[lose_modifier_group],
MATCH(tbl_product_preparations[[#This Row],[product_key]],
tbl_products[product_key],0))</f>
        <v>ALCOHOL</v>
      </c>
      <c r="AT106" s="19">
        <f>INDEX(BONUS_MALUS_LOSE[Modifier],
MATCH(tbl_product_preparations[[#This Row],[lose_modifier_group]],
BONUS_MALUS_LOSE[Group],0))</f>
        <v>-10</v>
      </c>
      <c r="AU106" s="19" t="str">
        <f>INDEX(tbl_products[maintain_modifier_group],
MATCH(tbl_product_preparations[[#This Row],[product_key]],
tbl_products[product_key],0))</f>
        <v>ALCOHOL</v>
      </c>
      <c r="AV106" s="19">
        <f>INDEX(BONUS_MALUS_MAINTAIN[Modifier],
MATCH(tbl_product_preparations[[#This Row],[maintain_modifier_group]],
BONUS_MALUS_MAINTAIN[Group],0))</f>
        <v>-8</v>
      </c>
      <c r="AW106" s="19" t="str">
        <f>INDEX(tbl_products[gain_modifier_group],
MATCH(tbl_product_preparations[[#This Row],[product_key]],
tbl_products[product_key],0))</f>
        <v>ALCOHOL</v>
      </c>
      <c r="AX106" s="19">
        <f>INDEX(BONUS_MALUS_GAIN[Modifier],
MATCH(tbl_product_preparations[[#This Row],[gain_modifier_group]],
BONUS_MALUS_GAIN[Group],0))</f>
        <v>-7</v>
      </c>
      <c r="AY106" s="19">
        <f>INDEX(PREPARATION_MODIFIERS[lose_preparation_modifier],
MATCH(tbl_product_preparations[[#This Row],[preparation_key]],
PREPARATION_MODIFIERS[preparation_key],0))</f>
        <v>0</v>
      </c>
      <c r="AZ106" s="19">
        <f>INDEX(PREPARATION_MODIFIERS[maintain_preparation_modifier],
MATCH(tbl_product_preparations[[#This Row],[preparation_key]],
PREPARATION_MODIFIERS[preparation_key],0))</f>
        <v>0</v>
      </c>
      <c r="BA106" s="19">
        <f>INDEX(PREPARATION_MODIFIERS[gain_preparation_modifier],
MATCH(tbl_product_preparations[[#This Row],[preparation_key]],
PREPARATION_MODIFIERS[preparation_key],0))</f>
        <v>0</v>
      </c>
    </row>
  </sheetData>
  <sheetProtection sheet="1" objects="1" scenarios="1" insertRows="0" selectLockedCells="1"/>
  <phoneticPr fontId="2" type="noConversion"/>
  <conditionalFormatting sqref="AN1:BA106 AM107:AO1048576">
    <cfRule type="cellIs" dxfId="45" priority="1" operator="equal">
      <formula>"E"</formula>
    </cfRule>
    <cfRule type="cellIs" dxfId="44" priority="2" operator="equal">
      <formula>"D"</formula>
    </cfRule>
    <cfRule type="cellIs" dxfId="43" priority="3" operator="equal">
      <formula>"C"</formula>
    </cfRule>
    <cfRule type="cellIs" dxfId="42" priority="4" operator="equal">
      <formula>"B"</formula>
    </cfRule>
    <cfRule type="cellIs" dxfId="41" priority="5" operator="equal">
      <formula>"A"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4F1BA91-A9A5-A844-B5E4-7EDA92BE273E}">
          <x14:formula1>
            <xm:f>DROPDOWN!$F$3:$F$12</xm:f>
          </x14:formula1>
          <xm:sqref>C2:C106</xm:sqref>
        </x14:dataValidation>
        <x14:dataValidation type="list" allowBlank="1" showInputMessage="1" showErrorMessage="1" xr:uid="{DB5EB544-F043-EB40-BEBF-59316C47B28F}">
          <x14:formula1>
            <xm:f>PREPARATIONS!$A$2:$A$16</xm:f>
          </x14:formula1>
          <xm:sqref>B2:B106</xm:sqref>
        </x14:dataValidation>
        <x14:dataValidation type="list" allowBlank="1" showInputMessage="1" showErrorMessage="1" xr:uid="{6D8D695F-EE0E-C740-BEDB-D6E30DD76FBF}">
          <x14:formula1>
            <xm:f>PRODUCTS!$A$2:$A$75</xm:f>
          </x14:formula1>
          <xm:sqref>A2:A106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CA0E-DC54-BD43-A75C-2ADCBF5E0A3C}">
  <dimension ref="A1:O106"/>
  <sheetViews>
    <sheetView zoomScale="120" zoomScaleNormal="120" workbookViewId="0">
      <selection activeCell="A12" sqref="A12"/>
    </sheetView>
  </sheetViews>
  <sheetFormatPr baseColWidth="10" defaultRowHeight="16" x14ac:dyDescent="0.2"/>
  <cols>
    <col min="1" max="1" width="32.33203125" style="1" bestFit="1" customWidth="1"/>
    <col min="2" max="2" width="17.83203125" style="1" bestFit="1" customWidth="1"/>
    <col min="3" max="3" width="18.83203125" style="1" bestFit="1" customWidth="1"/>
    <col min="4" max="4" width="37.33203125" style="1" bestFit="1" customWidth="1"/>
    <col min="5" max="5" width="16.5" style="1" bestFit="1" customWidth="1"/>
    <col min="6" max="6" width="17.6640625" style="1" bestFit="1" customWidth="1"/>
    <col min="7" max="7" width="19" style="1" bestFit="1" customWidth="1"/>
    <col min="8" max="8" width="17.6640625" style="1" bestFit="1" customWidth="1"/>
    <col min="9" max="9" width="15.33203125" style="1" bestFit="1" customWidth="1"/>
    <col min="10" max="10" width="19.1640625" style="1" bestFit="1" customWidth="1"/>
    <col min="11" max="11" width="16.83203125" style="1" bestFit="1" customWidth="1"/>
    <col min="12" max="12" width="17.6640625" style="1" bestFit="1" customWidth="1"/>
    <col min="13" max="13" width="19.33203125" style="1" bestFit="1" customWidth="1"/>
    <col min="14" max="14" width="16.1640625" style="1" bestFit="1" customWidth="1"/>
    <col min="15" max="15" width="16.5" bestFit="1" customWidth="1"/>
    <col min="16" max="16384" width="10.83203125" style="1"/>
  </cols>
  <sheetData>
    <row r="1" spans="1:15" s="5" customFormat="1" x14ac:dyDescent="0.2">
      <c r="A1" s="40" t="s">
        <v>0</v>
      </c>
      <c r="B1" s="41" t="s">
        <v>40</v>
      </c>
      <c r="C1" s="41" t="s">
        <v>153</v>
      </c>
      <c r="D1" s="41" t="s">
        <v>48</v>
      </c>
      <c r="E1" s="41" t="s">
        <v>1</v>
      </c>
      <c r="F1" s="41" t="s">
        <v>41</v>
      </c>
      <c r="G1" s="41" t="s">
        <v>2</v>
      </c>
      <c r="H1" s="41" t="s">
        <v>3</v>
      </c>
      <c r="I1" s="41" t="s">
        <v>4</v>
      </c>
      <c r="J1" s="41" t="s">
        <v>270</v>
      </c>
      <c r="K1" s="41" t="s">
        <v>45</v>
      </c>
      <c r="L1" s="41" t="s">
        <v>44</v>
      </c>
      <c r="M1" s="41" t="s">
        <v>281</v>
      </c>
      <c r="N1" s="41" t="s">
        <v>43</v>
      </c>
      <c r="O1" s="42" t="s">
        <v>42</v>
      </c>
    </row>
    <row r="2" spans="1:15" x14ac:dyDescent="0.2">
      <c r="A2" s="1" t="str" cm="1">
        <f t="array" ref="A2:O106">_xlfn.HSTACK(
 tbl_product_preparations[product_key],
 tbl_product_preparations[preparation_key],
 tbl_product_preparations[source_key],
 tbl_product_preparations[source_id],
 IF(
  ISNUMBER(tbl_product_preparations[kcal_per_100g]),
  IF(
   tbl_product_preparations[kcal_per_100g]=TRUNC(tbl_product_preparations[kcal_per_100g]),
   TEXT(tbl_product_preparations[kcal_per_100g],"0"),
   SUBSTITUTE(TEXT(tbl_product_preparations[kcal_per_100g],"0,############"),",",".")
  ),
  ""
 ),
 IF(
  ISNUMBER(tbl_product_preparations[kcal_per_100ml]),
  IF(
   tbl_product_preparations[kcal_per_100ml]=TRUNC(tbl_product_preparations[kcal_per_100ml]),
   TEXT(tbl_product_preparations[kcal_per_100ml],"0"),
   SUBSTITUTE(TEXT(tbl_product_preparations[kcal_per_100ml],"0,############"),",",".")
  ),
  ""
 ),
 IF(
  ISNUMBER(tbl_product_preparations[protein_per_100g]),
  IF(
   tbl_product_preparations[protein_per_100g]=TRUNC(tbl_product_preparations[protein_per_100g]),
   TEXT(tbl_product_preparations[protein_per_100g],"0"),
   SUBSTITUTE(TEXT(tbl_product_preparations[protein_per_100g],"0,############"),",",".")
  ),
  ""
 ),
 IF(
  ISNUMBER(tbl_product_preparations[carbs_per_100g]),
  IF(
   tbl_product_preparations[carbs_per_100g]=TRUNC(tbl_product_preparations[carbs_per_100g]),
   TEXT(tbl_product_preparations[carbs_per_100g],"0"),
   SUBSTITUTE(TEXT(tbl_product_preparations[carbs_per_100g],"0,############"),",",".")
  ),
  ""
 ),
 IF(
  ISNUMBER(tbl_product_preparations[fat_per_100g]),
  IF(
   tbl_product_preparations[fat_per_100g]=TRUNC(tbl_product_preparations[fat_per_100g]),
   TEXT(tbl_product_preparations[fat_per_100g],"0"),
   SUBSTITUTE(TEXT(tbl_product_preparations[fat_per_100g],"0,############"),",",".")
  ),
  ""
 ),
 IF(
  ISNUMBER(tbl_product_preparations[alcohol_per_100g]),
  IF(
   tbl_product_preparations[alcohol_per_100g]=TRUNC(tbl_product_preparations[alcohol_per_100g]),
   TEXT(tbl_product_preparations[alcohol_per_100g],"0"),
   SUBSTITUTE(TEXT(tbl_product_preparations[alcohol_per_100g],"0,############"),",",".")
  ),
  ""
 ),
 IF(
  ISNUMBER(tbl_product_preparations[fiber_per_100g]),
  IF(
   tbl_product_preparations[fiber_per_100g]=TRUNC(tbl_product_preparations[fiber_per_100g]),
   TEXT(tbl_product_preparations[fiber_per_100g],"0"),
   SUBSTITUTE(TEXT(tbl_product_preparations[fiber_per_100g],"0,############"),",",".")
  ),
  ""
 ),
 IF(
  ISNUMBER(tbl_product_preparations[sugar_per_100g]),
  IF(
   tbl_product_preparations[sugar_per_100g]=TRUNC(tbl_product_preparations[sugar_per_100g]),
   TEXT(tbl_product_preparations[sugar_per_100g],"0"),
   SUBSTITUTE(TEXT(tbl_product_preparations[sugar_per_100g],"0,############"),",",".")
  ),
  ""
 ),
 IF(
  ISNUMBER(tbl_product_preparations[sodium_per_100g]),
  IF(
   tbl_product_preparations[sodium_per_100g]=TRUNC(tbl_product_preparations[sodium_per_100g]),
   TEXT(tbl_product_preparations[sodium_per_100g],"0"),
   SUBSTITUTE(TEXT(tbl_product_preparations[sodium_per_100g],"0,############"),",",".")
  ),
  ""
 ),
 IF(
  ISNUMBER(tbl_product_preparations[salt_per_100g]),
  IF(
   tbl_product_preparations[salt_per_100g]=TRUNC(tbl_product_preparations[salt_per_100g]),
   TEXT(tbl_product_preparations[salt_per_100g],"0"),
   SUBSTITUTE(TEXT(tbl_product_preparations[salt_per_100g],"0,############"),",",".")
  ),
  ""
 ),
 IF(
  ISNUMBER(tbl_product_preparations[water_percent]),
  IF(
   tbl_product_preparations[water_percent]=TRUNC(tbl_product_preparations[water_percent]),
   TEXT(tbl_product_preparations[water_percent],"0"),
   SUBSTITUTE(TEXT(tbl_product_preparations[water_percent],"0,############"),",",".")
  ),
  ""
 )
)</f>
        <v>APPLE</v>
      </c>
      <c r="B2" s="1" t="str">
        <v>WITH_SKIN</v>
      </c>
      <c r="C2" s="1" t="str">
        <v>NEVO</v>
      </c>
      <c r="D2" s="1" t="str">
        <v>875</v>
      </c>
      <c r="E2" s="1" t="str">
        <v>56</v>
      </c>
      <c r="F2" s="1" t="str">
        <v/>
      </c>
      <c r="G2" s="1" t="str">
        <v>0.3</v>
      </c>
      <c r="H2" s="1" t="str">
        <v>12</v>
      </c>
      <c r="I2" s="1" t="str">
        <v>0.2</v>
      </c>
      <c r="J2" s="1" t="str">
        <v>0</v>
      </c>
      <c r="K2" s="1" t="str">
        <v>2</v>
      </c>
      <c r="L2" s="1" t="str">
        <v>0</v>
      </c>
      <c r="M2" s="1" t="str">
        <v>0.001</v>
      </c>
      <c r="N2" s="1" t="str">
        <v>0.003</v>
      </c>
      <c r="O2" t="str">
        <v>85.2</v>
      </c>
    </row>
    <row r="3" spans="1:15" x14ac:dyDescent="0.2">
      <c r="A3" s="1" t="str">
        <v>APPLE</v>
      </c>
      <c r="B3" s="1" t="str">
        <v>WITHOUT_SKIN</v>
      </c>
      <c r="C3" s="1" t="str">
        <v>NEVO</v>
      </c>
      <c r="D3" s="1" t="str">
        <v>147</v>
      </c>
      <c r="E3" s="1" t="str">
        <v>55</v>
      </c>
      <c r="F3" s="1" t="str">
        <v/>
      </c>
      <c r="G3" s="1" t="str">
        <v>0.2</v>
      </c>
      <c r="H3" s="1" t="str">
        <v>12</v>
      </c>
      <c r="I3" s="1" t="str">
        <v>0.1</v>
      </c>
      <c r="J3" s="1" t="str">
        <v>0</v>
      </c>
      <c r="K3" s="1" t="str">
        <v>1.6</v>
      </c>
      <c r="L3" s="1" t="str">
        <v>0</v>
      </c>
      <c r="M3" s="1" t="str">
        <v>0.001</v>
      </c>
      <c r="N3" s="1" t="str">
        <v>0.003</v>
      </c>
      <c r="O3" t="str">
        <v>85.8</v>
      </c>
    </row>
    <row r="4" spans="1:15" x14ac:dyDescent="0.2">
      <c r="A4" s="1" t="str">
        <v>APRICOT</v>
      </c>
      <c r="B4" s="1" t="str">
        <v>DEFAULT</v>
      </c>
      <c r="C4" s="1" t="str">
        <v>NEVO</v>
      </c>
      <c r="D4" s="1" t="str">
        <v>149</v>
      </c>
      <c r="E4" s="1" t="str">
        <v>44</v>
      </c>
      <c r="F4" s="1" t="str">
        <v/>
      </c>
      <c r="G4" s="1" t="str">
        <v>0.9</v>
      </c>
      <c r="H4" s="1" t="str">
        <v>8</v>
      </c>
      <c r="I4" s="1" t="str">
        <v>0.1</v>
      </c>
      <c r="J4" s="1" t="str">
        <v>0</v>
      </c>
      <c r="K4" s="1" t="str">
        <v>1.7</v>
      </c>
      <c r="L4" s="1" t="str">
        <v>8</v>
      </c>
      <c r="M4" s="1" t="str">
        <v>0</v>
      </c>
      <c r="N4" s="1" t="str">
        <v>0</v>
      </c>
      <c r="O4" t="str">
        <v>87.2</v>
      </c>
    </row>
    <row r="5" spans="1:15" x14ac:dyDescent="0.2">
      <c r="A5" s="1" t="str">
        <v>ARTICHOKE</v>
      </c>
      <c r="B5" s="1" t="str">
        <v>RAW</v>
      </c>
      <c r="C5" s="1" t="str">
        <v>NEVO</v>
      </c>
      <c r="D5" s="1" t="str">
        <v>1021</v>
      </c>
      <c r="E5" s="1" t="str">
        <v>49</v>
      </c>
      <c r="F5" s="1" t="str">
        <v/>
      </c>
      <c r="G5" s="1" t="str">
        <v>2</v>
      </c>
      <c r="H5" s="1" t="str">
        <v>9.5</v>
      </c>
      <c r="I5" s="1" t="str">
        <v>0</v>
      </c>
      <c r="J5" s="1" t="str">
        <v>0</v>
      </c>
      <c r="K5" s="1" t="str">
        <v>1.5</v>
      </c>
      <c r="L5" s="1" t="str">
        <v>9.5</v>
      </c>
      <c r="M5" s="1" t="str">
        <v>0.047</v>
      </c>
      <c r="N5" s="1" t="str">
        <v>0.118</v>
      </c>
      <c r="O5" t="str">
        <v>82</v>
      </c>
    </row>
    <row r="6" spans="1:15" x14ac:dyDescent="0.2">
      <c r="A6" s="1" t="str">
        <v>ARUGULA</v>
      </c>
      <c r="B6" s="1" t="str">
        <v>RAW</v>
      </c>
      <c r="C6" s="1" t="str">
        <v>NEVO</v>
      </c>
      <c r="D6" s="1" t="str">
        <v>2736</v>
      </c>
      <c r="E6" s="1" t="str">
        <v>22</v>
      </c>
      <c r="F6" s="1" t="str">
        <v/>
      </c>
      <c r="G6" s="1" t="str">
        <v>3.6</v>
      </c>
      <c r="H6" s="1" t="str">
        <v>0</v>
      </c>
      <c r="I6" s="1" t="str">
        <v>0.4</v>
      </c>
      <c r="J6" s="1" t="str">
        <v>0</v>
      </c>
      <c r="K6" s="1" t="str">
        <v>1.9</v>
      </c>
      <c r="L6" s="1" t="str">
        <v>0</v>
      </c>
      <c r="M6" s="1" t="str">
        <v>0.033</v>
      </c>
      <c r="N6" s="1" t="str">
        <v>0.083</v>
      </c>
      <c r="O6" t="str">
        <v>92.3</v>
      </c>
    </row>
    <row r="7" spans="1:15" x14ac:dyDescent="0.2">
      <c r="A7" s="1" t="str">
        <v>ASPARAGUS</v>
      </c>
      <c r="B7" s="1" t="str">
        <v>BOILED</v>
      </c>
      <c r="C7" s="1" t="str">
        <v>USDA_SR_LEGACY</v>
      </c>
      <c r="D7" s="1" t="str">
        <v>168390</v>
      </c>
      <c r="E7" s="1" t="str">
        <v>22</v>
      </c>
      <c r="F7" s="1" t="str">
        <v/>
      </c>
      <c r="G7" s="1" t="str">
        <v>2.4</v>
      </c>
      <c r="H7" s="1" t="str">
        <v>4.1</v>
      </c>
      <c r="I7" s="1" t="str">
        <v>0.2</v>
      </c>
      <c r="J7" s="1" t="str">
        <v>0</v>
      </c>
      <c r="K7" s="1" t="str">
        <v>2</v>
      </c>
      <c r="L7" s="1" t="str">
        <v>1.3</v>
      </c>
      <c r="M7" s="1" t="str">
        <v>0.014</v>
      </c>
      <c r="N7" s="1" t="str">
        <v>0.035</v>
      </c>
      <c r="O7" t="str">
        <v>92.6</v>
      </c>
    </row>
    <row r="8" spans="1:15" x14ac:dyDescent="0.2">
      <c r="A8" s="1" t="str">
        <v>ASPARAGUS</v>
      </c>
      <c r="B8" s="1" t="str">
        <v>RAW</v>
      </c>
      <c r="C8" s="1" t="str">
        <v>USDA_SR_LEGACY</v>
      </c>
      <c r="D8" s="1" t="str">
        <v>168389</v>
      </c>
      <c r="E8" s="1" t="str">
        <v>20</v>
      </c>
      <c r="F8" s="1" t="str">
        <v/>
      </c>
      <c r="G8" s="1" t="str">
        <v>2.2</v>
      </c>
      <c r="H8" s="1" t="str">
        <v>3.8</v>
      </c>
      <c r="I8" s="1" t="str">
        <v>0.1</v>
      </c>
      <c r="J8" s="1" t="str">
        <v>0</v>
      </c>
      <c r="K8" s="1" t="str">
        <v>2.1</v>
      </c>
      <c r="L8" s="1" t="str">
        <v>1.88</v>
      </c>
      <c r="M8" s="1" t="str">
        <v>0.002</v>
      </c>
      <c r="N8" s="1" t="str">
        <v>0.005</v>
      </c>
      <c r="O8" t="str">
        <v>93.2</v>
      </c>
    </row>
    <row r="9" spans="1:15" x14ac:dyDescent="0.2">
      <c r="A9" s="1" t="str">
        <v>ASPARAGUS_GREEN</v>
      </c>
      <c r="B9" s="1" t="str">
        <v>BOILED</v>
      </c>
      <c r="C9" s="1" t="str">
        <v>NEVO</v>
      </c>
      <c r="D9" s="1" t="str">
        <v>5493</v>
      </c>
      <c r="E9" s="1" t="str">
        <v>27</v>
      </c>
      <c r="F9" s="1" t="str">
        <v/>
      </c>
      <c r="G9" s="1" t="str">
        <v>2.7</v>
      </c>
      <c r="H9" s="1" t="str">
        <v>1.7</v>
      </c>
      <c r="I9" s="1" t="str">
        <v>0.3</v>
      </c>
      <c r="J9" s="1" t="str">
        <v>0</v>
      </c>
      <c r="K9" s="1" t="str">
        <v>2.2</v>
      </c>
      <c r="L9" s="1" t="str">
        <v>1.3</v>
      </c>
      <c r="M9" s="1" t="str">
        <v>0.003</v>
      </c>
      <c r="N9" s="1" t="str">
        <v>0.008</v>
      </c>
      <c r="O9" t="str">
        <v>92.7</v>
      </c>
    </row>
    <row r="10" spans="1:15" x14ac:dyDescent="0.2">
      <c r="A10" s="1" t="str">
        <v>ASPARAGUS_GREEN</v>
      </c>
      <c r="B10" s="1" t="str">
        <v>RAW</v>
      </c>
      <c r="C10" s="1" t="str">
        <v>NEVO</v>
      </c>
      <c r="D10" s="1" t="str">
        <v>3220</v>
      </c>
      <c r="E10" s="1" t="str">
        <v>28</v>
      </c>
      <c r="F10" s="1" t="str">
        <v/>
      </c>
      <c r="G10" s="1" t="str">
        <v>3</v>
      </c>
      <c r="H10" s="1" t="str">
        <v>2.8</v>
      </c>
      <c r="I10" s="1" t="str">
        <v>0.1</v>
      </c>
      <c r="J10" s="1" t="str">
        <v>0</v>
      </c>
      <c r="K10" s="1" t="str">
        <v>2.1</v>
      </c>
      <c r="L10" s="1" t="str">
        <v>2.8</v>
      </c>
      <c r="M10" s="1" t="str">
        <v>0.002</v>
      </c>
      <c r="N10" s="1" t="str">
        <v>0.005</v>
      </c>
      <c r="O10" t="str">
        <v>92</v>
      </c>
    </row>
    <row r="11" spans="1:15" x14ac:dyDescent="0.2">
      <c r="A11" s="1" t="str">
        <v>ASPARAGUS_WHITE</v>
      </c>
      <c r="B11" s="1" t="str">
        <v>BOILED</v>
      </c>
      <c r="C11" s="1" t="str">
        <v>NEVO</v>
      </c>
      <c r="D11" s="1" t="str">
        <v>957</v>
      </c>
      <c r="E11" s="1" t="str">
        <v>21</v>
      </c>
      <c r="F11" s="1" t="str">
        <v/>
      </c>
      <c r="G11" s="1" t="str">
        <v>1</v>
      </c>
      <c r="H11" s="1" t="str">
        <v>3</v>
      </c>
      <c r="I11" s="1" t="str">
        <v>0.3</v>
      </c>
      <c r="J11" s="1" t="str">
        <v>0</v>
      </c>
      <c r="K11" s="1" t="str">
        <v>1.2</v>
      </c>
      <c r="L11" s="1" t="str">
        <v>1</v>
      </c>
      <c r="M11" s="1" t="str">
        <v>0.005</v>
      </c>
      <c r="N11" s="1" t="str">
        <v>0.013</v>
      </c>
      <c r="O11" t="str">
        <v>94</v>
      </c>
    </row>
    <row r="12" spans="1:15" x14ac:dyDescent="0.2">
      <c r="A12" s="1" t="str">
        <v>ASPARAGUS_WHITE</v>
      </c>
      <c r="B12" s="1" t="str">
        <v>RAW</v>
      </c>
      <c r="C12" s="1" t="str">
        <v>NEVO</v>
      </c>
      <c r="D12" s="1" t="str">
        <v>9</v>
      </c>
      <c r="E12" s="1" t="str">
        <v>22</v>
      </c>
      <c r="F12" s="1" t="str">
        <v/>
      </c>
      <c r="G12" s="1" t="str">
        <v>1</v>
      </c>
      <c r="H12" s="1" t="str">
        <v>3</v>
      </c>
      <c r="I12" s="1" t="str">
        <v>0.3</v>
      </c>
      <c r="J12" s="1" t="str">
        <v>0</v>
      </c>
      <c r="K12" s="1" t="str">
        <v>1.7</v>
      </c>
      <c r="L12" s="1" t="str">
        <v>1</v>
      </c>
      <c r="M12" s="1" t="str">
        <v>0.001</v>
      </c>
      <c r="N12" s="1" t="str">
        <v>0.003</v>
      </c>
      <c r="O12" t="str">
        <v>94</v>
      </c>
    </row>
    <row r="13" spans="1:15" x14ac:dyDescent="0.2">
      <c r="A13" s="1" t="str">
        <v>AVOCADO</v>
      </c>
      <c r="B13" s="1" t="str">
        <v>DEFAULT</v>
      </c>
      <c r="C13" s="1" t="str">
        <v>NEVO</v>
      </c>
      <c r="D13" s="1" t="str">
        <v>689</v>
      </c>
      <c r="E13" s="1" t="str">
        <v>186</v>
      </c>
      <c r="F13" s="1" t="str">
        <v/>
      </c>
      <c r="G13" s="1" t="str">
        <v>2</v>
      </c>
      <c r="H13" s="1" t="str">
        <v>1.8</v>
      </c>
      <c r="I13" s="1" t="str">
        <v>18.4</v>
      </c>
      <c r="J13" s="1" t="str">
        <v>0</v>
      </c>
      <c r="K13" s="1" t="str">
        <v>7</v>
      </c>
      <c r="L13" s="1" t="str">
        <v>0</v>
      </c>
      <c r="M13" s="1" t="str">
        <v>0.005</v>
      </c>
      <c r="N13" s="1" t="str">
        <v>0.013</v>
      </c>
      <c r="O13" t="str">
        <v>72.3</v>
      </c>
    </row>
    <row r="14" spans="1:15" x14ac:dyDescent="0.2">
      <c r="A14" s="1" t="str">
        <v>BEETROOT</v>
      </c>
      <c r="B14" s="1" t="str">
        <v>BOILED</v>
      </c>
      <c r="C14" s="1" t="str">
        <v>NEVO</v>
      </c>
      <c r="D14" s="1" t="str">
        <v>958</v>
      </c>
      <c r="E14" s="1" t="str">
        <v>30</v>
      </c>
      <c r="F14" s="1" t="str">
        <v/>
      </c>
      <c r="G14" s="1" t="str">
        <v>1.2</v>
      </c>
      <c r="H14" s="1" t="str">
        <v>4.6</v>
      </c>
      <c r="I14" s="1" t="str">
        <v>0.1</v>
      </c>
      <c r="J14" s="1" t="str">
        <v>0</v>
      </c>
      <c r="K14" s="1" t="str">
        <v>2.9</v>
      </c>
      <c r="L14" s="1" t="str">
        <v>4.6</v>
      </c>
      <c r="M14" s="1" t="str">
        <v>0.062</v>
      </c>
      <c r="N14" s="1" t="str">
        <v>0.155</v>
      </c>
      <c r="O14" t="str">
        <v>88.5</v>
      </c>
    </row>
    <row r="15" spans="1:15" x14ac:dyDescent="0.2">
      <c r="A15" s="1" t="str">
        <v>BEETROOT</v>
      </c>
      <c r="B15" s="1" t="str">
        <v>RAW</v>
      </c>
      <c r="C15" s="1" t="str">
        <v>NEVO</v>
      </c>
      <c r="D15" s="1" t="str">
        <v>12</v>
      </c>
      <c r="E15" s="1" t="str">
        <v>38</v>
      </c>
      <c r="F15" s="1" t="str">
        <v/>
      </c>
      <c r="G15" s="1" t="str">
        <v>1.7</v>
      </c>
      <c r="H15" s="1" t="str">
        <v>6</v>
      </c>
      <c r="I15" s="1" t="str">
        <v>0.1</v>
      </c>
      <c r="J15" s="1" t="str">
        <v>0</v>
      </c>
      <c r="K15" s="1" t="str">
        <v>2.9</v>
      </c>
      <c r="L15" s="1" t="str">
        <v>6</v>
      </c>
      <c r="M15" s="1" t="str">
        <v>0.07</v>
      </c>
      <c r="N15" s="1" t="str">
        <v>0.175</v>
      </c>
      <c r="O15" t="str">
        <v>89</v>
      </c>
    </row>
    <row r="16" spans="1:15" x14ac:dyDescent="0.2">
      <c r="A16" s="1" t="str">
        <v>BEER_LAGER_5</v>
      </c>
      <c r="B16" s="1" t="str">
        <v>DEFAULT</v>
      </c>
      <c r="C16" s="1" t="str">
        <v>NEVO</v>
      </c>
      <c r="D16" s="1" t="str">
        <v>390</v>
      </c>
      <c r="E16" s="1" t="str">
        <v>44</v>
      </c>
      <c r="F16" s="1" t="str">
        <v>44.4</v>
      </c>
      <c r="G16" s="1" t="str">
        <v>0.4</v>
      </c>
      <c r="H16" s="1" t="str">
        <v>3</v>
      </c>
      <c r="I16" s="1" t="str">
        <v>0</v>
      </c>
      <c r="J16" s="1" t="str">
        <v>4.3</v>
      </c>
      <c r="K16" s="1" t="str">
        <v>0</v>
      </c>
      <c r="L16" s="1" t="str">
        <v>0</v>
      </c>
      <c r="M16" s="1" t="str">
        <v>0.003</v>
      </c>
      <c r="N16" s="1" t="str">
        <v>0.008</v>
      </c>
      <c r="O16" t="str">
        <v>92</v>
      </c>
    </row>
    <row r="17" spans="1:15" x14ac:dyDescent="0.2">
      <c r="A17" s="1" t="str">
        <v>BANANA</v>
      </c>
      <c r="B17" s="1" t="str">
        <v>DEFAULT</v>
      </c>
      <c r="C17" s="1" t="str">
        <v>NEVO</v>
      </c>
      <c r="D17" s="1" t="str">
        <v>151</v>
      </c>
      <c r="E17" s="1" t="str">
        <v>92</v>
      </c>
      <c r="F17" s="1" t="str">
        <v/>
      </c>
      <c r="G17" s="1" t="str">
        <v>1.1</v>
      </c>
      <c r="H17" s="1" t="str">
        <v>20</v>
      </c>
      <c r="I17" s="1" t="str">
        <v>0.3</v>
      </c>
      <c r="J17" s="1" t="str">
        <v>0</v>
      </c>
      <c r="K17" s="1" t="str">
        <v>1.9</v>
      </c>
      <c r="L17" s="1" t="str">
        <v>0</v>
      </c>
      <c r="M17" s="1" t="str">
        <v>0</v>
      </c>
      <c r="N17" s="1" t="str">
        <v>0</v>
      </c>
      <c r="O17" t="str">
        <v>75.3</v>
      </c>
    </row>
    <row r="18" spans="1:15" x14ac:dyDescent="0.2">
      <c r="A18" s="1" t="str">
        <v>BELL_PEPPER</v>
      </c>
      <c r="B18" s="1" t="str">
        <v>BOILED</v>
      </c>
      <c r="C18" s="1" t="str">
        <v>NEVO</v>
      </c>
      <c r="D18" s="1" t="str">
        <v>2743</v>
      </c>
      <c r="E18" s="1" t="str">
        <v>27</v>
      </c>
      <c r="F18" s="1" t="str">
        <v/>
      </c>
      <c r="G18" s="1" t="str">
        <v>0.9</v>
      </c>
      <c r="H18" s="1" t="str">
        <v>4.8</v>
      </c>
      <c r="I18" s="1" t="str">
        <v>0.1</v>
      </c>
      <c r="J18" s="1" t="str">
        <v>0</v>
      </c>
      <c r="K18" s="1" t="str">
        <v>1.8</v>
      </c>
      <c r="L18" s="1" t="str">
        <v>4.1</v>
      </c>
      <c r="M18" s="1" t="str">
        <v>0.002</v>
      </c>
      <c r="N18" s="1" t="str">
        <v>0.005</v>
      </c>
      <c r="O18" t="str">
        <v>92.1</v>
      </c>
    </row>
    <row r="19" spans="1:15" x14ac:dyDescent="0.2">
      <c r="A19" s="1" t="str">
        <v>BELL_PEPPER</v>
      </c>
      <c r="B19" s="1" t="str">
        <v>RAW</v>
      </c>
      <c r="C19" s="1" t="str">
        <v>NEVO</v>
      </c>
      <c r="D19" s="1" t="str">
        <v>2742</v>
      </c>
      <c r="E19" s="1" t="str">
        <v>25</v>
      </c>
      <c r="F19" s="1" t="str">
        <v/>
      </c>
      <c r="G19" s="1" t="str">
        <v>0.8</v>
      </c>
      <c r="H19" s="1" t="str">
        <v>4.2</v>
      </c>
      <c r="I19" s="1" t="str">
        <v>0.1</v>
      </c>
      <c r="J19" s="1" t="str">
        <v>0</v>
      </c>
      <c r="K19" s="1" t="str">
        <v>1.9</v>
      </c>
      <c r="L19" s="1" t="str">
        <v>4.2</v>
      </c>
      <c r="M19" s="1" t="str">
        <v>0.001</v>
      </c>
      <c r="N19" s="1" t="str">
        <v>0.003</v>
      </c>
      <c r="O19" t="str">
        <v>91.9</v>
      </c>
    </row>
    <row r="20" spans="1:15" x14ac:dyDescent="0.2">
      <c r="A20" s="1" t="str">
        <v>BELL_PEPPER_GREEN</v>
      </c>
      <c r="B20" s="1" t="str">
        <v>BOILED</v>
      </c>
      <c r="C20" s="1" t="str">
        <v>NEVO</v>
      </c>
      <c r="D20" s="1" t="str">
        <v>32</v>
      </c>
      <c r="E20" s="1" t="str">
        <v>17</v>
      </c>
      <c r="F20" s="1" t="str">
        <v/>
      </c>
      <c r="G20" s="1" t="str">
        <v>0.6</v>
      </c>
      <c r="H20" s="1" t="str">
        <v>2.3</v>
      </c>
      <c r="I20" s="1" t="str">
        <v>0.2</v>
      </c>
      <c r="J20" s="1" t="str">
        <v>0</v>
      </c>
      <c r="K20" s="1" t="str">
        <v>2.2</v>
      </c>
      <c r="L20" s="1" t="str">
        <v>2</v>
      </c>
      <c r="M20" s="1" t="str">
        <v>0.002</v>
      </c>
      <c r="N20" s="1" t="str">
        <v>0.005</v>
      </c>
      <c r="O20" t="str">
        <v>94.5</v>
      </c>
    </row>
    <row r="21" spans="1:15" x14ac:dyDescent="0.2">
      <c r="A21" s="1" t="str">
        <v>BELL_PEPPER_GREEN</v>
      </c>
      <c r="B21" s="1" t="str">
        <v>RAW</v>
      </c>
      <c r="C21" s="1" t="str">
        <v>NEVO</v>
      </c>
      <c r="D21" s="1" t="str">
        <v>31</v>
      </c>
      <c r="E21" s="1" t="str">
        <v>19</v>
      </c>
      <c r="F21" s="1" t="str">
        <v/>
      </c>
      <c r="G21" s="1" t="str">
        <v>0.8</v>
      </c>
      <c r="H21" s="1" t="str">
        <v>2.5</v>
      </c>
      <c r="I21" s="1" t="str">
        <v>0.1</v>
      </c>
      <c r="J21" s="1" t="str">
        <v>0</v>
      </c>
      <c r="K21" s="1" t="str">
        <v>2.5</v>
      </c>
      <c r="L21" s="1" t="str">
        <v>2.5</v>
      </c>
      <c r="M21" s="1" t="str">
        <v>0</v>
      </c>
      <c r="N21" s="1" t="str">
        <v>0</v>
      </c>
      <c r="O21" t="str">
        <v>94.6</v>
      </c>
    </row>
    <row r="22" spans="1:15" x14ac:dyDescent="0.2">
      <c r="A22" s="1" t="str">
        <v>BELL_PEPPER_ORANGE</v>
      </c>
      <c r="B22" s="1" t="str">
        <v>RAW</v>
      </c>
      <c r="C22" s="1" t="str">
        <v>NEVO</v>
      </c>
      <c r="D22" s="1" t="str">
        <v>3048</v>
      </c>
      <c r="E22" s="1" t="str">
        <v>28</v>
      </c>
      <c r="F22" s="1" t="str">
        <v/>
      </c>
      <c r="G22" s="1" t="str">
        <v>0.8</v>
      </c>
      <c r="H22" s="1" t="str">
        <v>4.7</v>
      </c>
      <c r="I22" s="1" t="str">
        <v>0.3</v>
      </c>
      <c r="J22" s="1" t="str">
        <v>0</v>
      </c>
      <c r="K22" s="1" t="str">
        <v>1.7</v>
      </c>
      <c r="L22" s="1" t="str">
        <v>4.7</v>
      </c>
      <c r="M22" s="1" t="str">
        <v>0</v>
      </c>
      <c r="N22" s="1" t="str">
        <v>0</v>
      </c>
      <c r="O22" t="str">
        <v>92.2</v>
      </c>
    </row>
    <row r="23" spans="1:15" x14ac:dyDescent="0.2">
      <c r="A23" s="1" t="str">
        <v>BELL_PEPPER_RED</v>
      </c>
      <c r="B23" s="1" t="str">
        <v>BOILED</v>
      </c>
      <c r="C23" s="1" t="str">
        <v>NEVO</v>
      </c>
      <c r="D23" s="1" t="str">
        <v>885</v>
      </c>
      <c r="E23" s="1" t="str">
        <v>28</v>
      </c>
      <c r="F23" s="1" t="str">
        <v/>
      </c>
      <c r="G23" s="1" t="str">
        <v>0.9</v>
      </c>
      <c r="H23" s="1" t="str">
        <v>5.1</v>
      </c>
      <c r="I23" s="1" t="str">
        <v>0.1</v>
      </c>
      <c r="J23" s="1" t="str">
        <v>0</v>
      </c>
      <c r="K23" s="1" t="str">
        <v>1.7</v>
      </c>
      <c r="L23" s="1" t="str">
        <v>4.2</v>
      </c>
      <c r="M23" s="1" t="str">
        <v>0.002</v>
      </c>
      <c r="N23" s="1" t="str">
        <v>0.005</v>
      </c>
      <c r="O23" t="str">
        <v>91.9</v>
      </c>
    </row>
    <row r="24" spans="1:15" x14ac:dyDescent="0.2">
      <c r="A24" s="1" t="str">
        <v>BELL_PEPPER_RED</v>
      </c>
      <c r="B24" s="1" t="str">
        <v>RAW</v>
      </c>
      <c r="C24" s="1" t="str">
        <v>NEVO</v>
      </c>
      <c r="D24" s="1" t="str">
        <v>884</v>
      </c>
      <c r="E24" s="1" t="str">
        <v>25</v>
      </c>
      <c r="F24" s="1" t="str">
        <v/>
      </c>
      <c r="G24" s="1" t="str">
        <v>0.8</v>
      </c>
      <c r="H24" s="1" t="str">
        <v>4.3</v>
      </c>
      <c r="I24" s="1" t="str">
        <v>0.1</v>
      </c>
      <c r="J24" s="1" t="str">
        <v>0</v>
      </c>
      <c r="K24" s="1" t="str">
        <v>1.8</v>
      </c>
      <c r="L24" s="1" t="str">
        <v>4.3</v>
      </c>
      <c r="M24" s="1" t="str">
        <v>0.001</v>
      </c>
      <c r="N24" s="1" t="str">
        <v>0.003</v>
      </c>
      <c r="O24" t="str">
        <v>91.6</v>
      </c>
    </row>
    <row r="25" spans="1:15" x14ac:dyDescent="0.2">
      <c r="A25" s="1" t="str">
        <v>BELL_PEPPER_YELLOW</v>
      </c>
      <c r="B25" s="1" t="str">
        <v>BOILED</v>
      </c>
      <c r="C25" s="1" t="str">
        <v>NEVO</v>
      </c>
      <c r="D25" s="1" t="str">
        <v>2741</v>
      </c>
      <c r="E25" s="1" t="str">
        <v>27</v>
      </c>
      <c r="F25" s="1" t="str">
        <v/>
      </c>
      <c r="G25" s="1" t="str">
        <v>0.8</v>
      </c>
      <c r="H25" s="1" t="str">
        <v>4.6</v>
      </c>
      <c r="I25" s="1" t="str">
        <v>0.1</v>
      </c>
      <c r="J25" s="1" t="str">
        <v>0</v>
      </c>
      <c r="K25" s="1" t="str">
        <v>2.2</v>
      </c>
      <c r="L25" s="1" t="str">
        <v>4.6</v>
      </c>
      <c r="M25" s="1" t="str">
        <v>0.001</v>
      </c>
      <c r="N25" s="1" t="str">
        <v>0.003</v>
      </c>
      <c r="O25" t="str">
        <v>92.2</v>
      </c>
    </row>
    <row r="26" spans="1:15" x14ac:dyDescent="0.2">
      <c r="A26" s="1" t="str">
        <v>BELL_PEPPER_YELLOW</v>
      </c>
      <c r="B26" s="1" t="str">
        <v>RAW</v>
      </c>
      <c r="C26" s="1" t="str">
        <v>NEVO</v>
      </c>
      <c r="D26" s="1" t="str">
        <v>2740</v>
      </c>
      <c r="E26" s="1" t="str">
        <v>25</v>
      </c>
      <c r="F26" s="1" t="str">
        <v/>
      </c>
      <c r="G26" s="1" t="str">
        <v>0.7</v>
      </c>
      <c r="H26" s="1" t="str">
        <v>3.9</v>
      </c>
      <c r="I26" s="1" t="str">
        <v>0.2</v>
      </c>
      <c r="J26" s="1" t="str">
        <v>0</v>
      </c>
      <c r="K26" s="1" t="str">
        <v>2.5</v>
      </c>
      <c r="L26" s="1" t="str">
        <v>3.9</v>
      </c>
      <c r="M26" s="1" t="str">
        <v>0.001</v>
      </c>
      <c r="N26" s="1" t="str">
        <v>0.003</v>
      </c>
      <c r="O26" t="str">
        <v>92.7</v>
      </c>
    </row>
    <row r="27" spans="1:15" x14ac:dyDescent="0.2">
      <c r="A27" s="1" t="str">
        <v>BLACKBERRY</v>
      </c>
      <c r="B27" s="1" t="str">
        <v>DEFAULT</v>
      </c>
      <c r="C27" s="1" t="str">
        <v>NEVO</v>
      </c>
      <c r="D27" s="1" t="str">
        <v>157</v>
      </c>
      <c r="E27" s="1" t="str">
        <v>37</v>
      </c>
      <c r="F27" s="1" t="str">
        <v/>
      </c>
      <c r="G27" s="1" t="str">
        <v>0.9</v>
      </c>
      <c r="H27" s="1" t="str">
        <v>5.1</v>
      </c>
      <c r="I27" s="1" t="str">
        <v>0.2</v>
      </c>
      <c r="J27" s="1" t="str">
        <v>0</v>
      </c>
      <c r="K27" s="1" t="str">
        <v>3.1</v>
      </c>
      <c r="L27" s="1" t="str">
        <v>5.1</v>
      </c>
      <c r="M27" s="1" t="str">
        <v>0.002</v>
      </c>
      <c r="N27" s="1" t="str">
        <v>0.005</v>
      </c>
      <c r="O27" t="str">
        <v>87</v>
      </c>
    </row>
    <row r="28" spans="1:15" x14ac:dyDescent="0.2">
      <c r="A28" s="1" t="str">
        <v>BLUEBERRY</v>
      </c>
      <c r="B28" s="1" t="str">
        <v>DEFAULT</v>
      </c>
      <c r="C28" s="1" t="str">
        <v>NEVO</v>
      </c>
      <c r="D28" s="1" t="str">
        <v>152</v>
      </c>
      <c r="E28" s="1" t="str">
        <v>52</v>
      </c>
      <c r="F28" s="1" t="str">
        <v/>
      </c>
      <c r="G28" s="1" t="str">
        <v>0.7</v>
      </c>
      <c r="H28" s="1" t="str">
        <v>11</v>
      </c>
      <c r="I28" s="1" t="str">
        <v>0</v>
      </c>
      <c r="J28" s="1" t="str">
        <v>0</v>
      </c>
      <c r="K28" s="1" t="str">
        <v>2.4</v>
      </c>
      <c r="L28" s="1" t="str">
        <v>10</v>
      </c>
      <c r="M28" s="1" t="str">
        <v>0.001</v>
      </c>
      <c r="N28" s="1" t="str">
        <v>0.003</v>
      </c>
      <c r="O28" t="str">
        <v>85.6</v>
      </c>
    </row>
    <row r="29" spans="1:15" x14ac:dyDescent="0.2">
      <c r="A29" s="1" t="str">
        <v>BROCCOLI</v>
      </c>
      <c r="B29" s="1" t="str">
        <v>BOILED</v>
      </c>
      <c r="C29" s="1" t="str">
        <v>NEVO</v>
      </c>
      <c r="D29" s="1" t="str">
        <v>920</v>
      </c>
      <c r="E29" s="1" t="str">
        <v>27</v>
      </c>
      <c r="F29" s="1" t="str">
        <v/>
      </c>
      <c r="G29" s="1" t="str">
        <v>3.9</v>
      </c>
      <c r="H29" s="1" t="str">
        <v>0.8</v>
      </c>
      <c r="I29" s="1" t="str">
        <v>0.3</v>
      </c>
      <c r="J29" s="1" t="str">
        <v>0</v>
      </c>
      <c r="K29" s="1" t="str">
        <v>2.7</v>
      </c>
      <c r="L29" s="1" t="str">
        <v>0</v>
      </c>
      <c r="M29" s="1" t="str">
        <v>0.005</v>
      </c>
      <c r="N29" s="1" t="str">
        <v>0.013</v>
      </c>
      <c r="O29" t="str">
        <v>91.4</v>
      </c>
    </row>
    <row r="30" spans="1:15" x14ac:dyDescent="0.2">
      <c r="A30" s="1" t="str">
        <v>BROCCOLI</v>
      </c>
      <c r="B30" s="1" t="str">
        <v>RAW</v>
      </c>
      <c r="C30" s="1" t="str">
        <v>NEVO</v>
      </c>
      <c r="D30" s="1" t="str">
        <v>921</v>
      </c>
      <c r="E30" s="1" t="str">
        <v>27</v>
      </c>
      <c r="F30" s="1" t="str">
        <v/>
      </c>
      <c r="G30" s="1" t="str">
        <v>2.9</v>
      </c>
      <c r="H30" s="1" t="str">
        <v>0.7</v>
      </c>
      <c r="I30" s="1" t="str">
        <v>0.7</v>
      </c>
      <c r="J30" s="1" t="str">
        <v>0</v>
      </c>
      <c r="K30" s="1" t="str">
        <v>3.1</v>
      </c>
      <c r="L30" s="1" t="str">
        <v>0</v>
      </c>
      <c r="M30" s="1" t="str">
        <v>0.005</v>
      </c>
      <c r="N30" s="1" t="str">
        <v>0.013</v>
      </c>
      <c r="O30" t="str">
        <v>92.1</v>
      </c>
    </row>
    <row r="31" spans="1:15" x14ac:dyDescent="0.2">
      <c r="A31" s="1" t="str">
        <v>BRUSSELS_SPROUTS</v>
      </c>
      <c r="B31" s="1" t="str">
        <v>BOILED</v>
      </c>
      <c r="C31" s="1" t="str">
        <v>NEVO</v>
      </c>
      <c r="D31" s="1" t="str">
        <v>55</v>
      </c>
      <c r="E31" s="1" t="str">
        <v>47</v>
      </c>
      <c r="F31" s="1" t="str">
        <v/>
      </c>
      <c r="G31" s="1" t="str">
        <v>2.3</v>
      </c>
      <c r="H31" s="1" t="str">
        <v>5.6</v>
      </c>
      <c r="I31" s="1" t="str">
        <v>0.7</v>
      </c>
      <c r="J31" s="1" t="str">
        <v>0</v>
      </c>
      <c r="K31" s="1" t="str">
        <v>4.5</v>
      </c>
      <c r="L31" s="1" t="str">
        <v>1.4</v>
      </c>
      <c r="M31" s="1" t="str">
        <v>0.007</v>
      </c>
      <c r="N31" s="1" t="str">
        <v>0.018</v>
      </c>
      <c r="O31" t="str">
        <v>86</v>
      </c>
    </row>
    <row r="32" spans="1:15" x14ac:dyDescent="0.2">
      <c r="A32" s="1" t="str">
        <v>BRUSSELS_SPROUTS</v>
      </c>
      <c r="B32" s="1" t="str">
        <v>RAW</v>
      </c>
      <c r="C32" s="1" t="str">
        <v>NEVO</v>
      </c>
      <c r="D32" s="1" t="str">
        <v>564</v>
      </c>
      <c r="E32" s="1" t="str">
        <v>46</v>
      </c>
      <c r="F32" s="1" t="str">
        <v/>
      </c>
      <c r="G32" s="1" t="str">
        <v>2.3</v>
      </c>
      <c r="H32" s="1" t="str">
        <v>5.6</v>
      </c>
      <c r="I32" s="1" t="str">
        <v>0.7</v>
      </c>
      <c r="J32" s="1" t="str">
        <v>0</v>
      </c>
      <c r="K32" s="1" t="str">
        <v>4.1</v>
      </c>
      <c r="L32" s="1" t="str">
        <v>1.4</v>
      </c>
      <c r="M32" s="1" t="str">
        <v>0.007</v>
      </c>
      <c r="N32" s="1" t="str">
        <v>0.018</v>
      </c>
      <c r="O32" t="str">
        <v>86</v>
      </c>
    </row>
    <row r="33" spans="1:15" x14ac:dyDescent="0.2">
      <c r="A33" s="1" t="str">
        <v>CABBAGE_RED</v>
      </c>
      <c r="B33" s="1" t="str">
        <v>BOILED</v>
      </c>
      <c r="C33" s="1" t="str">
        <v>NEVO</v>
      </c>
      <c r="D33" s="1" t="str">
        <v>42</v>
      </c>
      <c r="E33" s="1" t="str">
        <v>23</v>
      </c>
      <c r="F33" s="1" t="str">
        <v/>
      </c>
      <c r="G33" s="1" t="str">
        <v>1.3</v>
      </c>
      <c r="H33" s="1" t="str">
        <v>3</v>
      </c>
      <c r="I33" s="1" t="str">
        <v>0</v>
      </c>
      <c r="J33" s="1" t="str">
        <v>0</v>
      </c>
      <c r="K33" s="1" t="str">
        <v>2.9</v>
      </c>
      <c r="L33" s="1" t="str">
        <v>3</v>
      </c>
      <c r="M33" s="1" t="str">
        <v>0.009</v>
      </c>
      <c r="N33" s="1" t="str">
        <v>0.023</v>
      </c>
      <c r="O33" t="str">
        <v>89.8</v>
      </c>
    </row>
    <row r="34" spans="1:15" x14ac:dyDescent="0.2">
      <c r="A34" s="1" t="str">
        <v>CABBAGE_RED</v>
      </c>
      <c r="B34" s="1" t="str">
        <v>RAW</v>
      </c>
      <c r="C34" s="1" t="str">
        <v>NEVO</v>
      </c>
      <c r="D34" s="1" t="str">
        <v>41</v>
      </c>
      <c r="E34" s="1" t="str">
        <v>27</v>
      </c>
      <c r="F34" s="1" t="str">
        <v/>
      </c>
      <c r="G34" s="1" t="str">
        <v>2</v>
      </c>
      <c r="H34" s="1" t="str">
        <v>3</v>
      </c>
      <c r="I34" s="1" t="str">
        <v>0</v>
      </c>
      <c r="J34" s="1" t="str">
        <v>0</v>
      </c>
      <c r="K34" s="1" t="str">
        <v>3.6</v>
      </c>
      <c r="L34" s="1" t="str">
        <v>3</v>
      </c>
      <c r="M34" s="1" t="str">
        <v>0.009</v>
      </c>
      <c r="N34" s="1" t="str">
        <v>0.023</v>
      </c>
      <c r="O34" t="str">
        <v>91</v>
      </c>
    </row>
    <row r="35" spans="1:15" x14ac:dyDescent="0.2">
      <c r="A35" s="1" t="str">
        <v>CABBAGE_SAVOY</v>
      </c>
      <c r="B35" s="1" t="str">
        <v>BOILED</v>
      </c>
      <c r="C35" s="1" t="str">
        <v>NEVO</v>
      </c>
      <c r="D35" s="1" t="str">
        <v>25</v>
      </c>
      <c r="E35" s="1" t="str">
        <v>21</v>
      </c>
      <c r="F35" s="1" t="str">
        <v/>
      </c>
      <c r="G35" s="1" t="str">
        <v>1.5</v>
      </c>
      <c r="H35" s="1" t="str">
        <v>2.3</v>
      </c>
      <c r="I35" s="1" t="str">
        <v>0.2</v>
      </c>
      <c r="J35" s="1" t="str">
        <v>0</v>
      </c>
      <c r="K35" s="1" t="str">
        <v>2.2</v>
      </c>
      <c r="L35" s="1" t="str">
        <v>2.3</v>
      </c>
      <c r="M35" s="1" t="str">
        <v>0.005</v>
      </c>
      <c r="N35" s="1" t="str">
        <v>0.013</v>
      </c>
      <c r="O35" t="str">
        <v>93.8</v>
      </c>
    </row>
    <row r="36" spans="1:15" x14ac:dyDescent="0.2">
      <c r="A36" s="1" t="str">
        <v>CABBAGE_SAVOY</v>
      </c>
      <c r="B36" s="1" t="str">
        <v>RAW</v>
      </c>
      <c r="C36" s="1" t="str">
        <v>NEVO</v>
      </c>
      <c r="D36" s="1" t="str">
        <v>24</v>
      </c>
      <c r="E36" s="1" t="str">
        <v>36</v>
      </c>
      <c r="F36" s="1" t="str">
        <v/>
      </c>
      <c r="G36" s="1" t="str">
        <v>2.4</v>
      </c>
      <c r="H36" s="1" t="str">
        <v>4.1</v>
      </c>
      <c r="I36" s="1" t="str">
        <v>0.2</v>
      </c>
      <c r="J36" s="1" t="str">
        <v>0</v>
      </c>
      <c r="K36" s="1" t="str">
        <v>4.1</v>
      </c>
      <c r="L36" s="1" t="str">
        <v>4.1</v>
      </c>
      <c r="M36" s="1" t="str">
        <v>0.007</v>
      </c>
      <c r="N36" s="1" t="str">
        <v>0.018</v>
      </c>
      <c r="O36" t="str">
        <v>89.2</v>
      </c>
    </row>
    <row r="37" spans="1:15" x14ac:dyDescent="0.2">
      <c r="A37" s="1" t="str">
        <v>CABBAGE_WHITE</v>
      </c>
      <c r="B37" s="1" t="str">
        <v>BOILED</v>
      </c>
      <c r="C37" s="1" t="str">
        <v>NEVO</v>
      </c>
      <c r="D37" s="1" t="str">
        <v>70</v>
      </c>
      <c r="E37" s="1" t="str">
        <v>16</v>
      </c>
      <c r="F37" s="1" t="str">
        <v/>
      </c>
      <c r="G37" s="1" t="str">
        <v>0.9</v>
      </c>
      <c r="H37" s="1" t="str">
        <v>1.8</v>
      </c>
      <c r="I37" s="1" t="str">
        <v>0</v>
      </c>
      <c r="J37" s="1" t="str">
        <v>0</v>
      </c>
      <c r="K37" s="1" t="str">
        <v>2.8</v>
      </c>
      <c r="L37" s="1" t="str">
        <v>1.8</v>
      </c>
      <c r="M37" s="1" t="str">
        <v>0.015</v>
      </c>
      <c r="N37" s="1" t="str">
        <v>0.038</v>
      </c>
      <c r="O37" t="str">
        <v>94.1</v>
      </c>
    </row>
    <row r="38" spans="1:15" x14ac:dyDescent="0.2">
      <c r="A38" s="1" t="str">
        <v>CABBAGE_WHITE</v>
      </c>
      <c r="B38" s="1" t="str">
        <v>RAW</v>
      </c>
      <c r="C38" s="1" t="str">
        <v>NEVO</v>
      </c>
      <c r="D38" s="1" t="str">
        <v>69</v>
      </c>
      <c r="E38" s="1" t="str">
        <v>30</v>
      </c>
      <c r="F38" s="1" t="str">
        <v/>
      </c>
      <c r="G38" s="1" t="str">
        <v>2</v>
      </c>
      <c r="H38" s="1" t="str">
        <v>4</v>
      </c>
      <c r="I38" s="1" t="str">
        <v>0</v>
      </c>
      <c r="J38" s="1" t="str">
        <v>0</v>
      </c>
      <c r="K38" s="1" t="str">
        <v>2.8</v>
      </c>
      <c r="L38" s="1" t="str">
        <v>4</v>
      </c>
      <c r="M38" s="1" t="str">
        <v>0.008</v>
      </c>
      <c r="N38" s="1" t="str">
        <v>0.02</v>
      </c>
      <c r="O38" t="str">
        <v>91</v>
      </c>
    </row>
    <row r="39" spans="1:15" x14ac:dyDescent="0.2">
      <c r="A39" s="1" t="str">
        <v>CAPPUCCINO</v>
      </c>
      <c r="B39" s="1" t="str">
        <v>FRESH_PREPARED</v>
      </c>
      <c r="C39" s="1" t="str">
        <v>NEVO</v>
      </c>
      <c r="D39" s="1" t="str">
        <v>2476</v>
      </c>
      <c r="E39" s="1" t="str">
        <v>31</v>
      </c>
      <c r="F39" s="1" t="str">
        <v>30.1</v>
      </c>
      <c r="G39" s="1" t="str">
        <v>1.8</v>
      </c>
      <c r="H39" s="1" t="str">
        <v>2.3</v>
      </c>
      <c r="I39" s="1" t="str">
        <v>1.7</v>
      </c>
      <c r="J39" s="1" t="str">
        <v>0</v>
      </c>
      <c r="K39" s="1" t="str">
        <v>0</v>
      </c>
      <c r="L39" s="1" t="str">
        <v>0</v>
      </c>
      <c r="M39" s="1" t="str">
        <v>0.022</v>
      </c>
      <c r="N39" s="1" t="str">
        <v>0.055</v>
      </c>
      <c r="O39" t="str">
        <v>93.3</v>
      </c>
    </row>
    <row r="40" spans="1:15" x14ac:dyDescent="0.2">
      <c r="A40" s="1" t="str">
        <v>CAPPUCCINO</v>
      </c>
      <c r="B40" s="1" t="str">
        <v>INSTANT_PREPARED</v>
      </c>
      <c r="C40" s="1" t="str">
        <v>NEVO</v>
      </c>
      <c r="D40" s="1" t="str">
        <v>2477</v>
      </c>
      <c r="E40" s="1" t="str">
        <v>37</v>
      </c>
      <c r="F40" s="1" t="str">
        <v>35.9</v>
      </c>
      <c r="G40" s="1" t="str">
        <v>1.2</v>
      </c>
      <c r="H40" s="1" t="str">
        <v>4.7</v>
      </c>
      <c r="I40" s="1" t="str">
        <v>1.3</v>
      </c>
      <c r="J40" s="1" t="str">
        <v>0</v>
      </c>
      <c r="K40" s="1" t="str">
        <v>0.3</v>
      </c>
      <c r="L40" s="1" t="str">
        <v>1.8</v>
      </c>
      <c r="M40" s="1" t="str">
        <v>0.03</v>
      </c>
      <c r="N40" s="1" t="str">
        <v>0.075</v>
      </c>
      <c r="O40" t="str">
        <v>92.4</v>
      </c>
    </row>
    <row r="41" spans="1:15" x14ac:dyDescent="0.2">
      <c r="A41" s="1" t="str">
        <v>CARROT</v>
      </c>
      <c r="B41" s="1" t="str">
        <v>BOILED</v>
      </c>
      <c r="C41" s="1" t="str">
        <v>NEVO</v>
      </c>
      <c r="D41" s="1" t="str">
        <v>72</v>
      </c>
      <c r="E41" s="1" t="str">
        <v>32</v>
      </c>
      <c r="F41" s="1" t="str">
        <v/>
      </c>
      <c r="G41" s="1" t="str">
        <v>0.7</v>
      </c>
      <c r="H41" s="1" t="str">
        <v>5.2</v>
      </c>
      <c r="I41" s="1" t="str">
        <v>0.3</v>
      </c>
      <c r="J41" s="1" t="str">
        <v>0</v>
      </c>
      <c r="K41" s="1" t="str">
        <v>2.9</v>
      </c>
      <c r="L41" s="1" t="str">
        <v>4.9</v>
      </c>
      <c r="M41" s="1" t="str">
        <v>0.026</v>
      </c>
      <c r="N41" s="1" t="str">
        <v>0.065</v>
      </c>
      <c r="O41" t="str">
        <v>90.4</v>
      </c>
    </row>
    <row r="42" spans="1:15" x14ac:dyDescent="0.2">
      <c r="A42" s="1" t="str">
        <v>CARROT</v>
      </c>
      <c r="B42" s="1" t="str">
        <v>RAW</v>
      </c>
      <c r="C42" s="1" t="str">
        <v>NEVO</v>
      </c>
      <c r="D42" s="1" t="str">
        <v>71</v>
      </c>
      <c r="E42" s="1" t="str">
        <v>32</v>
      </c>
      <c r="F42" s="1" t="str">
        <v/>
      </c>
      <c r="G42" s="1" t="str">
        <v>0.8</v>
      </c>
      <c r="H42" s="1" t="str">
        <v>5.3</v>
      </c>
      <c r="I42" s="1" t="str">
        <v>0.3</v>
      </c>
      <c r="J42" s="1" t="str">
        <v>0</v>
      </c>
      <c r="K42" s="1" t="str">
        <v>2.8</v>
      </c>
      <c r="L42" s="1" t="str">
        <v>4.2</v>
      </c>
      <c r="M42" s="1" t="str">
        <v>0.028</v>
      </c>
      <c r="N42" s="1" t="str">
        <v>0.07</v>
      </c>
      <c r="O42" t="str">
        <v>90.2</v>
      </c>
    </row>
    <row r="43" spans="1:15" x14ac:dyDescent="0.2">
      <c r="A43" s="1" t="str">
        <v>CAULIFLOWER</v>
      </c>
      <c r="B43" s="1" t="str">
        <v>BOILED</v>
      </c>
      <c r="C43" s="1" t="str">
        <v>NEVO</v>
      </c>
      <c r="D43" s="1" t="str">
        <v>15</v>
      </c>
      <c r="E43" s="1" t="str">
        <v>22</v>
      </c>
      <c r="F43" s="1" t="str">
        <v/>
      </c>
      <c r="G43" s="1" t="str">
        <v>1.8</v>
      </c>
      <c r="H43" s="1" t="str">
        <v>1.8</v>
      </c>
      <c r="I43" s="1" t="str">
        <v>0.4</v>
      </c>
      <c r="J43" s="1" t="str">
        <v>0</v>
      </c>
      <c r="K43" s="1" t="str">
        <v>2.3</v>
      </c>
      <c r="L43" s="1" t="str">
        <v>0</v>
      </c>
      <c r="M43" s="1" t="str">
        <v>0.01</v>
      </c>
      <c r="N43" s="1" t="str">
        <v>0.025</v>
      </c>
      <c r="O43" t="str">
        <v>93.4</v>
      </c>
    </row>
    <row r="44" spans="1:15" x14ac:dyDescent="0.2">
      <c r="A44" s="1" t="str">
        <v>CAULIFLOWER</v>
      </c>
      <c r="B44" s="1" t="str">
        <v>RAW</v>
      </c>
      <c r="C44" s="1" t="str">
        <v>NEVO</v>
      </c>
      <c r="D44" s="1" t="str">
        <v>14</v>
      </c>
      <c r="E44" s="1" t="str">
        <v>25</v>
      </c>
      <c r="F44" s="1" t="str">
        <v/>
      </c>
      <c r="G44" s="1" t="str">
        <v>1.9</v>
      </c>
      <c r="H44" s="1" t="str">
        <v>3</v>
      </c>
      <c r="I44" s="1" t="str">
        <v>0.2</v>
      </c>
      <c r="J44" s="1" t="str">
        <v>0</v>
      </c>
      <c r="K44" s="1" t="str">
        <v>2.2</v>
      </c>
      <c r="L44" s="1" t="str">
        <v>0</v>
      </c>
      <c r="M44" s="1" t="str">
        <v>0.008</v>
      </c>
      <c r="N44" s="1" t="str">
        <v>0.02</v>
      </c>
      <c r="O44" t="str">
        <v>91.8</v>
      </c>
    </row>
    <row r="45" spans="1:15" x14ac:dyDescent="0.2">
      <c r="A45" s="1" t="str">
        <v>CHERRY_SOUR</v>
      </c>
      <c r="B45" s="1" t="str">
        <v>DEFAULT</v>
      </c>
      <c r="C45" s="1" t="str">
        <v>NEVO</v>
      </c>
      <c r="D45" s="1" t="str">
        <v>167</v>
      </c>
      <c r="E45" s="1" t="str">
        <v>52</v>
      </c>
      <c r="F45" s="1" t="str">
        <v/>
      </c>
      <c r="G45" s="1" t="str">
        <v>1</v>
      </c>
      <c r="H45" s="1" t="str">
        <v>11</v>
      </c>
      <c r="I45" s="1" t="str">
        <v>0</v>
      </c>
      <c r="J45" s="1" t="str">
        <v>0</v>
      </c>
      <c r="K45" s="1" t="str">
        <v>2.1</v>
      </c>
      <c r="L45" s="1" t="str">
        <v>11</v>
      </c>
      <c r="M45" s="1" t="str">
        <v>0.001</v>
      </c>
      <c r="N45" s="1" t="str">
        <v>0.003</v>
      </c>
      <c r="O45" t="str">
        <v>87</v>
      </c>
    </row>
    <row r="46" spans="1:15" x14ac:dyDescent="0.2">
      <c r="A46" s="1" t="str">
        <v>CHERRY_SWEET</v>
      </c>
      <c r="B46" s="1" t="str">
        <v>DEFAULT</v>
      </c>
      <c r="C46" s="1" t="str">
        <v>NEVO</v>
      </c>
      <c r="D46" s="1" t="str">
        <v>163</v>
      </c>
      <c r="E46" s="1" t="str">
        <v>57</v>
      </c>
      <c r="F46" s="1" t="str">
        <v/>
      </c>
      <c r="G46" s="1" t="str">
        <v>0.9</v>
      </c>
      <c r="H46" s="1" t="str">
        <v>11.5</v>
      </c>
      <c r="I46" s="1" t="str">
        <v>0.4</v>
      </c>
      <c r="J46" s="1" t="str">
        <v>0</v>
      </c>
      <c r="K46" s="1" t="str">
        <v>0.9</v>
      </c>
      <c r="L46" s="1" t="str">
        <v>11.5</v>
      </c>
      <c r="M46" s="1" t="str">
        <v>0.001</v>
      </c>
      <c r="N46" s="1" t="str">
        <v>0.003</v>
      </c>
      <c r="O46" t="str">
        <v>86</v>
      </c>
    </row>
    <row r="47" spans="1:15" x14ac:dyDescent="0.2">
      <c r="A47" s="1" t="str">
        <v>COCONUT</v>
      </c>
      <c r="B47" s="1" t="str">
        <v>DRIED</v>
      </c>
      <c r="C47" s="1" t="str">
        <v>NEVO</v>
      </c>
      <c r="D47" s="1" t="str">
        <v>5497</v>
      </c>
      <c r="E47" s="1" t="str">
        <v>674</v>
      </c>
      <c r="F47" s="1" t="str">
        <v/>
      </c>
      <c r="G47" s="1" t="str">
        <v>7.1</v>
      </c>
      <c r="H47" s="1" t="str">
        <v>8.6</v>
      </c>
      <c r="I47" s="1" t="str">
        <v>64.8</v>
      </c>
      <c r="J47" s="1" t="str">
        <v>0</v>
      </c>
      <c r="K47" s="1" t="str">
        <v>14.4</v>
      </c>
      <c r="L47" s="1" t="str">
        <v>7.6</v>
      </c>
      <c r="M47" s="1" t="str">
        <v>0.029</v>
      </c>
      <c r="N47" s="1" t="str">
        <v>0.073</v>
      </c>
      <c r="O47" t="str">
        <v>5.3</v>
      </c>
    </row>
    <row r="48" spans="1:15" x14ac:dyDescent="0.2">
      <c r="A48" s="1" t="str">
        <v>COCONUT</v>
      </c>
      <c r="B48" s="1" t="str">
        <v>FRESH</v>
      </c>
      <c r="C48" s="1" t="str">
        <v>NEVO</v>
      </c>
      <c r="D48" s="1" t="str">
        <v>202</v>
      </c>
      <c r="E48" s="1" t="str">
        <v>406</v>
      </c>
      <c r="F48" s="1" t="str">
        <v/>
      </c>
      <c r="G48" s="1" t="str">
        <v>4</v>
      </c>
      <c r="H48" s="1" t="str">
        <v>3</v>
      </c>
      <c r="I48" s="1" t="str">
        <v>40</v>
      </c>
      <c r="J48" s="1" t="str">
        <v>0</v>
      </c>
      <c r="K48" s="1" t="str">
        <v>9</v>
      </c>
      <c r="L48" s="1" t="str">
        <v>1</v>
      </c>
      <c r="M48" s="1" t="str">
        <v>0.025</v>
      </c>
      <c r="N48" s="1" t="str">
        <v>0.063</v>
      </c>
      <c r="O48" t="str">
        <v>38</v>
      </c>
    </row>
    <row r="49" spans="1:15" x14ac:dyDescent="0.2">
      <c r="A49" s="1" t="str">
        <v>COFFEE</v>
      </c>
      <c r="B49" s="1" t="str">
        <v>DEFAULT</v>
      </c>
      <c r="C49" s="1" t="str">
        <v>USDA_SR_LEGACY</v>
      </c>
      <c r="D49" s="1" t="str">
        <v>171890</v>
      </c>
      <c r="E49" s="1" t="str">
        <v>0.6</v>
      </c>
      <c r="F49" s="1" t="str">
        <v>0.6</v>
      </c>
      <c r="G49" s="1" t="str">
        <v>0.15</v>
      </c>
      <c r="H49" s="1" t="str">
        <v>0</v>
      </c>
      <c r="I49" s="1" t="str">
        <v>0</v>
      </c>
      <c r="J49" s="1" t="str">
        <v>0</v>
      </c>
      <c r="K49" s="1" t="str">
        <v>0</v>
      </c>
      <c r="L49" s="1" t="str">
        <v>0</v>
      </c>
      <c r="M49" s="1" t="str">
        <v>0</v>
      </c>
      <c r="N49" s="1" t="str">
        <v>0</v>
      </c>
      <c r="O49" t="str">
        <v>99.4</v>
      </c>
    </row>
    <row r="50" spans="1:15" x14ac:dyDescent="0.2">
      <c r="A50" s="1" t="str">
        <v>COFFEE</v>
      </c>
      <c r="B50" s="1" t="str">
        <v>WITH_MILK</v>
      </c>
      <c r="C50" s="1" t="str">
        <v>CALCULATED</v>
      </c>
      <c r="D50" s="1" t="str">
        <v>GENERIC_COFFEE_WITH_MILK</v>
      </c>
      <c r="E50" s="1" t="str">
        <v>4.8</v>
      </c>
      <c r="F50" s="1" t="str">
        <v>4.8</v>
      </c>
      <c r="G50" s="1" t="str">
        <v>0.5</v>
      </c>
      <c r="H50" s="1" t="str">
        <v>0.35</v>
      </c>
      <c r="I50" s="1" t="str">
        <v>0.15</v>
      </c>
      <c r="J50" s="1" t="str">
        <v>0</v>
      </c>
      <c r="K50" s="1" t="str">
        <v>0</v>
      </c>
      <c r="L50" s="1" t="str">
        <v>0</v>
      </c>
      <c r="M50" s="1" t="str">
        <v>0.004</v>
      </c>
      <c r="N50" s="1" t="str">
        <v>0.01</v>
      </c>
      <c r="O50" t="str">
        <v>98</v>
      </c>
    </row>
    <row r="51" spans="1:15" x14ac:dyDescent="0.2">
      <c r="A51" s="1" t="str">
        <v>COFFEE</v>
      </c>
      <c r="B51" s="1" t="str">
        <v>WITH_SUGAR</v>
      </c>
      <c r="C51" s="1" t="str">
        <v>CALCULATED</v>
      </c>
      <c r="D51" s="1" t="str">
        <v>GENERIC_COFFEE_WITH_SUGAR</v>
      </c>
      <c r="E51" s="1" t="str">
        <v>10</v>
      </c>
      <c r="F51" s="1" t="str">
        <v>10</v>
      </c>
      <c r="G51" s="1" t="str">
        <v>0</v>
      </c>
      <c r="H51" s="1" t="str">
        <v>2.5</v>
      </c>
      <c r="I51" s="1" t="str">
        <v>0</v>
      </c>
      <c r="J51" s="1" t="str">
        <v>0</v>
      </c>
      <c r="K51" s="1" t="str">
        <v>0</v>
      </c>
      <c r="L51" s="1" t="str">
        <v>2.5</v>
      </c>
      <c r="M51" s="1" t="str">
        <v>0</v>
      </c>
      <c r="N51" s="1" t="str">
        <v>0</v>
      </c>
      <c r="O51" t="str">
        <v>97.5</v>
      </c>
    </row>
    <row r="52" spans="1:15" x14ac:dyDescent="0.2">
      <c r="A52" s="1" t="str">
        <v>COFFEE</v>
      </c>
      <c r="B52" s="1" t="str">
        <v>WITH_SUGAR_MILK</v>
      </c>
      <c r="C52" s="1" t="str">
        <v>CALCULATED</v>
      </c>
      <c r="D52" s="1" t="str">
        <v>GENERIC_COFFEE_WITH_SUGAR_MILK</v>
      </c>
      <c r="E52" s="1" t="str">
        <v>14.8</v>
      </c>
      <c r="F52" s="1" t="str">
        <v>14.8</v>
      </c>
      <c r="G52" s="1" t="str">
        <v>0.5</v>
      </c>
      <c r="H52" s="1" t="str">
        <v>2.85</v>
      </c>
      <c r="I52" s="1" t="str">
        <v>0.15</v>
      </c>
      <c r="J52" s="1" t="str">
        <v>0</v>
      </c>
      <c r="K52" s="1" t="str">
        <v>0</v>
      </c>
      <c r="L52" s="1" t="str">
        <v>2.5</v>
      </c>
      <c r="M52" s="1" t="str">
        <v>0</v>
      </c>
      <c r="N52" s="1" t="str">
        <v>0</v>
      </c>
      <c r="O52" t="str">
        <v>96</v>
      </c>
    </row>
    <row r="53" spans="1:15" x14ac:dyDescent="0.2">
      <c r="A53" s="1" t="str">
        <v>COLA</v>
      </c>
      <c r="B53" s="1" t="str">
        <v>DEFAULT</v>
      </c>
      <c r="C53" s="1" t="str">
        <v>USDA_SR_LEGACY</v>
      </c>
      <c r="D53" s="1" t="str">
        <v>174852</v>
      </c>
      <c r="E53" s="1" t="str">
        <v>42</v>
      </c>
      <c r="F53" s="1" t="str">
        <v>43.7</v>
      </c>
      <c r="G53" s="1" t="str">
        <v>0</v>
      </c>
      <c r="H53" s="1" t="str">
        <v>10.4</v>
      </c>
      <c r="I53" s="1" t="str">
        <v>0.25</v>
      </c>
      <c r="J53" s="1" t="str">
        <v>0</v>
      </c>
      <c r="K53" s="1" t="str">
        <v>0</v>
      </c>
      <c r="L53" s="1" t="str">
        <v>9.94</v>
      </c>
      <c r="M53" s="1" t="str">
        <v>0.003</v>
      </c>
      <c r="N53" s="1" t="str">
        <v>0.008</v>
      </c>
      <c r="O53" t="str">
        <v>89.4</v>
      </c>
    </row>
    <row r="54" spans="1:15" x14ac:dyDescent="0.2">
      <c r="A54" s="1" t="str">
        <v>COLA_LIGHT</v>
      </c>
      <c r="B54" s="1" t="str">
        <v>DEFAULT</v>
      </c>
      <c r="C54" s="1" t="str">
        <v>CALCULATED</v>
      </c>
      <c r="D54" s="1" t="str">
        <v>GENERIC_LIGHT_SOFT_DRINK</v>
      </c>
      <c r="E54" s="1" t="str">
        <v>0.8</v>
      </c>
      <c r="F54" s="1" t="str">
        <v>0.8</v>
      </c>
      <c r="G54" s="1" t="str">
        <v>0</v>
      </c>
      <c r="H54" s="1" t="str">
        <v>0.2</v>
      </c>
      <c r="I54" s="1" t="str">
        <v>0</v>
      </c>
      <c r="J54" s="1" t="str">
        <v>0</v>
      </c>
      <c r="K54" s="1" t="str">
        <v>0</v>
      </c>
      <c r="L54" s="1" t="str">
        <v>0</v>
      </c>
      <c r="M54" s="1" t="str">
        <v>0.015</v>
      </c>
      <c r="N54" s="1" t="str">
        <v>0.038</v>
      </c>
      <c r="O54" t="str">
        <v>99.6</v>
      </c>
    </row>
    <row r="55" spans="1:15" x14ac:dyDescent="0.2">
      <c r="A55" s="1" t="str">
        <v>COLA_ZERO</v>
      </c>
      <c r="B55" s="1" t="str">
        <v>DEFAULT</v>
      </c>
      <c r="C55" s="1" t="str">
        <v>CALCULATED</v>
      </c>
      <c r="D55" s="1" t="str">
        <v>GENERIC_ZERO_SOFT_DRINK</v>
      </c>
      <c r="E55" s="1" t="str">
        <v>0</v>
      </c>
      <c r="F55" s="1" t="str">
        <v>0</v>
      </c>
      <c r="G55" s="1" t="str">
        <v>0</v>
      </c>
      <c r="H55" s="1" t="str">
        <v>0</v>
      </c>
      <c r="I55" s="1" t="str">
        <v>0</v>
      </c>
      <c r="J55" s="1" t="str">
        <v>0</v>
      </c>
      <c r="K55" s="1" t="str">
        <v>0</v>
      </c>
      <c r="L55" s="1" t="str">
        <v>0</v>
      </c>
      <c r="M55" s="1" t="str">
        <v>0.015</v>
      </c>
      <c r="N55" s="1" t="str">
        <v>0.038</v>
      </c>
      <c r="O55" t="str">
        <v>99.8</v>
      </c>
    </row>
    <row r="56" spans="1:15" x14ac:dyDescent="0.2">
      <c r="A56" s="1" t="str">
        <v>CRISPBREAD_WHOLEGRAIN_AH</v>
      </c>
      <c r="B56" s="1" t="str">
        <v>DEFAULT</v>
      </c>
      <c r="C56" s="1" t="str">
        <v>MANUFACTURER</v>
      </c>
      <c r="D56" s="1" t="str">
        <v>AH_CRISPBREAD_WHOLEGRAIN_2026</v>
      </c>
      <c r="E56" s="1" t="str">
        <v>385</v>
      </c>
      <c r="F56" s="1" t="str">
        <v/>
      </c>
      <c r="G56" s="1" t="str">
        <v>13</v>
      </c>
      <c r="H56" s="1" t="str">
        <v>64</v>
      </c>
      <c r="I56" s="1" t="str">
        <v>5.9</v>
      </c>
      <c r="J56" s="1" t="str">
        <v>0</v>
      </c>
      <c r="K56" s="1" t="str">
        <v>12</v>
      </c>
      <c r="L56" s="1" t="str">
        <v>3.4</v>
      </c>
      <c r="M56" s="1" t="str">
        <v>0.28</v>
      </c>
      <c r="N56" s="1" t="str">
        <v>0.7</v>
      </c>
      <c r="O56" t="str">
        <v>0</v>
      </c>
    </row>
    <row r="57" spans="1:15" x14ac:dyDescent="0.2">
      <c r="A57" s="1" t="str">
        <v>CUCUMBER</v>
      </c>
      <c r="B57" s="1" t="str">
        <v>BOILED</v>
      </c>
      <c r="C57" s="1" t="str">
        <v>NEVO</v>
      </c>
      <c r="D57" s="1" t="str">
        <v>28</v>
      </c>
      <c r="E57" s="1" t="str">
        <v>17</v>
      </c>
      <c r="F57" s="1" t="str">
        <v/>
      </c>
      <c r="G57" s="1" t="str">
        <v>1</v>
      </c>
      <c r="H57" s="1" t="str">
        <v>3</v>
      </c>
      <c r="I57" s="1" t="str">
        <v>0</v>
      </c>
      <c r="J57" s="1" t="str">
        <v>0</v>
      </c>
      <c r="K57" s="1" t="str">
        <v>0.3</v>
      </c>
      <c r="L57" s="1" t="str">
        <v>3</v>
      </c>
      <c r="M57" s="1" t="str">
        <v>0.005</v>
      </c>
      <c r="N57" s="1" t="str">
        <v>0.013</v>
      </c>
      <c r="O57" t="str">
        <v>97</v>
      </c>
    </row>
    <row r="58" spans="1:15" x14ac:dyDescent="0.2">
      <c r="A58" s="1" t="str">
        <v>CUCUMBER</v>
      </c>
      <c r="B58" s="1" t="str">
        <v>RAW_WITH_SKIN</v>
      </c>
      <c r="C58" s="1" t="str">
        <v>NEVO</v>
      </c>
      <c r="D58" s="1" t="str">
        <v>2739</v>
      </c>
      <c r="E58" s="1" t="str">
        <v>13</v>
      </c>
      <c r="F58" s="1" t="str">
        <v/>
      </c>
      <c r="G58" s="1" t="str">
        <v>0.7</v>
      </c>
      <c r="H58" s="1" t="str">
        <v>1.3</v>
      </c>
      <c r="I58" s="1" t="str">
        <v>0.4</v>
      </c>
      <c r="J58" s="1" t="str">
        <v>0</v>
      </c>
      <c r="K58" s="1" t="str">
        <v>0.6</v>
      </c>
      <c r="L58" s="1" t="str">
        <v>1.3</v>
      </c>
      <c r="M58" s="1" t="str">
        <v>0.002</v>
      </c>
      <c r="N58" s="1" t="str">
        <v>0.005</v>
      </c>
      <c r="O58" t="str">
        <v>96.7</v>
      </c>
    </row>
    <row r="59" spans="1:15" x14ac:dyDescent="0.2">
      <c r="A59" s="1" t="str">
        <v>CUCUMBER</v>
      </c>
      <c r="B59" s="1" t="str">
        <v>RAW_WITHOUT_SKIN</v>
      </c>
      <c r="C59" s="1" t="str">
        <v>NEVO</v>
      </c>
      <c r="D59" s="1" t="str">
        <v>27</v>
      </c>
      <c r="E59" s="1" t="str">
        <v>15</v>
      </c>
      <c r="F59" s="1" t="str">
        <v/>
      </c>
      <c r="G59" s="1" t="str">
        <v>0.6</v>
      </c>
      <c r="H59" s="1" t="str">
        <v>2.5</v>
      </c>
      <c r="I59" s="1" t="str">
        <v>0.2</v>
      </c>
      <c r="J59" s="1" t="str">
        <v>0</v>
      </c>
      <c r="K59" s="1" t="str">
        <v>0.3</v>
      </c>
      <c r="L59" s="1" t="str">
        <v>1.7</v>
      </c>
      <c r="M59" s="1" t="str">
        <v>0.002</v>
      </c>
      <c r="N59" s="1" t="str">
        <v>0.005</v>
      </c>
      <c r="O59" t="str">
        <v>96.1</v>
      </c>
    </row>
    <row r="60" spans="1:15" x14ac:dyDescent="0.2">
      <c r="A60" s="1" t="str">
        <v>DATE</v>
      </c>
      <c r="B60" s="1" t="str">
        <v>DRIED</v>
      </c>
      <c r="C60" s="1" t="str">
        <v>NEVO</v>
      </c>
      <c r="D60" s="1" t="str">
        <v>181</v>
      </c>
      <c r="E60" s="1" t="str">
        <v>305</v>
      </c>
      <c r="F60" s="1" t="str">
        <v/>
      </c>
      <c r="G60" s="1" t="str">
        <v>2</v>
      </c>
      <c r="H60" s="1" t="str">
        <v>70.5</v>
      </c>
      <c r="I60" s="1" t="str">
        <v>0</v>
      </c>
      <c r="J60" s="1" t="str">
        <v>0</v>
      </c>
      <c r="K60" s="1" t="str">
        <v>7.5</v>
      </c>
      <c r="L60" s="1" t="str">
        <v>70.5</v>
      </c>
      <c r="M60" s="1" t="str">
        <v>0.01</v>
      </c>
      <c r="N60" s="1" t="str">
        <v>0.025</v>
      </c>
      <c r="O60" t="str">
        <v>20</v>
      </c>
    </row>
    <row r="61" spans="1:15" x14ac:dyDescent="0.2">
      <c r="A61" s="1" t="str">
        <v>DATE</v>
      </c>
      <c r="B61" s="1" t="str">
        <v>FRESH</v>
      </c>
      <c r="C61" s="1" t="str">
        <v>NEVO</v>
      </c>
      <c r="D61" s="1" t="str">
        <v>1887</v>
      </c>
      <c r="E61" s="1" t="str">
        <v>139</v>
      </c>
      <c r="F61" s="1" t="str">
        <v/>
      </c>
      <c r="G61" s="1" t="str">
        <v>1.5</v>
      </c>
      <c r="H61" s="1" t="str">
        <v>31.3</v>
      </c>
      <c r="I61" s="1" t="str">
        <v>0.1</v>
      </c>
      <c r="J61" s="1" t="str">
        <v>0</v>
      </c>
      <c r="K61" s="1" t="str">
        <v>3.6</v>
      </c>
      <c r="L61" s="1" t="str">
        <v>31.3</v>
      </c>
      <c r="M61" s="1" t="str">
        <v>0.007</v>
      </c>
      <c r="N61" s="1" t="str">
        <v>0.018</v>
      </c>
      <c r="O61" t="str">
        <v>60.7</v>
      </c>
    </row>
    <row r="62" spans="1:15" x14ac:dyDescent="0.2">
      <c r="A62" s="1" t="str">
        <v>FIG</v>
      </c>
      <c r="B62" s="1" t="str">
        <v>DRIED</v>
      </c>
      <c r="C62" s="1" t="str">
        <v>NEVO</v>
      </c>
      <c r="D62" s="1" t="str">
        <v>193</v>
      </c>
      <c r="E62" s="1" t="str">
        <v>259</v>
      </c>
      <c r="F62" s="1" t="str">
        <v/>
      </c>
      <c r="G62" s="1" t="str">
        <v>3.3</v>
      </c>
      <c r="H62" s="1" t="str">
        <v>54.1</v>
      </c>
      <c r="I62" s="1" t="str">
        <v>0.9</v>
      </c>
      <c r="J62" s="1" t="str">
        <v>0</v>
      </c>
      <c r="K62" s="1" t="str">
        <v>9.8</v>
      </c>
      <c r="L62" s="1" t="str">
        <v>47.9</v>
      </c>
      <c r="M62" s="1" t="str">
        <v>0.01</v>
      </c>
      <c r="N62" s="1" t="str">
        <v>0.025</v>
      </c>
      <c r="O62" t="str">
        <v>30.1</v>
      </c>
    </row>
    <row r="63" spans="1:15" x14ac:dyDescent="0.2">
      <c r="A63" s="1" t="str">
        <v>FIG</v>
      </c>
      <c r="B63" s="1" t="str">
        <v>FRESH</v>
      </c>
      <c r="C63" s="1" t="str">
        <v>NEVO</v>
      </c>
      <c r="D63" s="1" t="str">
        <v>1010</v>
      </c>
      <c r="E63" s="1" t="str">
        <v>84</v>
      </c>
      <c r="F63" s="1" t="str">
        <v/>
      </c>
      <c r="G63" s="1" t="str">
        <v>1</v>
      </c>
      <c r="H63" s="1" t="str">
        <v>19</v>
      </c>
      <c r="I63" s="1" t="str">
        <v>0</v>
      </c>
      <c r="J63" s="1" t="str">
        <v>0</v>
      </c>
      <c r="K63" s="1" t="str">
        <v>2</v>
      </c>
      <c r="L63" s="1" t="str">
        <v>19</v>
      </c>
      <c r="M63" s="1" t="str">
        <v>0.001</v>
      </c>
      <c r="N63" s="1" t="str">
        <v>0.003</v>
      </c>
      <c r="O63" t="str">
        <v>80</v>
      </c>
    </row>
    <row r="64" spans="1:15" x14ac:dyDescent="0.2">
      <c r="A64" s="1" t="str">
        <v>GRAPEFRUIT</v>
      </c>
      <c r="B64" s="1" t="str">
        <v>DEFAULT</v>
      </c>
      <c r="C64" s="1" t="str">
        <v>NEVO</v>
      </c>
      <c r="D64" s="1" t="str">
        <v>162</v>
      </c>
      <c r="E64" s="1" t="str">
        <v>37</v>
      </c>
      <c r="F64" s="1" t="str">
        <v/>
      </c>
      <c r="G64" s="1" t="str">
        <v>0.9</v>
      </c>
      <c r="H64" s="1" t="str">
        <v>6.6</v>
      </c>
      <c r="I64" s="1" t="str">
        <v>0</v>
      </c>
      <c r="J64" s="1" t="str">
        <v>0</v>
      </c>
      <c r="K64" s="1" t="str">
        <v>1.4</v>
      </c>
      <c r="L64" s="1" t="str">
        <v>6.6</v>
      </c>
      <c r="M64" s="1" t="str">
        <v>0.001</v>
      </c>
      <c r="N64" s="1" t="str">
        <v>0.003</v>
      </c>
      <c r="O64" t="str">
        <v>90.2</v>
      </c>
    </row>
    <row r="65" spans="1:15" x14ac:dyDescent="0.2">
      <c r="A65" s="1" t="str">
        <v>GRAPES</v>
      </c>
      <c r="B65" s="1" t="str">
        <v>DEFAULT</v>
      </c>
      <c r="C65" s="1" t="str">
        <v>NEVO</v>
      </c>
      <c r="D65" s="1" t="str">
        <v>160</v>
      </c>
      <c r="E65" s="1" t="str">
        <v>78</v>
      </c>
      <c r="F65" s="1" t="str">
        <v/>
      </c>
      <c r="G65" s="1" t="str">
        <v>0.6</v>
      </c>
      <c r="H65" s="1" t="str">
        <v>16.8</v>
      </c>
      <c r="I65" s="1" t="str">
        <v>0.2</v>
      </c>
      <c r="J65" s="1" t="str">
        <v>0</v>
      </c>
      <c r="K65" s="1" t="str">
        <v>1.8</v>
      </c>
      <c r="L65" s="1" t="str">
        <v>16.3</v>
      </c>
      <c r="M65" s="1" t="str">
        <v>0.003</v>
      </c>
      <c r="N65" s="1" t="str">
        <v>0.008</v>
      </c>
      <c r="O65" t="str">
        <v>80.3</v>
      </c>
    </row>
    <row r="66" spans="1:15" x14ac:dyDescent="0.2">
      <c r="A66" s="1" t="str">
        <v>GRAPES_BLACK</v>
      </c>
      <c r="B66" s="1" t="str">
        <v>DEFAULT</v>
      </c>
      <c r="C66" s="1" t="str">
        <v>NEVO</v>
      </c>
      <c r="D66" s="1" t="str">
        <v>2749</v>
      </c>
      <c r="E66" s="1" t="str">
        <v>75</v>
      </c>
      <c r="F66" s="1" t="str">
        <v/>
      </c>
      <c r="G66" s="1" t="str">
        <v>0.6</v>
      </c>
      <c r="H66" s="1" t="str">
        <v>16.8</v>
      </c>
      <c r="I66" s="1" t="str">
        <v>0.1</v>
      </c>
      <c r="J66" s="1" t="str">
        <v>0</v>
      </c>
      <c r="K66" s="1" t="str">
        <v>2.1</v>
      </c>
      <c r="L66" s="1" t="str">
        <v>16.8</v>
      </c>
      <c r="M66" s="1" t="str">
        <v>0.005</v>
      </c>
      <c r="N66" s="1" t="str">
        <v>0.013</v>
      </c>
      <c r="O66" t="str">
        <v>80.2</v>
      </c>
    </row>
    <row r="67" spans="1:15" x14ac:dyDescent="0.2">
      <c r="A67" s="1" t="str">
        <v>GRAPES_WHITE</v>
      </c>
      <c r="B67" s="1" t="str">
        <v>DEFAULT</v>
      </c>
      <c r="C67" s="1" t="str">
        <v>NEVO</v>
      </c>
      <c r="D67" s="1" t="str">
        <v>2750</v>
      </c>
      <c r="E67" s="1" t="str">
        <v>76</v>
      </c>
      <c r="F67" s="1" t="str">
        <v/>
      </c>
      <c r="G67" s="1" t="str">
        <v>0.5</v>
      </c>
      <c r="H67" s="1" t="str">
        <v>16.9</v>
      </c>
      <c r="I67" s="1" t="str">
        <v>0.4</v>
      </c>
      <c r="J67" s="1" t="str">
        <v>0</v>
      </c>
      <c r="K67" s="1" t="str">
        <v>1.4</v>
      </c>
      <c r="L67" s="1" t="str">
        <v>15.6</v>
      </c>
      <c r="M67" s="1" t="str">
        <v>0.001</v>
      </c>
      <c r="N67" s="1" t="str">
        <v>0.003</v>
      </c>
      <c r="O67" t="str">
        <v>80.4</v>
      </c>
    </row>
    <row r="68" spans="1:15" x14ac:dyDescent="0.2">
      <c r="A68" s="1" t="str">
        <v>KAISER_ROLL</v>
      </c>
      <c r="B68" s="1" t="str">
        <v>DEFAULT</v>
      </c>
      <c r="C68" s="1" t="str">
        <v>USDA_SR_LEGACY</v>
      </c>
      <c r="D68" s="1" t="str">
        <v>175031</v>
      </c>
      <c r="E68" s="1" t="str">
        <v>293</v>
      </c>
      <c r="F68" s="1" t="str">
        <v/>
      </c>
      <c r="G68" s="1" t="str">
        <v>9.9</v>
      </c>
      <c r="H68" s="1" t="str">
        <v>52.7</v>
      </c>
      <c r="I68" s="1" t="str">
        <v>4.3</v>
      </c>
      <c r="J68" s="1" t="str">
        <v>0</v>
      </c>
      <c r="K68" s="1" t="str">
        <v>2.3</v>
      </c>
      <c r="L68" s="1" t="str">
        <v>1.77</v>
      </c>
      <c r="M68" s="1" t="str">
        <v>0.544</v>
      </c>
      <c r="N68" s="1" t="str">
        <v>1.36</v>
      </c>
      <c r="O68" t="str">
        <v>31</v>
      </c>
    </row>
    <row r="69" spans="1:15" x14ac:dyDescent="0.2">
      <c r="A69" s="1" t="str">
        <v>KIWI</v>
      </c>
      <c r="B69" s="1" t="str">
        <v>DEFAULT</v>
      </c>
      <c r="C69" s="1" t="str">
        <v>NEVO</v>
      </c>
      <c r="D69" s="1" t="str">
        <v>5120</v>
      </c>
      <c r="E69" s="1" t="str">
        <v>64</v>
      </c>
      <c r="F69" s="1" t="str">
        <v/>
      </c>
      <c r="G69" s="1" t="str">
        <v>1</v>
      </c>
      <c r="H69" s="1" t="str">
        <v>11.4</v>
      </c>
      <c r="I69" s="1" t="str">
        <v>0.6</v>
      </c>
      <c r="J69" s="1" t="str">
        <v>0</v>
      </c>
      <c r="K69" s="1" t="str">
        <v>2</v>
      </c>
      <c r="L69" s="1" t="str">
        <v>11</v>
      </c>
      <c r="M69" s="1" t="str">
        <v>0.003</v>
      </c>
      <c r="N69" s="1" t="str">
        <v>0.008</v>
      </c>
      <c r="O69" t="str">
        <v>83.1</v>
      </c>
    </row>
    <row r="70" spans="1:15" x14ac:dyDescent="0.2">
      <c r="A70" s="1" t="str">
        <v>KIWI_GREEN</v>
      </c>
      <c r="B70" s="1" t="str">
        <v>DEFAULT</v>
      </c>
      <c r="C70" s="1" t="str">
        <v>NEVO</v>
      </c>
      <c r="D70" s="1" t="str">
        <v>1056</v>
      </c>
      <c r="E70" s="1" t="str">
        <v>62</v>
      </c>
      <c r="F70" s="1" t="str">
        <v/>
      </c>
      <c r="G70" s="1" t="str">
        <v>0.9</v>
      </c>
      <c r="H70" s="1" t="str">
        <v>10.8</v>
      </c>
      <c r="I70" s="1" t="str">
        <v>0.8</v>
      </c>
      <c r="J70" s="1" t="str">
        <v>0</v>
      </c>
      <c r="K70" s="1" t="str">
        <v>2.3</v>
      </c>
      <c r="L70" s="1" t="str">
        <v>10.3</v>
      </c>
      <c r="M70" s="1" t="str">
        <v>0.003</v>
      </c>
      <c r="N70" s="1" t="str">
        <v>0.008</v>
      </c>
      <c r="O70" t="str">
        <v>83.5</v>
      </c>
    </row>
    <row r="71" spans="1:15" x14ac:dyDescent="0.2">
      <c r="A71" s="1" t="str">
        <v>KIWI_YELLOW</v>
      </c>
      <c r="B71" s="1" t="str">
        <v>DEFAULT</v>
      </c>
      <c r="C71" s="1" t="str">
        <v>NEVO</v>
      </c>
      <c r="D71" s="1" t="str">
        <v>3219</v>
      </c>
      <c r="E71" s="1" t="str">
        <v>66</v>
      </c>
      <c r="F71" s="1" t="str">
        <v/>
      </c>
      <c r="G71" s="1" t="str">
        <v>1</v>
      </c>
      <c r="H71" s="1" t="str">
        <v>12.4</v>
      </c>
      <c r="I71" s="1" t="str">
        <v>0.3</v>
      </c>
      <c r="J71" s="1" t="str">
        <v>0</v>
      </c>
      <c r="K71" s="1" t="str">
        <v>1.4</v>
      </c>
      <c r="L71" s="1" t="str">
        <v>12.3</v>
      </c>
      <c r="M71" s="1" t="str">
        <v>0.003</v>
      </c>
      <c r="N71" s="1" t="str">
        <v>0.008</v>
      </c>
      <c r="O71" t="str">
        <v>82.4</v>
      </c>
    </row>
    <row r="72" spans="1:15" x14ac:dyDescent="0.2">
      <c r="A72" s="1" t="str">
        <v>LEMON</v>
      </c>
      <c r="B72" s="1" t="str">
        <v>DEFAULT</v>
      </c>
      <c r="C72" s="1" t="str">
        <v>NEVO</v>
      </c>
      <c r="D72" s="1" t="str">
        <v>158</v>
      </c>
      <c r="E72" s="1" t="str">
        <v>36</v>
      </c>
      <c r="F72" s="1" t="str">
        <v/>
      </c>
      <c r="G72" s="1" t="str">
        <v>0.8</v>
      </c>
      <c r="H72" s="1" t="str">
        <v>3</v>
      </c>
      <c r="I72" s="1" t="str">
        <v>0.3</v>
      </c>
      <c r="J72" s="1" t="str">
        <v>0</v>
      </c>
      <c r="K72" s="1" t="str">
        <v>2</v>
      </c>
      <c r="L72" s="1" t="str">
        <v>2</v>
      </c>
      <c r="M72" s="1" t="str">
        <v>0.001</v>
      </c>
      <c r="N72" s="1" t="str">
        <v>0.003</v>
      </c>
      <c r="O72" t="str">
        <v>89.2</v>
      </c>
    </row>
    <row r="73" spans="1:15" x14ac:dyDescent="0.2">
      <c r="A73" s="1" t="str">
        <v>LIME</v>
      </c>
      <c r="B73" s="1" t="str">
        <v>DEFAULT</v>
      </c>
      <c r="C73" s="1" t="str">
        <v>NEVO</v>
      </c>
      <c r="D73" s="1" t="str">
        <v>691</v>
      </c>
      <c r="E73" s="1" t="str">
        <v>41</v>
      </c>
      <c r="F73" s="1" t="str">
        <v/>
      </c>
      <c r="G73" s="1" t="str">
        <v>0.7</v>
      </c>
      <c r="H73" s="1" t="str">
        <v>7.7</v>
      </c>
      <c r="I73" s="1" t="str">
        <v>0.2</v>
      </c>
      <c r="J73" s="1" t="str">
        <v>0</v>
      </c>
      <c r="K73" s="1" t="str">
        <v>2.8</v>
      </c>
      <c r="L73" s="1" t="str">
        <v>1.7</v>
      </c>
      <c r="M73" s="1" t="str">
        <v>0.002</v>
      </c>
      <c r="N73" s="1" t="str">
        <v>0.005</v>
      </c>
      <c r="O73" t="str">
        <v>88.3</v>
      </c>
    </row>
    <row r="74" spans="1:15" x14ac:dyDescent="0.2">
      <c r="A74" s="1" t="str">
        <v>MANDARIN</v>
      </c>
      <c r="B74" s="1" t="str">
        <v>DEFAULT</v>
      </c>
      <c r="C74" s="1" t="str">
        <v>NEVO</v>
      </c>
      <c r="D74" s="1" t="str">
        <v>165</v>
      </c>
      <c r="E74" s="1" t="str">
        <v>46</v>
      </c>
      <c r="F74" s="1" t="str">
        <v/>
      </c>
      <c r="G74" s="1" t="str">
        <v>0.7</v>
      </c>
      <c r="H74" s="1" t="str">
        <v>9.9</v>
      </c>
      <c r="I74" s="1" t="str">
        <v>0.1</v>
      </c>
      <c r="J74" s="1" t="str">
        <v>0</v>
      </c>
      <c r="K74" s="1" t="str">
        <v>0.9</v>
      </c>
      <c r="L74" s="1" t="str">
        <v>8.2</v>
      </c>
      <c r="M74" s="1" t="str">
        <v>0.001</v>
      </c>
      <c r="N74" s="1" t="str">
        <v>0.003</v>
      </c>
      <c r="O74" t="str">
        <v>88</v>
      </c>
    </row>
    <row r="75" spans="1:15" x14ac:dyDescent="0.2">
      <c r="A75" s="1" t="str">
        <v>MANGO</v>
      </c>
      <c r="B75" s="1" t="str">
        <v>DEFAULT</v>
      </c>
      <c r="C75" s="1" t="str">
        <v>NEVO</v>
      </c>
      <c r="D75" s="1" t="str">
        <v>692</v>
      </c>
      <c r="E75" s="1" t="str">
        <v>66</v>
      </c>
      <c r="F75" s="1" t="str">
        <v/>
      </c>
      <c r="G75" s="1" t="str">
        <v>0.6</v>
      </c>
      <c r="H75" s="1" t="str">
        <v>14.3</v>
      </c>
      <c r="I75" s="1" t="str">
        <v>0.2</v>
      </c>
      <c r="J75" s="1" t="str">
        <v>0</v>
      </c>
      <c r="K75" s="1" t="str">
        <v>1.6</v>
      </c>
      <c r="L75" s="1" t="str">
        <v>13.9</v>
      </c>
      <c r="M75" s="1" t="str">
        <v>0.001</v>
      </c>
      <c r="N75" s="1" t="str">
        <v>0.003</v>
      </c>
      <c r="O75" t="str">
        <v>82.9</v>
      </c>
    </row>
    <row r="76" spans="1:15" x14ac:dyDescent="0.2">
      <c r="A76" s="1" t="str">
        <v>MELON</v>
      </c>
      <c r="B76" s="1" t="str">
        <v>DEFAULT</v>
      </c>
      <c r="C76" s="1" t="str">
        <v>NEVO</v>
      </c>
      <c r="D76" s="1" t="str">
        <v>5369</v>
      </c>
      <c r="E76" s="1" t="str">
        <v>31</v>
      </c>
      <c r="F76" s="1" t="str">
        <v/>
      </c>
      <c r="G76" s="1" t="str">
        <v>0.5</v>
      </c>
      <c r="H76" s="1" t="str">
        <v>6.9</v>
      </c>
      <c r="I76" s="1" t="str">
        <v>0</v>
      </c>
      <c r="J76" s="1" t="str">
        <v>0</v>
      </c>
      <c r="K76" s="1" t="str">
        <v>0.5</v>
      </c>
      <c r="L76" s="1" t="str">
        <v>6.9</v>
      </c>
      <c r="M76" s="1" t="str">
        <v>0.01</v>
      </c>
      <c r="N76" s="1" t="str">
        <v>0.025</v>
      </c>
      <c r="O76" t="str">
        <v>93.3</v>
      </c>
    </row>
    <row r="77" spans="1:15" x14ac:dyDescent="0.2">
      <c r="A77" s="1" t="str">
        <v>MELON_CANTALOUPE</v>
      </c>
      <c r="B77" s="1" t="str">
        <v>DEFAULT</v>
      </c>
      <c r="C77" s="1" t="str">
        <v>NEVO</v>
      </c>
      <c r="D77" s="1" t="str">
        <v>3341</v>
      </c>
      <c r="E77" s="1" t="str">
        <v>38</v>
      </c>
      <c r="F77" s="1" t="str">
        <v/>
      </c>
      <c r="G77" s="1" t="str">
        <v>0.8</v>
      </c>
      <c r="H77" s="1" t="str">
        <v>7.9</v>
      </c>
      <c r="I77" s="1" t="str">
        <v>0.2</v>
      </c>
      <c r="J77" s="1" t="str">
        <v>0</v>
      </c>
      <c r="K77" s="1" t="str">
        <v>0.9</v>
      </c>
      <c r="L77" s="1" t="str">
        <v>7.9</v>
      </c>
      <c r="M77" s="1" t="str">
        <v>0.016</v>
      </c>
      <c r="N77" s="1" t="str">
        <v>0.04</v>
      </c>
      <c r="O77" t="str">
        <v>90.2</v>
      </c>
    </row>
    <row r="78" spans="1:15" x14ac:dyDescent="0.2">
      <c r="A78" s="1" t="str">
        <v>MELON_WATER</v>
      </c>
      <c r="B78" s="1" t="str">
        <v>DEFAULT</v>
      </c>
      <c r="C78" s="1" t="str">
        <v>NEVO</v>
      </c>
      <c r="D78" s="1" t="str">
        <v>1105</v>
      </c>
      <c r="E78" s="1" t="str">
        <v>36</v>
      </c>
      <c r="F78" s="1" t="str">
        <v/>
      </c>
      <c r="G78" s="1" t="str">
        <v>0.5</v>
      </c>
      <c r="H78" s="1" t="str">
        <v>8</v>
      </c>
      <c r="I78" s="1" t="str">
        <v>0</v>
      </c>
      <c r="J78" s="1" t="str">
        <v>0</v>
      </c>
      <c r="K78" s="1" t="str">
        <v>0.6</v>
      </c>
      <c r="L78" s="1" t="str">
        <v>8</v>
      </c>
      <c r="M78" s="1" t="str">
        <v>0.002</v>
      </c>
      <c r="N78" s="1" t="str">
        <v>0.005</v>
      </c>
      <c r="O78" t="str">
        <v>93</v>
      </c>
    </row>
    <row r="79" spans="1:15" x14ac:dyDescent="0.2">
      <c r="A79" s="1" t="str">
        <v>MILK_SEMI</v>
      </c>
      <c r="B79" s="1" t="str">
        <v>DEFAULT</v>
      </c>
      <c r="C79" s="1" t="str">
        <v>NEVO</v>
      </c>
      <c r="D79" s="1" t="str">
        <v>286</v>
      </c>
      <c r="E79" s="1" t="str">
        <v>45</v>
      </c>
      <c r="F79" s="1" t="str">
        <v>46.4</v>
      </c>
      <c r="G79" s="1" t="str">
        <v>3.4</v>
      </c>
      <c r="H79" s="1" t="str">
        <v>4.7</v>
      </c>
      <c r="I79" s="1" t="str">
        <v>1.4</v>
      </c>
      <c r="J79" s="1" t="str">
        <v>0</v>
      </c>
      <c r="K79" s="1" t="str">
        <v>0</v>
      </c>
      <c r="L79" s="1" t="str">
        <v>0</v>
      </c>
      <c r="M79" s="1" t="str">
        <v>0.042</v>
      </c>
      <c r="N79" s="1" t="str">
        <v>0.105</v>
      </c>
      <c r="O79" t="str">
        <v>89.4</v>
      </c>
    </row>
    <row r="80" spans="1:15" x14ac:dyDescent="0.2">
      <c r="A80" s="1" t="str">
        <v>MILK_WHOLE</v>
      </c>
      <c r="B80" s="1" t="str">
        <v>DEFAULT</v>
      </c>
      <c r="C80" s="1" t="str">
        <v>NEVO</v>
      </c>
      <c r="D80" s="1" t="str">
        <v>279</v>
      </c>
      <c r="E80" s="1" t="str">
        <v>61.8</v>
      </c>
      <c r="F80" s="1" t="str">
        <v>63.7</v>
      </c>
      <c r="G80" s="1" t="str">
        <v>3.3</v>
      </c>
      <c r="H80" s="1" t="str">
        <v>4.5</v>
      </c>
      <c r="I80" s="1" t="str">
        <v>3.4</v>
      </c>
      <c r="J80" s="1" t="str">
        <v>0</v>
      </c>
      <c r="K80" s="1" t="str">
        <v>0</v>
      </c>
      <c r="L80" s="1" t="str">
        <v>0</v>
      </c>
      <c r="M80" s="1" t="str">
        <v>0.042</v>
      </c>
      <c r="N80" s="1" t="str">
        <v>0.105</v>
      </c>
      <c r="O80" t="str">
        <v>87.6</v>
      </c>
    </row>
    <row r="81" spans="1:15" x14ac:dyDescent="0.2">
      <c r="A81" s="1" t="str">
        <v>NECTARINE</v>
      </c>
      <c r="B81" s="1" t="str">
        <v>DEFAULT</v>
      </c>
      <c r="C81" s="1" t="str">
        <v>NEVO</v>
      </c>
      <c r="D81" s="1" t="str">
        <v>1812</v>
      </c>
      <c r="E81" s="1" t="str">
        <v>36</v>
      </c>
      <c r="F81" s="1" t="str">
        <v/>
      </c>
      <c r="G81" s="1" t="str">
        <v>1</v>
      </c>
      <c r="H81" s="1" t="str">
        <v>6.5</v>
      </c>
      <c r="I81" s="1" t="str">
        <v>0.1</v>
      </c>
      <c r="J81" s="1" t="str">
        <v>0</v>
      </c>
      <c r="K81" s="1" t="str">
        <v>1.1</v>
      </c>
      <c r="L81" s="1" t="str">
        <v>6.5</v>
      </c>
      <c r="M81" s="1" t="str">
        <v>0.001</v>
      </c>
      <c r="N81" s="1" t="str">
        <v>0.003</v>
      </c>
      <c r="O81" t="str">
        <v>90.3</v>
      </c>
    </row>
    <row r="82" spans="1:15" x14ac:dyDescent="0.2">
      <c r="A82" s="1" t="str">
        <v>ORANGE</v>
      </c>
      <c r="B82" s="1" t="str">
        <v>DEFAULT</v>
      </c>
      <c r="C82" s="1" t="str">
        <v>NEVO</v>
      </c>
      <c r="D82" s="1" t="str">
        <v>171</v>
      </c>
      <c r="E82" s="1" t="str">
        <v>48</v>
      </c>
      <c r="F82" s="1" t="str">
        <v/>
      </c>
      <c r="G82" s="1" t="str">
        <v>0.8</v>
      </c>
      <c r="H82" s="1" t="str">
        <v>7.9</v>
      </c>
      <c r="I82" s="1" t="str">
        <v>1</v>
      </c>
      <c r="J82" s="1" t="str">
        <v>0</v>
      </c>
      <c r="K82" s="1" t="str">
        <v>2</v>
      </c>
      <c r="L82" s="1" t="str">
        <v>7.7</v>
      </c>
      <c r="M82" s="1" t="str">
        <v>0.001</v>
      </c>
      <c r="N82" s="1" t="str">
        <v>0.003</v>
      </c>
      <c r="O82" t="str">
        <v>88</v>
      </c>
    </row>
    <row r="83" spans="1:15" x14ac:dyDescent="0.2">
      <c r="A83" s="1" t="str">
        <v>ORANGE_JUICE_100</v>
      </c>
      <c r="B83" s="1" t="str">
        <v>DEFAULT</v>
      </c>
      <c r="C83" s="1" t="str">
        <v>USDA_FOUNDATION</v>
      </c>
      <c r="D83" s="1" t="str">
        <v>2003591</v>
      </c>
      <c r="E83" s="1" t="str">
        <v>47</v>
      </c>
      <c r="F83" s="1" t="str">
        <v>48.9</v>
      </c>
      <c r="G83" s="1" t="str">
        <v>0.73</v>
      </c>
      <c r="H83" s="1" t="str">
        <v>10.3</v>
      </c>
      <c r="I83" s="1" t="str">
        <v>0.32</v>
      </c>
      <c r="J83" s="1" t="str">
        <v>0</v>
      </c>
      <c r="K83" s="1" t="str">
        <v>0</v>
      </c>
      <c r="L83" s="1" t="str">
        <v>8.28</v>
      </c>
      <c r="M83" s="1" t="str">
        <v>0.005</v>
      </c>
      <c r="N83" s="1" t="str">
        <v>0.013</v>
      </c>
      <c r="O83" t="str">
        <v>88.2</v>
      </c>
    </row>
    <row r="84" spans="1:15" x14ac:dyDescent="0.2">
      <c r="A84" s="1" t="str">
        <v>PAPAYA</v>
      </c>
      <c r="B84" s="1" t="str">
        <v>DEFAULT</v>
      </c>
      <c r="C84" s="1" t="str">
        <v>NEVO</v>
      </c>
      <c r="D84" s="1" t="str">
        <v>693</v>
      </c>
      <c r="E84" s="1" t="str">
        <v>39</v>
      </c>
      <c r="F84" s="1" t="str">
        <v/>
      </c>
      <c r="G84" s="1" t="str">
        <v>0.5</v>
      </c>
      <c r="H84" s="1" t="str">
        <v>7.8</v>
      </c>
      <c r="I84" s="1" t="str">
        <v>0.3</v>
      </c>
      <c r="J84" s="1" t="str">
        <v>0</v>
      </c>
      <c r="K84" s="1" t="str">
        <v>1.7</v>
      </c>
      <c r="L84" s="1" t="str">
        <v>7.8</v>
      </c>
      <c r="M84" s="1" t="str">
        <v>0.001</v>
      </c>
      <c r="N84" s="1" t="str">
        <v>0.003</v>
      </c>
      <c r="O84" t="str">
        <v>89.8</v>
      </c>
    </row>
    <row r="85" spans="1:15" x14ac:dyDescent="0.2">
      <c r="A85" s="1" t="str">
        <v>PASSIONFRUIT</v>
      </c>
      <c r="B85" s="1" t="str">
        <v>DEFAULT</v>
      </c>
      <c r="C85" s="1" t="str">
        <v>NEVO</v>
      </c>
      <c r="D85" s="1" t="str">
        <v>1074</v>
      </c>
      <c r="E85" s="1" t="str">
        <v>52</v>
      </c>
      <c r="F85" s="1" t="str">
        <v/>
      </c>
      <c r="G85" s="1" t="str">
        <v>2.6</v>
      </c>
      <c r="H85" s="1" t="str">
        <v>5.7</v>
      </c>
      <c r="I85" s="1" t="str">
        <v>0.4</v>
      </c>
      <c r="J85" s="1" t="str">
        <v>0</v>
      </c>
      <c r="K85" s="1" t="str">
        <v>3.3</v>
      </c>
      <c r="L85" s="1" t="str">
        <v>5.7</v>
      </c>
      <c r="M85" s="1" t="str">
        <v>0.019</v>
      </c>
      <c r="N85" s="1" t="str">
        <v>0.048</v>
      </c>
      <c r="O85" t="str">
        <v>85</v>
      </c>
    </row>
    <row r="86" spans="1:15" x14ac:dyDescent="0.2">
      <c r="A86" s="1" t="str">
        <v>PEANUT_BUTTER_100</v>
      </c>
      <c r="B86" s="1" t="str">
        <v>DEFAULT</v>
      </c>
      <c r="C86" s="1" t="str">
        <v>NEVO</v>
      </c>
      <c r="D86" s="1" t="str">
        <v>455</v>
      </c>
      <c r="E86" s="1" t="str">
        <v>654</v>
      </c>
      <c r="F86" s="1" t="str">
        <v/>
      </c>
      <c r="G86" s="1" t="str">
        <v>22.5</v>
      </c>
      <c r="H86" s="1" t="str">
        <v>10</v>
      </c>
      <c r="I86" s="1" t="str">
        <v>56.4</v>
      </c>
      <c r="J86" s="1" t="str">
        <v>0</v>
      </c>
      <c r="K86" s="1" t="str">
        <v>8</v>
      </c>
      <c r="L86" s="1" t="str">
        <v>0</v>
      </c>
      <c r="M86" s="1" t="str">
        <v>0.248</v>
      </c>
      <c r="N86" s="1" t="str">
        <v>0.62</v>
      </c>
      <c r="O86" t="str">
        <v>0.6</v>
      </c>
    </row>
    <row r="87" spans="1:15" x14ac:dyDescent="0.2">
      <c r="A87" s="1" t="str">
        <v>PEACH</v>
      </c>
      <c r="B87" s="1" t="str">
        <v>WITH_SKIN</v>
      </c>
      <c r="C87" s="1" t="str">
        <v>NEVO</v>
      </c>
      <c r="D87" s="1" t="str">
        <v>5079</v>
      </c>
      <c r="E87" s="1" t="str">
        <v>40</v>
      </c>
      <c r="F87" s="1" t="str">
        <v/>
      </c>
      <c r="G87" s="1" t="str">
        <v>1</v>
      </c>
      <c r="H87" s="1" t="str">
        <v>7.2</v>
      </c>
      <c r="I87" s="1" t="str">
        <v>0.1</v>
      </c>
      <c r="J87" s="1" t="str">
        <v>0</v>
      </c>
      <c r="K87" s="1" t="str">
        <v>2</v>
      </c>
      <c r="L87" s="1" t="str">
        <v>7.2</v>
      </c>
      <c r="M87" s="1" t="str">
        <v>0.001</v>
      </c>
      <c r="N87" s="1" t="str">
        <v>0.003</v>
      </c>
      <c r="O87" t="str">
        <v>88.9</v>
      </c>
    </row>
    <row r="88" spans="1:15" x14ac:dyDescent="0.2">
      <c r="A88" s="1" t="str">
        <v>PEACH</v>
      </c>
      <c r="B88" s="1" t="str">
        <v>WITHOUT_SKIN</v>
      </c>
      <c r="C88" s="1" t="str">
        <v>NEVO</v>
      </c>
      <c r="D88" s="1" t="str">
        <v>169</v>
      </c>
      <c r="E88" s="1" t="str">
        <v>41</v>
      </c>
      <c r="F88" s="1" t="str">
        <v/>
      </c>
      <c r="G88" s="1" t="str">
        <v>1</v>
      </c>
      <c r="H88" s="1" t="str">
        <v>7.9</v>
      </c>
      <c r="I88" s="1" t="str">
        <v>0</v>
      </c>
      <c r="J88" s="1" t="str">
        <v>0</v>
      </c>
      <c r="K88" s="1" t="str">
        <v>1.4</v>
      </c>
      <c r="L88" s="1" t="str">
        <v>7.9</v>
      </c>
      <c r="M88" s="1" t="str">
        <v>0</v>
      </c>
      <c r="N88" s="1" t="str">
        <v>0</v>
      </c>
      <c r="O88" t="str">
        <v>89</v>
      </c>
    </row>
    <row r="89" spans="1:15" x14ac:dyDescent="0.2">
      <c r="A89" s="1" t="str">
        <v>PEAR</v>
      </c>
      <c r="B89" s="1" t="str">
        <v>WITH_SKIN</v>
      </c>
      <c r="C89" s="1" t="str">
        <v>NEVO</v>
      </c>
      <c r="D89" s="1" t="str">
        <v>2748</v>
      </c>
      <c r="E89" s="1" t="str">
        <v>55</v>
      </c>
      <c r="F89" s="1" t="str">
        <v/>
      </c>
      <c r="G89" s="1" t="str">
        <v>0.2</v>
      </c>
      <c r="H89" s="1" t="str">
        <v>11.7</v>
      </c>
      <c r="I89" s="1" t="str">
        <v>0.3</v>
      </c>
      <c r="J89" s="1" t="str">
        <v>0</v>
      </c>
      <c r="K89" s="1" t="str">
        <v>2.2</v>
      </c>
      <c r="L89" s="1" t="str">
        <v>0</v>
      </c>
      <c r="M89" s="1" t="str">
        <v>0.001</v>
      </c>
      <c r="N89" s="1" t="str">
        <v>0.003</v>
      </c>
      <c r="O89" t="str">
        <v>85.4</v>
      </c>
    </row>
    <row r="90" spans="1:15" x14ac:dyDescent="0.2">
      <c r="A90" s="1" t="str">
        <v>PEAR</v>
      </c>
      <c r="B90" s="1" t="str">
        <v>WITHOUT_SKIN</v>
      </c>
      <c r="C90" s="1" t="str">
        <v>NEVO</v>
      </c>
      <c r="D90" s="1" t="str">
        <v>168</v>
      </c>
      <c r="E90" s="1" t="str">
        <v>53</v>
      </c>
      <c r="F90" s="1" t="str">
        <v/>
      </c>
      <c r="G90" s="1" t="str">
        <v>0.3</v>
      </c>
      <c r="H90" s="1" t="str">
        <v>11.7</v>
      </c>
      <c r="I90" s="1" t="str">
        <v>0.2</v>
      </c>
      <c r="J90" s="1" t="str">
        <v>0</v>
      </c>
      <c r="K90" s="1" t="str">
        <v>1.6</v>
      </c>
      <c r="L90" s="1" t="str">
        <v>0</v>
      </c>
      <c r="M90" s="1" t="str">
        <v>0.001</v>
      </c>
      <c r="N90" s="1" t="str">
        <v>0.003</v>
      </c>
      <c r="O90" t="str">
        <v>85.9</v>
      </c>
    </row>
    <row r="91" spans="1:15" x14ac:dyDescent="0.2">
      <c r="A91" s="1" t="str">
        <v>PINEAPPLE</v>
      </c>
      <c r="B91" s="1" t="str">
        <v>DEFAULT</v>
      </c>
      <c r="C91" s="1" t="str">
        <v>NEVO</v>
      </c>
      <c r="D91" s="1" t="str">
        <v>150</v>
      </c>
      <c r="E91" s="1" t="str">
        <v>54</v>
      </c>
      <c r="F91" s="1" t="str">
        <v/>
      </c>
      <c r="G91" s="1" t="str">
        <v>0.5</v>
      </c>
      <c r="H91" s="1" t="str">
        <v>12</v>
      </c>
      <c r="I91" s="1" t="str">
        <v>0.1</v>
      </c>
      <c r="J91" s="1" t="str">
        <v>0</v>
      </c>
      <c r="K91" s="1" t="str">
        <v>1.6</v>
      </c>
      <c r="L91" s="1" t="str">
        <v>11.6</v>
      </c>
      <c r="M91" s="1" t="str">
        <v>0</v>
      </c>
      <c r="N91" s="1" t="str">
        <v>0</v>
      </c>
      <c r="O91" t="str">
        <v>85.6</v>
      </c>
    </row>
    <row r="92" spans="1:15" x14ac:dyDescent="0.2">
      <c r="A92" s="1" t="str">
        <v>PLUM</v>
      </c>
      <c r="B92" s="1" t="str">
        <v>DEFAULT</v>
      </c>
      <c r="C92" s="1" t="str">
        <v>NEVO</v>
      </c>
      <c r="D92" s="1" t="str">
        <v>170</v>
      </c>
      <c r="E92" s="1" t="str">
        <v>40</v>
      </c>
      <c r="F92" s="1" t="str">
        <v/>
      </c>
      <c r="G92" s="1" t="str">
        <v>0.8</v>
      </c>
      <c r="H92" s="1" t="str">
        <v>7.3</v>
      </c>
      <c r="I92" s="1" t="str">
        <v>0</v>
      </c>
      <c r="J92" s="1" t="str">
        <v>0</v>
      </c>
      <c r="K92" s="1" t="str">
        <v>2.2</v>
      </c>
      <c r="L92" s="1" t="str">
        <v>7.3</v>
      </c>
      <c r="M92" s="1" t="str">
        <v>0</v>
      </c>
      <c r="N92" s="1" t="str">
        <v>0</v>
      </c>
      <c r="O92" t="str">
        <v>88</v>
      </c>
    </row>
    <row r="93" spans="1:15" x14ac:dyDescent="0.2">
      <c r="A93" s="1" t="str">
        <v>POMEGRANATE</v>
      </c>
      <c r="B93" s="1" t="str">
        <v>DEFAULT</v>
      </c>
      <c r="C93" s="1" t="str">
        <v>NEVO</v>
      </c>
      <c r="D93" s="1" t="str">
        <v>1007</v>
      </c>
      <c r="E93" s="1" t="str">
        <v>91</v>
      </c>
      <c r="F93" s="1" t="str">
        <v/>
      </c>
      <c r="G93" s="1" t="str">
        <v>1</v>
      </c>
      <c r="H93" s="1" t="str">
        <v>17</v>
      </c>
      <c r="I93" s="1" t="str">
        <v>1</v>
      </c>
      <c r="J93" s="1" t="str">
        <v>0</v>
      </c>
      <c r="K93" s="1" t="str">
        <v>3.4</v>
      </c>
      <c r="L93" s="1" t="str">
        <v>1.2</v>
      </c>
      <c r="M93" s="1" t="str">
        <v>0.001</v>
      </c>
      <c r="N93" s="1" t="str">
        <v>0.003</v>
      </c>
      <c r="O93" t="str">
        <v>82</v>
      </c>
    </row>
    <row r="94" spans="1:15" x14ac:dyDescent="0.2">
      <c r="A94" s="1" t="str">
        <v>RASPBERRY</v>
      </c>
      <c r="B94" s="1" t="str">
        <v>DEFAULT</v>
      </c>
      <c r="C94" s="1" t="str">
        <v>NEVO</v>
      </c>
      <c r="D94" s="1" t="str">
        <v>161</v>
      </c>
      <c r="E94" s="1" t="str">
        <v>37</v>
      </c>
      <c r="F94" s="1" t="str">
        <v/>
      </c>
      <c r="G94" s="1" t="str">
        <v>1.4</v>
      </c>
      <c r="H94" s="1" t="str">
        <v>4.5</v>
      </c>
      <c r="I94" s="1" t="str">
        <v>0.3</v>
      </c>
      <c r="J94" s="1" t="str">
        <v>0</v>
      </c>
      <c r="K94" s="1" t="str">
        <v>2.5</v>
      </c>
      <c r="L94" s="1" t="str">
        <v>4.5</v>
      </c>
      <c r="M94" s="1" t="str">
        <v>0.003</v>
      </c>
      <c r="N94" s="1" t="str">
        <v>0.008</v>
      </c>
      <c r="O94" t="str">
        <v>88</v>
      </c>
    </row>
    <row r="95" spans="1:15" x14ac:dyDescent="0.2">
      <c r="A95" s="1" t="str">
        <v>SANDWICH_CHEESE_CHIVES_WASA</v>
      </c>
      <c r="B95" s="1" t="str">
        <v>DEFAULT</v>
      </c>
      <c r="C95" s="1" t="str">
        <v>MANUFACTURER</v>
      </c>
      <c r="D95" s="1" t="str">
        <v>WASA_SANDWICH_CHEESE_CHIVES_2026</v>
      </c>
      <c r="E95" s="1" t="str">
        <v>451</v>
      </c>
      <c r="F95" s="1" t="str">
        <v/>
      </c>
      <c r="G95" s="1" t="str">
        <v>10</v>
      </c>
      <c r="H95" s="1" t="str">
        <v>49.5</v>
      </c>
      <c r="I95" s="1" t="str">
        <v>21</v>
      </c>
      <c r="J95" s="1" t="str">
        <v>0</v>
      </c>
      <c r="K95" s="1" t="str">
        <v>12</v>
      </c>
      <c r="L95" s="1" t="str">
        <v>3</v>
      </c>
      <c r="M95" s="1" t="str">
        <v>0.445</v>
      </c>
      <c r="N95" s="1" t="str">
        <v>1.113</v>
      </c>
      <c r="O95" t="str">
        <v>0</v>
      </c>
    </row>
    <row r="96" spans="1:15" x14ac:dyDescent="0.2">
      <c r="A96" s="1" t="str">
        <v>STRAWBERRY</v>
      </c>
      <c r="B96" s="1" t="str">
        <v>DEFAULT</v>
      </c>
      <c r="C96" s="1" t="str">
        <v>NEVO</v>
      </c>
      <c r="D96" s="1" t="str">
        <v>148</v>
      </c>
      <c r="E96" s="1" t="str">
        <v>29</v>
      </c>
      <c r="F96" s="1" t="str">
        <v/>
      </c>
      <c r="G96" s="1" t="str">
        <v>0.7</v>
      </c>
      <c r="H96" s="1" t="str">
        <v>5.1</v>
      </c>
      <c r="I96" s="1" t="str">
        <v>0</v>
      </c>
      <c r="J96" s="1" t="str">
        <v>0</v>
      </c>
      <c r="K96" s="1" t="str">
        <v>1.1</v>
      </c>
      <c r="L96" s="1" t="str">
        <v>5.1</v>
      </c>
      <c r="M96" s="1" t="str">
        <v>0.003</v>
      </c>
      <c r="N96" s="1" t="str">
        <v>0.008</v>
      </c>
      <c r="O96" t="str">
        <v>91.2</v>
      </c>
    </row>
    <row r="97" spans="1:15" x14ac:dyDescent="0.2">
      <c r="A97" s="1" t="str">
        <v>TEA</v>
      </c>
      <c r="B97" s="1" t="str">
        <v>DEFAULT</v>
      </c>
      <c r="C97" s="1" t="str">
        <v>USDA_SR_LEGACY</v>
      </c>
      <c r="D97" s="1" t="str">
        <v>173227</v>
      </c>
      <c r="E97" s="1" t="str">
        <v>1.2</v>
      </c>
      <c r="F97" s="1" t="str">
        <v>1.2</v>
      </c>
      <c r="G97" s="1" t="str">
        <v>0</v>
      </c>
      <c r="H97" s="1" t="str">
        <v>0.3</v>
      </c>
      <c r="I97" s="1" t="str">
        <v>0</v>
      </c>
      <c r="J97" s="1" t="str">
        <v>0</v>
      </c>
      <c r="K97" s="1" t="str">
        <v>0</v>
      </c>
      <c r="L97" s="1" t="str">
        <v>0</v>
      </c>
      <c r="M97" s="1" t="str">
        <v>0</v>
      </c>
      <c r="N97" s="1" t="str">
        <v>0</v>
      </c>
      <c r="O97" t="str">
        <v>99.7</v>
      </c>
    </row>
    <row r="98" spans="1:15" x14ac:dyDescent="0.2">
      <c r="A98" s="1" t="str">
        <v>TEA</v>
      </c>
      <c r="B98" s="1" t="str">
        <v>WITH_HONEY</v>
      </c>
      <c r="C98" s="1" t="str">
        <v>CALCULATED</v>
      </c>
      <c r="D98" s="1" t="str">
        <v>GENERIC_TEA_WITH_HONEY</v>
      </c>
      <c r="E98" s="1" t="str">
        <v>15.2</v>
      </c>
      <c r="F98" s="1" t="str">
        <v>15.2</v>
      </c>
      <c r="G98" s="1" t="str">
        <v>0</v>
      </c>
      <c r="H98" s="1" t="str">
        <v>3.8</v>
      </c>
      <c r="I98" s="1" t="str">
        <v>0</v>
      </c>
      <c r="J98" s="1" t="str">
        <v>0</v>
      </c>
      <c r="K98" s="1" t="str">
        <v>0</v>
      </c>
      <c r="L98" s="1" t="str">
        <v>3.5</v>
      </c>
      <c r="M98" s="1" t="str">
        <v>0</v>
      </c>
      <c r="N98" s="1" t="str">
        <v>0</v>
      </c>
      <c r="O98" t="str">
        <v>96.5</v>
      </c>
    </row>
    <row r="99" spans="1:15" x14ac:dyDescent="0.2">
      <c r="A99" s="1" t="str">
        <v>TEA</v>
      </c>
      <c r="B99" s="1" t="str">
        <v>WITH_MILK</v>
      </c>
      <c r="C99" s="1" t="str">
        <v>CALCULATED</v>
      </c>
      <c r="D99" s="1" t="str">
        <v>GENERIC_TEA_WITH_MILK</v>
      </c>
      <c r="E99" s="1" t="str">
        <v>5.4</v>
      </c>
      <c r="F99" s="1" t="str">
        <v>5.4</v>
      </c>
      <c r="G99" s="1" t="str">
        <v>0.35</v>
      </c>
      <c r="H99" s="1" t="str">
        <v>0.65</v>
      </c>
      <c r="I99" s="1" t="str">
        <v>0.15</v>
      </c>
      <c r="J99" s="1" t="str">
        <v>0</v>
      </c>
      <c r="K99" s="1" t="str">
        <v>0</v>
      </c>
      <c r="L99" s="1" t="str">
        <v>0</v>
      </c>
      <c r="M99" s="1" t="str">
        <v>0.004</v>
      </c>
      <c r="N99" s="1" t="str">
        <v>0.01</v>
      </c>
      <c r="O99" t="str">
        <v>98.7</v>
      </c>
    </row>
    <row r="100" spans="1:15" x14ac:dyDescent="0.2">
      <c r="A100" s="1" t="str">
        <v>TEA</v>
      </c>
      <c r="B100" s="1" t="str">
        <v>WITH_SUGAR</v>
      </c>
      <c r="C100" s="1" t="str">
        <v>CALCULATED</v>
      </c>
      <c r="D100" s="1" t="str">
        <v>GENERIC_TEA_WITH_SUGAR</v>
      </c>
      <c r="E100" s="1" t="str">
        <v>11.2</v>
      </c>
      <c r="F100" s="1" t="str">
        <v>11.2</v>
      </c>
      <c r="G100" s="1" t="str">
        <v>0</v>
      </c>
      <c r="H100" s="1" t="str">
        <v>2.8</v>
      </c>
      <c r="I100" s="1" t="str">
        <v>0</v>
      </c>
      <c r="J100" s="1" t="str">
        <v>0</v>
      </c>
      <c r="K100" s="1" t="str">
        <v>0</v>
      </c>
      <c r="L100" s="1" t="str">
        <v>2.5</v>
      </c>
      <c r="M100" s="1" t="str">
        <v>0</v>
      </c>
      <c r="N100" s="1" t="str">
        <v>0</v>
      </c>
      <c r="O100" t="str">
        <v>97.2</v>
      </c>
    </row>
    <row r="101" spans="1:15" x14ac:dyDescent="0.2">
      <c r="A101" s="1" t="str">
        <v>TEA</v>
      </c>
      <c r="B101" s="1" t="str">
        <v>WITH_SUGAR_MILK</v>
      </c>
      <c r="C101" s="1" t="str">
        <v>CALCULATED</v>
      </c>
      <c r="D101" s="1" t="str">
        <v>GENERIC_TEA_WITH_SUGAR_MILK</v>
      </c>
      <c r="E101" s="1" t="str">
        <v>16.6</v>
      </c>
      <c r="F101" s="1" t="str">
        <v>16.6</v>
      </c>
      <c r="G101" s="1" t="str">
        <v>0.35</v>
      </c>
      <c r="H101" s="1" t="str">
        <v>3.45</v>
      </c>
      <c r="I101" s="1" t="str">
        <v>0.15</v>
      </c>
      <c r="J101" s="1" t="str">
        <v>0</v>
      </c>
      <c r="K101" s="1" t="str">
        <v>0</v>
      </c>
      <c r="L101" s="1" t="str">
        <v>2.5</v>
      </c>
      <c r="M101" s="1" t="str">
        <v>0</v>
      </c>
      <c r="N101" s="1" t="str">
        <v>0</v>
      </c>
      <c r="O101" t="str">
        <v>96.2</v>
      </c>
    </row>
    <row r="102" spans="1:15" x14ac:dyDescent="0.2">
      <c r="A102" s="1" t="str">
        <v>WATER</v>
      </c>
      <c r="B102" s="1" t="str">
        <v>DEFAULT</v>
      </c>
      <c r="C102" s="1" t="str">
        <v>USDA_SR_LEGACY</v>
      </c>
      <c r="D102" s="1" t="str">
        <v>173647</v>
      </c>
      <c r="E102" s="1" t="str">
        <v>0</v>
      </c>
      <c r="F102" s="1" t="str">
        <v>0</v>
      </c>
      <c r="G102" s="1" t="str">
        <v>0</v>
      </c>
      <c r="H102" s="1" t="str">
        <v>0</v>
      </c>
      <c r="I102" s="1" t="str">
        <v>0</v>
      </c>
      <c r="J102" s="1" t="str">
        <v>0</v>
      </c>
      <c r="K102" s="1" t="str">
        <v>0</v>
      </c>
      <c r="L102" s="1" t="str">
        <v>0</v>
      </c>
      <c r="M102" s="1" t="str">
        <v>0</v>
      </c>
      <c r="N102" s="1" t="str">
        <v>0</v>
      </c>
      <c r="O102" t="str">
        <v>100</v>
      </c>
    </row>
    <row r="103" spans="1:15" x14ac:dyDescent="0.2">
      <c r="A103" s="1" t="str">
        <v>WINE_RED</v>
      </c>
      <c r="B103" s="1" t="str">
        <v>DEFAULT</v>
      </c>
      <c r="C103" s="1" t="str">
        <v>NEVO</v>
      </c>
      <c r="D103" s="1" t="str">
        <v>422</v>
      </c>
      <c r="E103" s="1" t="str">
        <v>76</v>
      </c>
      <c r="F103" s="1" t="str">
        <v>75.2</v>
      </c>
      <c r="G103" s="1" t="str">
        <v>0.1</v>
      </c>
      <c r="H103" s="1" t="str">
        <v>0.2</v>
      </c>
      <c r="I103" s="1" t="str">
        <v>0</v>
      </c>
      <c r="J103" s="1" t="str">
        <v>10.7</v>
      </c>
      <c r="K103" s="1" t="str">
        <v>0</v>
      </c>
      <c r="L103" s="1" t="str">
        <v>0.2</v>
      </c>
      <c r="M103" s="1" t="str">
        <v>0.007</v>
      </c>
      <c r="N103" s="1" t="str">
        <v>0.018</v>
      </c>
      <c r="O103" t="str">
        <v>88.4</v>
      </c>
    </row>
    <row r="104" spans="1:15" x14ac:dyDescent="0.2">
      <c r="A104" s="1" t="str">
        <v>WINE_ROSE</v>
      </c>
      <c r="B104" s="1" t="str">
        <v>DEFAULT</v>
      </c>
      <c r="C104" s="1" t="str">
        <v>NEVO</v>
      </c>
      <c r="D104" s="1" t="str">
        <v>2610</v>
      </c>
      <c r="E104" s="1" t="str">
        <v>71</v>
      </c>
      <c r="F104" s="1" t="str">
        <v>70.3</v>
      </c>
      <c r="G104" s="1" t="str">
        <v>0.1</v>
      </c>
      <c r="H104" s="1" t="str">
        <v>2.5</v>
      </c>
      <c r="I104" s="1" t="str">
        <v>0</v>
      </c>
      <c r="J104" s="1" t="str">
        <v>8.7</v>
      </c>
      <c r="K104" s="1" t="str">
        <v>0</v>
      </c>
      <c r="L104" s="1" t="str">
        <v>2.5</v>
      </c>
      <c r="M104" s="1" t="str">
        <v>0.004</v>
      </c>
      <c r="N104" s="1" t="str">
        <v>0.01</v>
      </c>
      <c r="O104" t="str">
        <v>87.3</v>
      </c>
    </row>
    <row r="105" spans="1:15" x14ac:dyDescent="0.2">
      <c r="A105" s="1" t="str">
        <v>WINE_WHITE_DRY</v>
      </c>
      <c r="B105" s="1" t="str">
        <v>DEFAULT</v>
      </c>
      <c r="C105" s="1" t="str">
        <v>NEVO</v>
      </c>
      <c r="D105" s="1" t="str">
        <v>423</v>
      </c>
      <c r="E105" s="1" t="str">
        <v>67</v>
      </c>
      <c r="F105" s="1" t="str">
        <v>66.3</v>
      </c>
      <c r="G105" s="1" t="str">
        <v>0.1</v>
      </c>
      <c r="H105" s="1" t="str">
        <v>0.6</v>
      </c>
      <c r="I105" s="1" t="str">
        <v>0</v>
      </c>
      <c r="J105" s="1" t="str">
        <v>9.1</v>
      </c>
      <c r="K105" s="1" t="str">
        <v>0</v>
      </c>
      <c r="L105" s="1" t="str">
        <v>0.6</v>
      </c>
      <c r="M105" s="1" t="str">
        <v>0.004</v>
      </c>
      <c r="N105" s="1" t="str">
        <v>0.01</v>
      </c>
      <c r="O105" t="str">
        <v>86.1</v>
      </c>
    </row>
    <row r="106" spans="1:15" x14ac:dyDescent="0.2">
      <c r="A106" s="1" t="str">
        <v>WINE_WHITE_SWEET</v>
      </c>
      <c r="B106" s="1" t="str">
        <v>DEFAULT</v>
      </c>
      <c r="C106" s="1" t="str">
        <v>NEVO</v>
      </c>
      <c r="D106" s="1" t="str">
        <v>2142</v>
      </c>
      <c r="E106" s="1" t="str">
        <v>96</v>
      </c>
      <c r="F106" s="1" t="str">
        <v>95</v>
      </c>
      <c r="G106" s="1" t="str">
        <v>0.2</v>
      </c>
      <c r="H106" s="1" t="str">
        <v>5.9</v>
      </c>
      <c r="I106" s="1" t="str">
        <v>0</v>
      </c>
      <c r="J106" s="1" t="str">
        <v>10.2</v>
      </c>
      <c r="K106" s="1" t="str">
        <v>0</v>
      </c>
      <c r="L106" s="1" t="str">
        <v>5.9</v>
      </c>
      <c r="M106" s="1" t="str">
        <v>0.013</v>
      </c>
      <c r="N106" s="1" t="str">
        <v>0.033</v>
      </c>
      <c r="O106" t="str">
        <v>80.6</v>
      </c>
    </row>
  </sheetData>
  <sheetProtection sheet="1" objects="1" scenarios="1" selectLockedCells="1" selectUnlockedCell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FF9C2-32ED-E046-AEB6-68E310F9C66F}">
  <dimension ref="A1:H5001"/>
  <sheetViews>
    <sheetView zoomScale="120" zoomScaleNormal="120" workbookViewId="0">
      <selection activeCell="C7" sqref="C7"/>
    </sheetView>
  </sheetViews>
  <sheetFormatPr baseColWidth="10" defaultRowHeight="16" x14ac:dyDescent="0.2"/>
  <cols>
    <col min="1" max="1" width="32.33203125" style="1" bestFit="1" customWidth="1"/>
    <col min="2" max="2" width="19.1640625" style="1" customWidth="1"/>
    <col min="3" max="3" width="12.5" style="34" customWidth="1"/>
    <col min="4" max="4" width="17" style="53" bestFit="1" customWidth="1"/>
    <col min="5" max="5" width="14.83203125" style="53" bestFit="1" customWidth="1"/>
    <col min="6" max="6" width="16.1640625" style="1" bestFit="1" customWidth="1"/>
    <col min="7" max="7" width="10.83203125" style="1"/>
    <col min="8" max="8" width="13.83203125" style="1" bestFit="1" customWidth="1"/>
    <col min="9" max="16384" width="10.83203125" style="1"/>
  </cols>
  <sheetData>
    <row r="1" spans="1:8" s="5" customFormat="1" x14ac:dyDescent="0.2">
      <c r="A1" s="5" t="s">
        <v>0</v>
      </c>
      <c r="B1" s="5" t="s">
        <v>40</v>
      </c>
      <c r="C1" s="56" t="s">
        <v>412</v>
      </c>
      <c r="D1" s="54" t="s">
        <v>413</v>
      </c>
      <c r="E1" s="54" t="s">
        <v>414</v>
      </c>
      <c r="F1" s="5" t="s">
        <v>415</v>
      </c>
      <c r="H1" s="5" t="s">
        <v>890</v>
      </c>
    </row>
    <row r="2" spans="1:8" s="11" customFormat="1" x14ac:dyDescent="0.2">
      <c r="A2" s="33" t="s">
        <v>615</v>
      </c>
      <c r="B2" s="33" t="s">
        <v>579</v>
      </c>
      <c r="C2" s="57" t="s">
        <v>485</v>
      </c>
      <c r="D2" s="55" cm="1">
        <f t="array" ref="D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69</v>
      </c>
      <c r="E2" s="55" t="str" cm="1">
        <f t="array" ref="E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2" s="43">
        <v>1</v>
      </c>
      <c r="H2" s="11" t="str">
        <f>IFERROR(VLOOKUP(tbl_product_scores[[#This Row],[product_key]],tbl_products[[product_key]:[group_display_key]],2,FALSE),"")</f>
        <v>FRUITS</v>
      </c>
    </row>
    <row r="3" spans="1:8" x14ac:dyDescent="0.2">
      <c r="A3" s="33" t="s">
        <v>615</v>
      </c>
      <c r="B3" s="33" t="s">
        <v>579</v>
      </c>
      <c r="C3" s="58" t="s">
        <v>486</v>
      </c>
      <c r="D3" s="55" cm="1">
        <f t="array" ref="D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65</v>
      </c>
      <c r="E3" s="55" t="str" cm="1">
        <f t="array" ref="E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3" s="43">
        <v>1</v>
      </c>
      <c r="H3" s="11" t="str">
        <f>IFERROR(VLOOKUP(tbl_product_scores[[#This Row],[product_key]],tbl_products[[product_key]:[group_display_key]],2,FALSE),"")</f>
        <v>FRUITS</v>
      </c>
    </row>
    <row r="4" spans="1:8" x14ac:dyDescent="0.2">
      <c r="A4" s="33" t="s">
        <v>615</v>
      </c>
      <c r="B4" s="33" t="s">
        <v>579</v>
      </c>
      <c r="C4" s="59" t="s">
        <v>487</v>
      </c>
      <c r="D4" s="55" cm="1">
        <f t="array" ref="D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48</v>
      </c>
      <c r="E4" s="55" t="str" cm="1">
        <f t="array" ref="E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4" s="43">
        <v>1</v>
      </c>
      <c r="H4" s="11" t="str">
        <f>IFERROR(VLOOKUP(tbl_product_scores[[#This Row],[product_key]],tbl_products[[product_key]:[group_display_key]],2,FALSE),"")</f>
        <v>FRUITS</v>
      </c>
    </row>
    <row r="5" spans="1:8" x14ac:dyDescent="0.2">
      <c r="A5" s="33" t="s">
        <v>615</v>
      </c>
      <c r="B5" s="33" t="s">
        <v>581</v>
      </c>
      <c r="C5" s="60" t="s">
        <v>485</v>
      </c>
      <c r="D5" s="55" cm="1">
        <f t="array" ref="D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68</v>
      </c>
      <c r="E5" s="55" t="str" cm="1">
        <f t="array" ref="E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5" s="43">
        <v>1</v>
      </c>
      <c r="H5" s="11" t="str">
        <f>IFERROR(VLOOKUP(tbl_product_scores[[#This Row],[product_key]],tbl_products[[product_key]:[group_display_key]],2,FALSE),"")</f>
        <v>FRUITS</v>
      </c>
    </row>
    <row r="6" spans="1:8" x14ac:dyDescent="0.2">
      <c r="A6" s="33" t="s">
        <v>615</v>
      </c>
      <c r="B6" s="33" t="s">
        <v>581</v>
      </c>
      <c r="C6" s="59" t="s">
        <v>486</v>
      </c>
      <c r="D6" s="55" cm="1">
        <f t="array" ref="D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62</v>
      </c>
      <c r="E6" s="55" t="str" cm="1">
        <f t="array" ref="E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6" s="43">
        <v>1</v>
      </c>
      <c r="H6" s="11" t="str">
        <f>IFERROR(VLOOKUP(tbl_product_scores[[#This Row],[product_key]],tbl_products[[product_key]:[group_display_key]],2,FALSE),"")</f>
        <v>FRUITS</v>
      </c>
    </row>
    <row r="7" spans="1:8" x14ac:dyDescent="0.2">
      <c r="A7" s="33" t="s">
        <v>615</v>
      </c>
      <c r="B7" s="33" t="s">
        <v>581</v>
      </c>
      <c r="C7" s="60" t="s">
        <v>487</v>
      </c>
      <c r="D7" s="55" cm="1">
        <f t="array" ref="D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48</v>
      </c>
      <c r="E7" s="55" t="str" cm="1">
        <f t="array" ref="E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7" s="43">
        <v>1</v>
      </c>
      <c r="H7" s="11" t="str">
        <f>IFERROR(VLOOKUP(tbl_product_scores[[#This Row],[product_key]],tbl_products[[product_key]:[group_display_key]],2,FALSE),"")</f>
        <v>FRUITS</v>
      </c>
    </row>
    <row r="8" spans="1:8" x14ac:dyDescent="0.2">
      <c r="A8" s="33" t="s">
        <v>883</v>
      </c>
      <c r="B8" s="33" t="s">
        <v>115</v>
      </c>
      <c r="C8" s="57" t="s">
        <v>485</v>
      </c>
      <c r="D8" s="55" cm="1">
        <f t="array" ref="D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59</v>
      </c>
      <c r="E8" s="55" t="str" cm="1">
        <f t="array" ref="E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8" s="43">
        <v>1</v>
      </c>
      <c r="H8" s="11" t="str">
        <f>IFERROR(VLOOKUP(tbl_product_scores[[#This Row],[product_key]],tbl_products[[product_key]:[group_display_key]],2,FALSE),"")</f>
        <v>FRUITS</v>
      </c>
    </row>
    <row r="9" spans="1:8" x14ac:dyDescent="0.2">
      <c r="A9" s="33" t="s">
        <v>883</v>
      </c>
      <c r="B9" s="33" t="s">
        <v>115</v>
      </c>
      <c r="C9" s="58" t="s">
        <v>486</v>
      </c>
      <c r="D9" s="55" cm="1">
        <f t="array" ref="D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55</v>
      </c>
      <c r="E9" s="55" t="str" cm="1">
        <f t="array" ref="E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9" s="43">
        <v>1</v>
      </c>
      <c r="H9" s="11" t="str">
        <f>IFERROR(VLOOKUP(tbl_product_scores[[#This Row],[product_key]],tbl_products[[product_key]:[group_display_key]],2,FALSE),"")</f>
        <v>FRUITS</v>
      </c>
    </row>
    <row r="10" spans="1:8" x14ac:dyDescent="0.2">
      <c r="A10" s="33" t="s">
        <v>883</v>
      </c>
      <c r="B10" s="33" t="s">
        <v>115</v>
      </c>
      <c r="C10" s="59" t="s">
        <v>487</v>
      </c>
      <c r="D10" s="55" cm="1">
        <f t="array" ref="D1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40</v>
      </c>
      <c r="E10" s="55" t="str" cm="1">
        <f t="array" ref="E1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10" s="43">
        <v>1</v>
      </c>
      <c r="H10" s="11" t="str">
        <f>IFERROR(VLOOKUP(tbl_product_scores[[#This Row],[product_key]],tbl_products[[product_key]:[group_display_key]],2,FALSE),"")</f>
        <v>FRUITS</v>
      </c>
    </row>
    <row r="11" spans="1:8" x14ac:dyDescent="0.2">
      <c r="A11" s="33" t="s">
        <v>1048</v>
      </c>
      <c r="B11" s="33" t="s">
        <v>365</v>
      </c>
      <c r="C11" s="60" t="s">
        <v>485</v>
      </c>
      <c r="D11" s="55" cm="1">
        <f t="array" ref="D1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60</v>
      </c>
      <c r="E11" s="55" t="str" cm="1">
        <f t="array" ref="E1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1" s="43">
        <v>1</v>
      </c>
      <c r="H11" s="11" t="str">
        <f>IFERROR(VLOOKUP(tbl_product_scores[[#This Row],[product_key]],tbl_products[[product_key]:[group_display_key]],2,FALSE),"")</f>
        <v>VEGETABLES</v>
      </c>
    </row>
    <row r="12" spans="1:8" x14ac:dyDescent="0.2">
      <c r="A12" s="33" t="s">
        <v>1048</v>
      </c>
      <c r="B12" s="33" t="s">
        <v>365</v>
      </c>
      <c r="C12" s="59" t="s">
        <v>486</v>
      </c>
      <c r="D12" s="55" cm="1">
        <f t="array" ref="D1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66</v>
      </c>
      <c r="E12" s="55" t="str" cm="1">
        <f t="array" ref="E1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12" s="43">
        <v>1</v>
      </c>
      <c r="H12" s="11" t="str">
        <f>IFERROR(VLOOKUP(tbl_product_scores[[#This Row],[product_key]],tbl_products[[product_key]:[group_display_key]],2,FALSE),"")</f>
        <v>VEGETABLES</v>
      </c>
    </row>
    <row r="13" spans="1:8" x14ac:dyDescent="0.2">
      <c r="A13" s="33" t="s">
        <v>1048</v>
      </c>
      <c r="B13" s="33" t="s">
        <v>365</v>
      </c>
      <c r="C13" s="60" t="s">
        <v>487</v>
      </c>
      <c r="D13" s="55" cm="1">
        <f t="array" ref="D1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72</v>
      </c>
      <c r="E13" s="55" t="str" cm="1">
        <f t="array" ref="E1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13" s="43">
        <v>1</v>
      </c>
      <c r="H13" s="11" t="str">
        <f>IFERROR(VLOOKUP(tbl_product_scores[[#This Row],[product_key]],tbl_products[[product_key]:[group_display_key]],2,FALSE),"")</f>
        <v>VEGETABLES</v>
      </c>
    </row>
    <row r="14" spans="1:8" x14ac:dyDescent="0.2">
      <c r="A14" s="33" t="s">
        <v>1055</v>
      </c>
      <c r="B14" s="33" t="s">
        <v>365</v>
      </c>
      <c r="C14" s="57" t="s">
        <v>485</v>
      </c>
      <c r="D14" s="55" cm="1">
        <f t="array" ref="D1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86</v>
      </c>
      <c r="E14" s="55" t="str" cm="1">
        <f t="array" ref="E1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A</v>
      </c>
      <c r="F14" s="43">
        <v>1</v>
      </c>
      <c r="H14" s="11" t="str">
        <f>IFERROR(VLOOKUP(tbl_product_scores[[#This Row],[product_key]],tbl_products[[product_key]:[group_display_key]],2,FALSE),"")</f>
        <v>VEGETABLES</v>
      </c>
    </row>
    <row r="15" spans="1:8" x14ac:dyDescent="0.2">
      <c r="A15" s="33" t="s">
        <v>1055</v>
      </c>
      <c r="B15" s="33" t="s">
        <v>365</v>
      </c>
      <c r="C15" s="58" t="s">
        <v>486</v>
      </c>
      <c r="D15" s="55" cm="1">
        <f t="array" ref="D1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80</v>
      </c>
      <c r="E15" s="55" t="str" cm="1">
        <f t="array" ref="E1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A</v>
      </c>
      <c r="F15" s="43">
        <v>1</v>
      </c>
      <c r="H15" s="11" t="str">
        <f>IFERROR(VLOOKUP(tbl_product_scores[[#This Row],[product_key]],tbl_products[[product_key]:[group_display_key]],2,FALSE),"")</f>
        <v>VEGETABLES</v>
      </c>
    </row>
    <row r="16" spans="1:8" x14ac:dyDescent="0.2">
      <c r="A16" s="33" t="s">
        <v>1055</v>
      </c>
      <c r="B16" s="33" t="s">
        <v>365</v>
      </c>
      <c r="C16" s="59" t="s">
        <v>487</v>
      </c>
      <c r="D16" s="55" cm="1">
        <f t="array" ref="D1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74</v>
      </c>
      <c r="E16" s="55" t="str" cm="1">
        <f t="array" ref="E1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16" s="43">
        <v>1</v>
      </c>
      <c r="H16" s="11" t="str">
        <f>IFERROR(VLOOKUP(tbl_product_scores[[#This Row],[product_key]],tbl_products[[product_key]:[group_display_key]],2,FALSE),"")</f>
        <v>VEGETABLES</v>
      </c>
    </row>
    <row r="17" spans="1:8" x14ac:dyDescent="0.2">
      <c r="A17" s="33" t="s">
        <v>1061</v>
      </c>
      <c r="B17" s="33" t="s">
        <v>363</v>
      </c>
      <c r="C17" s="60" t="s">
        <v>485</v>
      </c>
      <c r="D17" s="55" cm="1">
        <f t="array" ref="D1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86</v>
      </c>
      <c r="E17" s="55" t="str" cm="1">
        <f t="array" ref="E1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A</v>
      </c>
      <c r="F17" s="43">
        <v>1</v>
      </c>
      <c r="H17" s="11" t="str">
        <f>IFERROR(VLOOKUP(tbl_product_scores[[#This Row],[product_key]],tbl_products[[product_key]:[group_display_key]],2,FALSE),"")</f>
        <v>VEGETABLES</v>
      </c>
    </row>
    <row r="18" spans="1:8" x14ac:dyDescent="0.2">
      <c r="A18" s="33" t="s">
        <v>1061</v>
      </c>
      <c r="B18" s="33" t="s">
        <v>363</v>
      </c>
      <c r="C18" s="59" t="s">
        <v>486</v>
      </c>
      <c r="D18" s="55" cm="1">
        <f t="array" ref="D1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79</v>
      </c>
      <c r="E18" s="55" t="str" cm="1">
        <f t="array" ref="E1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18" s="43">
        <v>1</v>
      </c>
      <c r="H18" s="11" t="str">
        <f>IFERROR(VLOOKUP(tbl_product_scores[[#This Row],[product_key]],tbl_products[[product_key]:[group_display_key]],2,FALSE),"")</f>
        <v>VEGETABLES</v>
      </c>
    </row>
    <row r="19" spans="1:8" x14ac:dyDescent="0.2">
      <c r="A19" s="33" t="s">
        <v>1061</v>
      </c>
      <c r="B19" s="33" t="s">
        <v>363</v>
      </c>
      <c r="C19" s="60" t="s">
        <v>487</v>
      </c>
      <c r="D19" s="55" cm="1">
        <f t="array" ref="D1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73</v>
      </c>
      <c r="E19" s="55" t="str" cm="1">
        <f t="array" ref="E1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19" s="43">
        <v>1</v>
      </c>
      <c r="H19" s="11" t="str">
        <f>IFERROR(VLOOKUP(tbl_product_scores[[#This Row],[product_key]],tbl_products[[product_key]:[group_display_key]],2,FALSE),"")</f>
        <v>VEGETABLES</v>
      </c>
    </row>
    <row r="20" spans="1:8" x14ac:dyDescent="0.2">
      <c r="A20" s="33" t="s">
        <v>1061</v>
      </c>
      <c r="B20" s="33" t="s">
        <v>365</v>
      </c>
      <c r="C20" s="57" t="s">
        <v>485</v>
      </c>
      <c r="D20" s="55" cm="1">
        <f t="array" ref="D2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84</v>
      </c>
      <c r="E20" s="55" t="str" cm="1">
        <f t="array" ref="E2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20" s="43">
        <v>1</v>
      </c>
      <c r="H20" s="11" t="str">
        <f>IFERROR(VLOOKUP(tbl_product_scores[[#This Row],[product_key]],tbl_products[[product_key]:[group_display_key]],2,FALSE),"")</f>
        <v>VEGETABLES</v>
      </c>
    </row>
    <row r="21" spans="1:8" x14ac:dyDescent="0.2">
      <c r="A21" s="33" t="s">
        <v>1061</v>
      </c>
      <c r="B21" s="33" t="s">
        <v>365</v>
      </c>
      <c r="C21" s="58" t="s">
        <v>486</v>
      </c>
      <c r="D21" s="55" cm="1">
        <f t="array" ref="D2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77</v>
      </c>
      <c r="E21" s="55" t="str" cm="1">
        <f t="array" ref="E2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21" s="43">
        <v>1</v>
      </c>
      <c r="H21" s="11" t="str">
        <f>IFERROR(VLOOKUP(tbl_product_scores[[#This Row],[product_key]],tbl_products[[product_key]:[group_display_key]],2,FALSE),"")</f>
        <v>VEGETABLES</v>
      </c>
    </row>
    <row r="22" spans="1:8" x14ac:dyDescent="0.2">
      <c r="A22" s="33" t="s">
        <v>1061</v>
      </c>
      <c r="B22" s="33" t="s">
        <v>365</v>
      </c>
      <c r="C22" s="59" t="s">
        <v>487</v>
      </c>
      <c r="D22" s="55" cm="1">
        <f t="array" ref="D2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71</v>
      </c>
      <c r="E22" s="55" t="str" cm="1">
        <f t="array" ref="E2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22" s="43">
        <v>1</v>
      </c>
      <c r="H22" s="11" t="str">
        <f>IFERROR(VLOOKUP(tbl_product_scores[[#This Row],[product_key]],tbl_products[[product_key]:[group_display_key]],2,FALSE),"")</f>
        <v>VEGETABLES</v>
      </c>
    </row>
    <row r="23" spans="1:8" x14ac:dyDescent="0.2">
      <c r="A23" s="33" t="s">
        <v>1063</v>
      </c>
      <c r="B23" s="33" t="s">
        <v>363</v>
      </c>
      <c r="C23" s="60" t="s">
        <v>485</v>
      </c>
      <c r="D23" s="55" cm="1">
        <f t="array" ref="D2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89</v>
      </c>
      <c r="E23" s="55" t="str" cm="1">
        <f t="array" ref="E2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A</v>
      </c>
      <c r="F23" s="43">
        <v>1</v>
      </c>
      <c r="H23" s="11" t="str">
        <f>IFERROR(VLOOKUP(tbl_product_scores[[#This Row],[product_key]],tbl_products[[product_key]:[group_display_key]],2,FALSE),"")</f>
        <v>VEGETABLES</v>
      </c>
    </row>
    <row r="24" spans="1:8" x14ac:dyDescent="0.2">
      <c r="A24" s="33" t="s">
        <v>1063</v>
      </c>
      <c r="B24" s="33" t="s">
        <v>363</v>
      </c>
      <c r="C24" s="59" t="s">
        <v>486</v>
      </c>
      <c r="D24" s="55" cm="1">
        <f t="array" ref="D2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83</v>
      </c>
      <c r="E24" s="55" t="str" cm="1">
        <f t="array" ref="E2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A</v>
      </c>
      <c r="F24" s="43">
        <v>1</v>
      </c>
      <c r="H24" s="11" t="str">
        <f>IFERROR(VLOOKUP(tbl_product_scores[[#This Row],[product_key]],tbl_products[[product_key]:[group_display_key]],2,FALSE),"")</f>
        <v>VEGETABLES</v>
      </c>
    </row>
    <row r="25" spans="1:8" x14ac:dyDescent="0.2">
      <c r="A25" s="33" t="s">
        <v>1063</v>
      </c>
      <c r="B25" s="33" t="s">
        <v>363</v>
      </c>
      <c r="C25" s="60" t="s">
        <v>487</v>
      </c>
      <c r="D25" s="55" cm="1">
        <f t="array" ref="D2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78</v>
      </c>
      <c r="E25" s="55" t="str" cm="1">
        <f t="array" ref="E2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25" s="43">
        <v>1</v>
      </c>
      <c r="H25" s="11" t="str">
        <f>IFERROR(VLOOKUP(tbl_product_scores[[#This Row],[product_key]],tbl_products[[product_key]:[group_display_key]],2,FALSE),"")</f>
        <v>VEGETABLES</v>
      </c>
    </row>
    <row r="26" spans="1:8" x14ac:dyDescent="0.2">
      <c r="A26" s="33" t="s">
        <v>1063</v>
      </c>
      <c r="B26" s="33" t="s">
        <v>365</v>
      </c>
      <c r="C26" s="57" t="s">
        <v>485</v>
      </c>
      <c r="D26" s="55" cm="1">
        <f t="array" ref="D2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87</v>
      </c>
      <c r="E26" s="55" t="str" cm="1">
        <f t="array" ref="E2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A</v>
      </c>
      <c r="F26" s="43">
        <v>1</v>
      </c>
      <c r="H26" s="11" t="str">
        <f>IFERROR(VLOOKUP(tbl_product_scores[[#This Row],[product_key]],tbl_products[[product_key]:[group_display_key]],2,FALSE),"")</f>
        <v>VEGETABLES</v>
      </c>
    </row>
    <row r="27" spans="1:8" x14ac:dyDescent="0.2">
      <c r="A27" s="33" t="s">
        <v>1063</v>
      </c>
      <c r="B27" s="33" t="s">
        <v>365</v>
      </c>
      <c r="C27" s="58" t="s">
        <v>486</v>
      </c>
      <c r="D27" s="55" cm="1">
        <f t="array" ref="D2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82</v>
      </c>
      <c r="E27" s="55" t="str" cm="1">
        <f t="array" ref="E2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A</v>
      </c>
      <c r="F27" s="43">
        <v>1</v>
      </c>
      <c r="H27" s="11" t="str">
        <f>IFERROR(VLOOKUP(tbl_product_scores[[#This Row],[product_key]],tbl_products[[product_key]:[group_display_key]],2,FALSE),"")</f>
        <v>VEGETABLES</v>
      </c>
    </row>
    <row r="28" spans="1:8" x14ac:dyDescent="0.2">
      <c r="A28" s="33" t="s">
        <v>1063</v>
      </c>
      <c r="B28" s="33" t="s">
        <v>365</v>
      </c>
      <c r="C28" s="59" t="s">
        <v>487</v>
      </c>
      <c r="D28" s="55" cm="1">
        <f t="array" ref="D2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77</v>
      </c>
      <c r="E28" s="55" t="str" cm="1">
        <f t="array" ref="E2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28" s="43">
        <v>1</v>
      </c>
      <c r="H28" s="11" t="str">
        <f>IFERROR(VLOOKUP(tbl_product_scores[[#This Row],[product_key]],tbl_products[[product_key]:[group_display_key]],2,FALSE),"")</f>
        <v>VEGETABLES</v>
      </c>
    </row>
    <row r="29" spans="1:8" x14ac:dyDescent="0.2">
      <c r="A29" s="33" t="s">
        <v>1064</v>
      </c>
      <c r="B29" s="33" t="s">
        <v>363</v>
      </c>
      <c r="C29" s="60" t="s">
        <v>485</v>
      </c>
      <c r="D29" s="55" cm="1">
        <f t="array" ref="D2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76</v>
      </c>
      <c r="E29" s="55" t="str" cm="1">
        <f t="array" ref="E2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29" s="43">
        <v>1</v>
      </c>
      <c r="H29" s="11" t="str">
        <f>IFERROR(VLOOKUP(tbl_product_scores[[#This Row],[product_key]],tbl_products[[product_key]:[group_display_key]],2,FALSE),"")</f>
        <v>VEGETABLES</v>
      </c>
    </row>
    <row r="30" spans="1:8" x14ac:dyDescent="0.2">
      <c r="A30" s="33" t="s">
        <v>1064</v>
      </c>
      <c r="B30" s="33" t="s">
        <v>363</v>
      </c>
      <c r="C30" s="59" t="s">
        <v>486</v>
      </c>
      <c r="D30" s="55" cm="1">
        <f t="array" ref="D3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68</v>
      </c>
      <c r="E30" s="55" t="str" cm="1">
        <f t="array" ref="E3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30" s="43">
        <v>1</v>
      </c>
      <c r="H30" s="11" t="str">
        <f>IFERROR(VLOOKUP(tbl_product_scores[[#This Row],[product_key]],tbl_products[[product_key]:[group_display_key]],2,FALSE),"")</f>
        <v>VEGETABLES</v>
      </c>
    </row>
    <row r="31" spans="1:8" x14ac:dyDescent="0.2">
      <c r="A31" s="33" t="s">
        <v>1064</v>
      </c>
      <c r="B31" s="33" t="s">
        <v>363</v>
      </c>
      <c r="C31" s="60" t="s">
        <v>487</v>
      </c>
      <c r="D31" s="55" cm="1">
        <f t="array" ref="D3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61</v>
      </c>
      <c r="E31" s="55" t="str" cm="1">
        <f t="array" ref="E3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31" s="43">
        <v>1</v>
      </c>
      <c r="H31" s="11" t="str">
        <f>IFERROR(VLOOKUP(tbl_product_scores[[#This Row],[product_key]],tbl_products[[product_key]:[group_display_key]],2,FALSE),"")</f>
        <v>VEGETABLES</v>
      </c>
    </row>
    <row r="32" spans="1:8" x14ac:dyDescent="0.2">
      <c r="A32" s="33" t="s">
        <v>1064</v>
      </c>
      <c r="B32" s="33" t="s">
        <v>365</v>
      </c>
      <c r="C32" s="57" t="s">
        <v>485</v>
      </c>
      <c r="D32" s="55" cm="1">
        <f t="array" ref="D3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78</v>
      </c>
      <c r="E32" s="55" t="str" cm="1">
        <f t="array" ref="E3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32" s="43">
        <v>1</v>
      </c>
      <c r="H32" s="11" t="str">
        <f>IFERROR(VLOOKUP(tbl_product_scores[[#This Row],[product_key]],tbl_products[[product_key]:[group_display_key]],2,FALSE),"")</f>
        <v>VEGETABLES</v>
      </c>
    </row>
    <row r="33" spans="1:8" x14ac:dyDescent="0.2">
      <c r="A33" s="33" t="s">
        <v>1064</v>
      </c>
      <c r="B33" s="33" t="s">
        <v>365</v>
      </c>
      <c r="C33" s="58" t="s">
        <v>486</v>
      </c>
      <c r="D33" s="55" cm="1">
        <f t="array" ref="D3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69</v>
      </c>
      <c r="E33" s="55" t="str" cm="1">
        <f t="array" ref="E3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33" s="43">
        <v>1</v>
      </c>
      <c r="H33" s="11" t="str">
        <f>IFERROR(VLOOKUP(tbl_product_scores[[#This Row],[product_key]],tbl_products[[product_key]:[group_display_key]],2,FALSE),"")</f>
        <v>VEGETABLES</v>
      </c>
    </row>
    <row r="34" spans="1:8" x14ac:dyDescent="0.2">
      <c r="A34" s="33" t="s">
        <v>1064</v>
      </c>
      <c r="B34" s="33" t="s">
        <v>365</v>
      </c>
      <c r="C34" s="59" t="s">
        <v>487</v>
      </c>
      <c r="D34" s="55" cm="1">
        <f t="array" ref="D3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61</v>
      </c>
      <c r="E34" s="55" t="str" cm="1">
        <f t="array" ref="E3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34" s="43">
        <v>1</v>
      </c>
      <c r="H34" s="11" t="str">
        <f>IFERROR(VLOOKUP(tbl_product_scores[[#This Row],[product_key]],tbl_products[[product_key]:[group_display_key]],2,FALSE),"")</f>
        <v>VEGETABLES</v>
      </c>
    </row>
    <row r="35" spans="1:8" x14ac:dyDescent="0.2">
      <c r="A35" s="33" t="s">
        <v>452</v>
      </c>
      <c r="B35" s="33" t="s">
        <v>115</v>
      </c>
      <c r="C35" s="60" t="s">
        <v>485</v>
      </c>
      <c r="D35" s="55" cm="1">
        <f t="array" ref="D3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48</v>
      </c>
      <c r="E35" s="55" t="str" cm="1">
        <f t="array" ref="E3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35" s="43">
        <v>1</v>
      </c>
      <c r="H35" s="11" t="str">
        <f>IFERROR(VLOOKUP(tbl_product_scores[[#This Row],[product_key]],tbl_products[[product_key]:[group_display_key]],2,FALSE),"")</f>
        <v>FRUITS</v>
      </c>
    </row>
    <row r="36" spans="1:8" x14ac:dyDescent="0.2">
      <c r="A36" s="33" t="s">
        <v>452</v>
      </c>
      <c r="B36" s="33" t="s">
        <v>115</v>
      </c>
      <c r="C36" s="59" t="s">
        <v>486</v>
      </c>
      <c r="D36" s="55" cm="1">
        <f t="array" ref="D3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43</v>
      </c>
      <c r="E36" s="55" t="str" cm="1">
        <f t="array" ref="E3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36" s="43">
        <v>1</v>
      </c>
      <c r="H36" s="11" t="str">
        <f>IFERROR(VLOOKUP(tbl_product_scores[[#This Row],[product_key]],tbl_products[[product_key]:[group_display_key]],2,FALSE),"")</f>
        <v>FRUITS</v>
      </c>
    </row>
    <row r="37" spans="1:8" x14ac:dyDescent="0.2">
      <c r="A37" s="33" t="s">
        <v>452</v>
      </c>
      <c r="B37" s="33" t="s">
        <v>115</v>
      </c>
      <c r="C37" s="60" t="s">
        <v>487</v>
      </c>
      <c r="D37" s="55" cm="1">
        <f t="array" ref="D3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51</v>
      </c>
      <c r="E37" s="55" t="str" cm="1">
        <f t="array" ref="E3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37" s="43">
        <v>1</v>
      </c>
      <c r="H37" s="11" t="str">
        <f>IFERROR(VLOOKUP(tbl_product_scores[[#This Row],[product_key]],tbl_products[[product_key]:[group_display_key]],2,FALSE),"")</f>
        <v>FRUITS</v>
      </c>
    </row>
    <row r="38" spans="1:8" x14ac:dyDescent="0.2">
      <c r="A38" s="33" t="s">
        <v>547</v>
      </c>
      <c r="B38" s="33" t="s">
        <v>115</v>
      </c>
      <c r="C38" s="57" t="s">
        <v>485</v>
      </c>
      <c r="D38" s="55" cm="1">
        <f t="array" ref="D3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64</v>
      </c>
      <c r="E38" s="55" t="str" cm="1">
        <f t="array" ref="E3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38" s="43">
        <v>1</v>
      </c>
      <c r="H38" s="11" t="str">
        <f>IFERROR(VLOOKUP(tbl_product_scores[[#This Row],[product_key]],tbl_products[[product_key]:[group_display_key]],2,FALSE),"")</f>
        <v>FRUITS</v>
      </c>
    </row>
    <row r="39" spans="1:8" x14ac:dyDescent="0.2">
      <c r="A39" s="33" t="s">
        <v>547</v>
      </c>
      <c r="B39" s="33" t="s">
        <v>115</v>
      </c>
      <c r="C39" s="58" t="s">
        <v>486</v>
      </c>
      <c r="D39" s="55" cm="1">
        <f t="array" ref="D3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65</v>
      </c>
      <c r="E39" s="55" t="str" cm="1">
        <f t="array" ref="E3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39" s="43">
        <v>1</v>
      </c>
      <c r="H39" s="11" t="str">
        <f>IFERROR(VLOOKUP(tbl_product_scores[[#This Row],[product_key]],tbl_products[[product_key]:[group_display_key]],2,FALSE),"")</f>
        <v>FRUITS</v>
      </c>
    </row>
    <row r="40" spans="1:8" x14ac:dyDescent="0.2">
      <c r="A40" s="33" t="s">
        <v>547</v>
      </c>
      <c r="B40" s="33" t="s">
        <v>115</v>
      </c>
      <c r="C40" s="59" t="s">
        <v>487</v>
      </c>
      <c r="D40" s="55" cm="1">
        <f t="array" ref="D4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71</v>
      </c>
      <c r="E40" s="55" t="str" cm="1">
        <f t="array" ref="E4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40" s="43">
        <v>1</v>
      </c>
      <c r="H40" s="11" t="str">
        <f>IFERROR(VLOOKUP(tbl_product_scores[[#This Row],[product_key]],tbl_products[[product_key]:[group_display_key]],2,FALSE),"")</f>
        <v>FRUITS</v>
      </c>
    </row>
    <row r="41" spans="1:8" x14ac:dyDescent="0.2">
      <c r="A41" s="33" t="s">
        <v>282</v>
      </c>
      <c r="B41" s="33" t="s">
        <v>115</v>
      </c>
      <c r="C41" s="60" t="s">
        <v>485</v>
      </c>
      <c r="D41" s="55" cm="1">
        <f t="array" ref="D4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19</v>
      </c>
      <c r="E41" s="55" t="str" cm="1">
        <f t="array" ref="E4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E</v>
      </c>
      <c r="F41" s="43">
        <v>1</v>
      </c>
      <c r="H41" s="11" t="str">
        <f>IFERROR(VLOOKUP(tbl_product_scores[[#This Row],[product_key]],tbl_products[[product_key]:[group_display_key]],2,FALSE),"")</f>
        <v>BEVERAGES</v>
      </c>
    </row>
    <row r="42" spans="1:8" x14ac:dyDescent="0.2">
      <c r="A42" s="33" t="s">
        <v>282</v>
      </c>
      <c r="B42" s="33" t="s">
        <v>115</v>
      </c>
      <c r="C42" s="59" t="s">
        <v>486</v>
      </c>
      <c r="D42" s="55" cm="1">
        <f t="array" ref="D4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31</v>
      </c>
      <c r="E42" s="55" t="str" cm="1">
        <f t="array" ref="E4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E</v>
      </c>
      <c r="F42" s="43">
        <v>1</v>
      </c>
      <c r="H42" s="11" t="str">
        <f>IFERROR(VLOOKUP(tbl_product_scores[[#This Row],[product_key]],tbl_products[[product_key]:[group_display_key]],2,FALSE),"")</f>
        <v>BEVERAGES</v>
      </c>
    </row>
    <row r="43" spans="1:8" x14ac:dyDescent="0.2">
      <c r="A43" s="33" t="s">
        <v>282</v>
      </c>
      <c r="B43" s="33" t="s">
        <v>115</v>
      </c>
      <c r="C43" s="60" t="s">
        <v>487</v>
      </c>
      <c r="D43" s="55" cm="1">
        <f t="array" ref="D4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38</v>
      </c>
      <c r="E43" s="55" t="str" cm="1">
        <f t="array" ref="E4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43" s="43">
        <v>1</v>
      </c>
      <c r="H43" s="11" t="str">
        <f>IFERROR(VLOOKUP(tbl_product_scores[[#This Row],[product_key]],tbl_products[[product_key]:[group_display_key]],2,FALSE),"")</f>
        <v>BEVERAGES</v>
      </c>
    </row>
    <row r="44" spans="1:8" x14ac:dyDescent="0.2">
      <c r="A44" s="33" t="s">
        <v>1084</v>
      </c>
      <c r="B44" s="33" t="s">
        <v>363</v>
      </c>
      <c r="C44" s="57" t="s">
        <v>485</v>
      </c>
      <c r="D44" s="55" cm="1">
        <f t="array" ref="D4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80</v>
      </c>
      <c r="E44" s="55" t="str" cm="1">
        <f t="array" ref="E4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44" s="43">
        <v>1</v>
      </c>
      <c r="H44" s="11" t="str">
        <f>IFERROR(VLOOKUP(tbl_product_scores[[#This Row],[product_key]],tbl_products[[product_key]:[group_display_key]],2,FALSE),"")</f>
        <v>VEGETABLES</v>
      </c>
    </row>
    <row r="45" spans="1:8" x14ac:dyDescent="0.2">
      <c r="A45" s="33" t="s">
        <v>1084</v>
      </c>
      <c r="B45" s="33" t="s">
        <v>363</v>
      </c>
      <c r="C45" s="58" t="s">
        <v>486</v>
      </c>
      <c r="D45" s="55" cm="1">
        <f t="array" ref="D4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72</v>
      </c>
      <c r="E45" s="55" t="str" cm="1">
        <f t="array" ref="E4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45" s="43">
        <v>1</v>
      </c>
      <c r="H45" s="11" t="str">
        <f>IFERROR(VLOOKUP(tbl_product_scores[[#This Row],[product_key]],tbl_products[[product_key]:[group_display_key]],2,FALSE),"")</f>
        <v>VEGETABLES</v>
      </c>
    </row>
    <row r="46" spans="1:8" x14ac:dyDescent="0.2">
      <c r="A46" s="33" t="s">
        <v>1084</v>
      </c>
      <c r="B46" s="33" t="s">
        <v>363</v>
      </c>
      <c r="C46" s="59" t="s">
        <v>487</v>
      </c>
      <c r="D46" s="55" cm="1">
        <f t="array" ref="D4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64</v>
      </c>
      <c r="E46" s="55" t="str" cm="1">
        <f t="array" ref="E4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46" s="43">
        <v>1</v>
      </c>
      <c r="H46" s="11" t="str">
        <f>IFERROR(VLOOKUP(tbl_product_scores[[#This Row],[product_key]],tbl_products[[product_key]:[group_display_key]],2,FALSE),"")</f>
        <v>VEGETABLES</v>
      </c>
    </row>
    <row r="47" spans="1:8" x14ac:dyDescent="0.2">
      <c r="A47" s="33" t="s">
        <v>1084</v>
      </c>
      <c r="B47" s="33" t="s">
        <v>365</v>
      </c>
      <c r="C47" s="60" t="s">
        <v>485</v>
      </c>
      <c r="D47" s="55" cm="1">
        <f t="array" ref="D4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77</v>
      </c>
      <c r="E47" s="55" t="str" cm="1">
        <f t="array" ref="E4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47" s="43">
        <v>1</v>
      </c>
      <c r="H47" s="11" t="str">
        <f>IFERROR(VLOOKUP(tbl_product_scores[[#This Row],[product_key]],tbl_products[[product_key]:[group_display_key]],2,FALSE),"")</f>
        <v>VEGETABLES</v>
      </c>
    </row>
    <row r="48" spans="1:8" x14ac:dyDescent="0.2">
      <c r="A48" s="33" t="s">
        <v>1084</v>
      </c>
      <c r="B48" s="33" t="s">
        <v>365</v>
      </c>
      <c r="C48" s="59" t="s">
        <v>486</v>
      </c>
      <c r="D48" s="55" cm="1">
        <f t="array" ref="D4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75</v>
      </c>
      <c r="E48" s="55" t="str" cm="1">
        <f t="array" ref="E4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48" s="43">
        <v>1</v>
      </c>
      <c r="H48" s="11" t="str">
        <f>IFERROR(VLOOKUP(tbl_product_scores[[#This Row],[product_key]],tbl_products[[product_key]:[group_display_key]],2,FALSE),"")</f>
        <v>VEGETABLES</v>
      </c>
    </row>
    <row r="49" spans="1:8" x14ac:dyDescent="0.2">
      <c r="A49" s="33" t="s">
        <v>1084</v>
      </c>
      <c r="B49" s="33" t="s">
        <v>365</v>
      </c>
      <c r="C49" s="60" t="s">
        <v>487</v>
      </c>
      <c r="D49" s="55" cm="1">
        <f t="array" ref="D4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70</v>
      </c>
      <c r="E49" s="55" t="str" cm="1">
        <f t="array" ref="E4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49" s="43">
        <v>1</v>
      </c>
      <c r="H49" s="11" t="str">
        <f>IFERROR(VLOOKUP(tbl_product_scores[[#This Row],[product_key]],tbl_products[[product_key]:[group_display_key]],2,FALSE),"")</f>
        <v>VEGETABLES</v>
      </c>
    </row>
    <row r="50" spans="1:8" x14ac:dyDescent="0.2">
      <c r="A50" s="33" t="s">
        <v>989</v>
      </c>
      <c r="B50" s="33" t="s">
        <v>363</v>
      </c>
      <c r="C50" s="57" t="s">
        <v>485</v>
      </c>
      <c r="D50" s="55" cm="1">
        <f t="array" ref="D5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76</v>
      </c>
      <c r="E50" s="55" t="str" cm="1">
        <f t="array" ref="E5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50" s="43">
        <v>1</v>
      </c>
      <c r="H50" s="11" t="str">
        <f>IFERROR(VLOOKUP(tbl_product_scores[[#This Row],[product_key]],tbl_products[[product_key]:[group_display_key]],2,FALSE),"")</f>
        <v>VEGETABLES</v>
      </c>
    </row>
    <row r="51" spans="1:8" x14ac:dyDescent="0.2">
      <c r="A51" s="33" t="s">
        <v>989</v>
      </c>
      <c r="B51" s="33" t="s">
        <v>363</v>
      </c>
      <c r="C51" s="58" t="s">
        <v>486</v>
      </c>
      <c r="D51" s="55" cm="1">
        <f t="array" ref="D5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67</v>
      </c>
      <c r="E51" s="55" t="str" cm="1">
        <f t="array" ref="E5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51" s="43">
        <v>1</v>
      </c>
      <c r="H51" s="11" t="str">
        <f>IFERROR(VLOOKUP(tbl_product_scores[[#This Row],[product_key]],tbl_products[[product_key]:[group_display_key]],2,FALSE),"")</f>
        <v>VEGETABLES</v>
      </c>
    </row>
    <row r="52" spans="1:8" x14ac:dyDescent="0.2">
      <c r="A52" s="33" t="s">
        <v>989</v>
      </c>
      <c r="B52" s="33" t="s">
        <v>363</v>
      </c>
      <c r="C52" s="59" t="s">
        <v>487</v>
      </c>
      <c r="D52" s="55" cm="1">
        <f t="array" ref="D5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59</v>
      </c>
      <c r="E52" s="55" t="str" cm="1">
        <f t="array" ref="E5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52" s="43">
        <v>1</v>
      </c>
      <c r="H52" s="11" t="str">
        <f>IFERROR(VLOOKUP(tbl_product_scores[[#This Row],[product_key]],tbl_products[[product_key]:[group_display_key]],2,FALSE),"")</f>
        <v>VEGETABLES</v>
      </c>
    </row>
    <row r="53" spans="1:8" x14ac:dyDescent="0.2">
      <c r="A53" s="33" t="s">
        <v>989</v>
      </c>
      <c r="B53" s="33" t="s">
        <v>365</v>
      </c>
      <c r="C53" s="60" t="s">
        <v>485</v>
      </c>
      <c r="D53" s="55" cm="1">
        <f t="array" ref="D5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75</v>
      </c>
      <c r="E53" s="55" t="str" cm="1">
        <f t="array" ref="E5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53" s="43">
        <v>1</v>
      </c>
      <c r="H53" s="11" t="str">
        <f>IFERROR(VLOOKUP(tbl_product_scores[[#This Row],[product_key]],tbl_products[[product_key]:[group_display_key]],2,FALSE),"")</f>
        <v>VEGETABLES</v>
      </c>
    </row>
    <row r="54" spans="1:8" x14ac:dyDescent="0.2">
      <c r="A54" s="33" t="s">
        <v>989</v>
      </c>
      <c r="B54" s="33" t="s">
        <v>365</v>
      </c>
      <c r="C54" s="59" t="s">
        <v>486</v>
      </c>
      <c r="D54" s="55" cm="1">
        <f t="array" ref="D5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65</v>
      </c>
      <c r="E54" s="55" t="str" cm="1">
        <f t="array" ref="E5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54" s="43">
        <v>1</v>
      </c>
      <c r="H54" s="11" t="str">
        <f>IFERROR(VLOOKUP(tbl_product_scores[[#This Row],[product_key]],tbl_products[[product_key]:[group_display_key]],2,FALSE),"")</f>
        <v>VEGETABLES</v>
      </c>
    </row>
    <row r="55" spans="1:8" x14ac:dyDescent="0.2">
      <c r="A55" s="33" t="s">
        <v>989</v>
      </c>
      <c r="B55" s="33" t="s">
        <v>365</v>
      </c>
      <c r="C55" s="60" t="s">
        <v>487</v>
      </c>
      <c r="D55" s="55" cm="1">
        <f t="array" ref="D5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57</v>
      </c>
      <c r="E55" s="55" t="str" cm="1">
        <f t="array" ref="E5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55" s="43">
        <v>1</v>
      </c>
      <c r="H55" s="11" t="str">
        <f>IFERROR(VLOOKUP(tbl_product_scores[[#This Row],[product_key]],tbl_products[[product_key]:[group_display_key]],2,FALSE),"")</f>
        <v>VEGETABLES</v>
      </c>
    </row>
    <row r="56" spans="1:8" x14ac:dyDescent="0.2">
      <c r="A56" s="33" t="s">
        <v>991</v>
      </c>
      <c r="B56" s="33" t="s">
        <v>363</v>
      </c>
      <c r="C56" s="57" t="s">
        <v>485</v>
      </c>
      <c r="D56" s="55" cm="1">
        <f t="array" ref="D5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72</v>
      </c>
      <c r="E56" s="55" t="str" cm="1">
        <f t="array" ref="E5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56" s="43">
        <v>1</v>
      </c>
      <c r="H56" s="11" t="str">
        <f>IFERROR(VLOOKUP(tbl_product_scores[[#This Row],[product_key]],tbl_products[[product_key]:[group_display_key]],2,FALSE),"")</f>
        <v>VEGETABLES</v>
      </c>
    </row>
    <row r="57" spans="1:8" x14ac:dyDescent="0.2">
      <c r="A57" s="33" t="s">
        <v>991</v>
      </c>
      <c r="B57" s="33" t="s">
        <v>363</v>
      </c>
      <c r="C57" s="58" t="s">
        <v>486</v>
      </c>
      <c r="D57" s="55" cm="1">
        <f t="array" ref="D5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62</v>
      </c>
      <c r="E57" s="55" t="str" cm="1">
        <f t="array" ref="E5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57" s="43">
        <v>1</v>
      </c>
      <c r="H57" s="11" t="str">
        <f>IFERROR(VLOOKUP(tbl_product_scores[[#This Row],[product_key]],tbl_products[[product_key]:[group_display_key]],2,FALSE),"")</f>
        <v>VEGETABLES</v>
      </c>
    </row>
    <row r="58" spans="1:8" x14ac:dyDescent="0.2">
      <c r="A58" s="33" t="s">
        <v>991</v>
      </c>
      <c r="B58" s="33" t="s">
        <v>363</v>
      </c>
      <c r="C58" s="59" t="s">
        <v>487</v>
      </c>
      <c r="D58" s="55" cm="1">
        <f t="array" ref="D5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53</v>
      </c>
      <c r="E58" s="55" t="str" cm="1">
        <f t="array" ref="E5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58" s="43">
        <v>1</v>
      </c>
      <c r="H58" s="11" t="str">
        <f>IFERROR(VLOOKUP(tbl_product_scores[[#This Row],[product_key]],tbl_products[[product_key]:[group_display_key]],2,FALSE),"")</f>
        <v>VEGETABLES</v>
      </c>
    </row>
    <row r="59" spans="1:8" x14ac:dyDescent="0.2">
      <c r="A59" s="33" t="s">
        <v>991</v>
      </c>
      <c r="B59" s="33" t="s">
        <v>365</v>
      </c>
      <c r="C59" s="60" t="s">
        <v>485</v>
      </c>
      <c r="D59" s="55" cm="1">
        <f t="array" ref="D5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76</v>
      </c>
      <c r="E59" s="55" t="str" cm="1">
        <f t="array" ref="E5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59" s="43">
        <v>1</v>
      </c>
      <c r="H59" s="11" t="str">
        <f>IFERROR(VLOOKUP(tbl_product_scores[[#This Row],[product_key]],tbl_products[[product_key]:[group_display_key]],2,FALSE),"")</f>
        <v>VEGETABLES</v>
      </c>
    </row>
    <row r="60" spans="1:8" x14ac:dyDescent="0.2">
      <c r="A60" s="33" t="s">
        <v>991</v>
      </c>
      <c r="B60" s="33" t="s">
        <v>365</v>
      </c>
      <c r="C60" s="59" t="s">
        <v>486</v>
      </c>
      <c r="D60" s="55" cm="1">
        <f t="array" ref="D6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66</v>
      </c>
      <c r="E60" s="55" t="str" cm="1">
        <f t="array" ref="E6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60" s="43">
        <v>1</v>
      </c>
      <c r="H60" s="11" t="str">
        <f>IFERROR(VLOOKUP(tbl_product_scores[[#This Row],[product_key]],tbl_products[[product_key]:[group_display_key]],2,FALSE),"")</f>
        <v>VEGETABLES</v>
      </c>
    </row>
    <row r="61" spans="1:8" x14ac:dyDescent="0.2">
      <c r="A61" s="33" t="s">
        <v>991</v>
      </c>
      <c r="B61" s="33" t="s">
        <v>365</v>
      </c>
      <c r="C61" s="60" t="s">
        <v>487</v>
      </c>
      <c r="D61" s="55" cm="1">
        <f t="array" ref="D6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57</v>
      </c>
      <c r="E61" s="55" t="str" cm="1">
        <f t="array" ref="E6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61" s="43">
        <v>1</v>
      </c>
      <c r="H61" s="11" t="str">
        <f>IFERROR(VLOOKUP(tbl_product_scores[[#This Row],[product_key]],tbl_products[[product_key]:[group_display_key]],2,FALSE),"")</f>
        <v>VEGETABLES</v>
      </c>
    </row>
    <row r="62" spans="1:8" x14ac:dyDescent="0.2">
      <c r="A62" s="33" t="s">
        <v>994</v>
      </c>
      <c r="B62" s="33" t="s">
        <v>365</v>
      </c>
      <c r="C62" s="57" t="s">
        <v>485</v>
      </c>
      <c r="D62" s="55" cm="1">
        <f t="array" ref="D6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74</v>
      </c>
      <c r="E62" s="55" t="str" cm="1">
        <f t="array" ref="E6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62" s="43">
        <v>1</v>
      </c>
      <c r="H62" s="11" t="str">
        <f>IFERROR(VLOOKUP(tbl_product_scores[[#This Row],[product_key]],tbl_products[[product_key]:[group_display_key]],2,FALSE),"")</f>
        <v>VEGETABLES</v>
      </c>
    </row>
    <row r="63" spans="1:8" x14ac:dyDescent="0.2">
      <c r="A63" s="33" t="s">
        <v>994</v>
      </c>
      <c r="B63" s="33" t="s">
        <v>365</v>
      </c>
      <c r="C63" s="58" t="s">
        <v>486</v>
      </c>
      <c r="D63" s="55" cm="1">
        <f t="array" ref="D6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66</v>
      </c>
      <c r="E63" s="55" t="str" cm="1">
        <f t="array" ref="E6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63" s="43">
        <v>1</v>
      </c>
      <c r="H63" s="11" t="str">
        <f>IFERROR(VLOOKUP(tbl_product_scores[[#This Row],[product_key]],tbl_products[[product_key]:[group_display_key]],2,FALSE),"")</f>
        <v>VEGETABLES</v>
      </c>
    </row>
    <row r="64" spans="1:8" x14ac:dyDescent="0.2">
      <c r="A64" s="33" t="s">
        <v>994</v>
      </c>
      <c r="B64" s="33" t="s">
        <v>365</v>
      </c>
      <c r="C64" s="59" t="s">
        <v>487</v>
      </c>
      <c r="D64" s="55" cm="1">
        <f t="array" ref="D6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58</v>
      </c>
      <c r="E64" s="55" t="str" cm="1">
        <f t="array" ref="E6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64" s="43">
        <v>1</v>
      </c>
      <c r="H64" s="11" t="str">
        <f>IFERROR(VLOOKUP(tbl_product_scores[[#This Row],[product_key]],tbl_products[[product_key]:[group_display_key]],2,FALSE),"")</f>
        <v>VEGETABLES</v>
      </c>
    </row>
    <row r="65" spans="1:8" x14ac:dyDescent="0.2">
      <c r="A65" s="33" t="s">
        <v>992</v>
      </c>
      <c r="B65" s="33" t="s">
        <v>363</v>
      </c>
      <c r="C65" s="60" t="s">
        <v>485</v>
      </c>
      <c r="D65" s="55" cm="1">
        <f t="array" ref="D6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75</v>
      </c>
      <c r="E65" s="55" t="str" cm="1">
        <f t="array" ref="E6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65" s="43">
        <v>1</v>
      </c>
      <c r="H65" s="11" t="str">
        <f>IFERROR(VLOOKUP(tbl_product_scores[[#This Row],[product_key]],tbl_products[[product_key]:[group_display_key]],2,FALSE),"")</f>
        <v>VEGETABLES</v>
      </c>
    </row>
    <row r="66" spans="1:8" x14ac:dyDescent="0.2">
      <c r="A66" s="33" t="s">
        <v>992</v>
      </c>
      <c r="B66" s="33" t="s">
        <v>363</v>
      </c>
      <c r="C66" s="59" t="s">
        <v>486</v>
      </c>
      <c r="D66" s="55" cm="1">
        <f t="array" ref="D6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67</v>
      </c>
      <c r="E66" s="55" t="str" cm="1">
        <f t="array" ref="E6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66" s="43">
        <v>1</v>
      </c>
      <c r="H66" s="11" t="str">
        <f>IFERROR(VLOOKUP(tbl_product_scores[[#This Row],[product_key]],tbl_products[[product_key]:[group_display_key]],2,FALSE),"")</f>
        <v>VEGETABLES</v>
      </c>
    </row>
    <row r="67" spans="1:8" x14ac:dyDescent="0.2">
      <c r="A67" s="33" t="s">
        <v>992</v>
      </c>
      <c r="B67" s="33" t="s">
        <v>363</v>
      </c>
      <c r="C67" s="60" t="s">
        <v>487</v>
      </c>
      <c r="D67" s="55" cm="1">
        <f t="array" ref="D6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59</v>
      </c>
      <c r="E67" s="55" t="str" cm="1">
        <f t="array" ref="E6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67" s="43">
        <v>1</v>
      </c>
      <c r="H67" s="11" t="str">
        <f>IFERROR(VLOOKUP(tbl_product_scores[[#This Row],[product_key]],tbl_products[[product_key]:[group_display_key]],2,FALSE),"")</f>
        <v>VEGETABLES</v>
      </c>
    </row>
    <row r="68" spans="1:8" x14ac:dyDescent="0.2">
      <c r="A68" s="33" t="s">
        <v>992</v>
      </c>
      <c r="B68" s="33" t="s">
        <v>365</v>
      </c>
      <c r="C68" s="57" t="s">
        <v>485</v>
      </c>
      <c r="D68" s="55" cm="1">
        <f t="array" ref="D6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74</v>
      </c>
      <c r="E68" s="55" t="str" cm="1">
        <f t="array" ref="E6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68" s="43">
        <v>1</v>
      </c>
      <c r="H68" s="11" t="str">
        <f>IFERROR(VLOOKUP(tbl_product_scores[[#This Row],[product_key]],tbl_products[[product_key]:[group_display_key]],2,FALSE),"")</f>
        <v>VEGETABLES</v>
      </c>
    </row>
    <row r="69" spans="1:8" x14ac:dyDescent="0.2">
      <c r="A69" s="33" t="s">
        <v>992</v>
      </c>
      <c r="B69" s="33" t="s">
        <v>365</v>
      </c>
      <c r="C69" s="58" t="s">
        <v>486</v>
      </c>
      <c r="D69" s="55" cm="1">
        <f t="array" ref="D6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65</v>
      </c>
      <c r="E69" s="55" t="str" cm="1">
        <f t="array" ref="E6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69" s="43">
        <v>1</v>
      </c>
      <c r="H69" s="11" t="str">
        <f>IFERROR(VLOOKUP(tbl_product_scores[[#This Row],[product_key]],tbl_products[[product_key]:[group_display_key]],2,FALSE),"")</f>
        <v>VEGETABLES</v>
      </c>
    </row>
    <row r="70" spans="1:8" x14ac:dyDescent="0.2">
      <c r="A70" s="33" t="s">
        <v>992</v>
      </c>
      <c r="B70" s="33" t="s">
        <v>365</v>
      </c>
      <c r="C70" s="59" t="s">
        <v>487</v>
      </c>
      <c r="D70" s="55" cm="1">
        <f t="array" ref="D7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57</v>
      </c>
      <c r="E70" s="55" t="str" cm="1">
        <f t="array" ref="E7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70" s="43">
        <v>1</v>
      </c>
      <c r="H70" s="11" t="str">
        <f>IFERROR(VLOOKUP(tbl_product_scores[[#This Row],[product_key]],tbl_products[[product_key]:[group_display_key]],2,FALSE),"")</f>
        <v>VEGETABLES</v>
      </c>
    </row>
    <row r="71" spans="1:8" x14ac:dyDescent="0.2">
      <c r="A71" s="33" t="s">
        <v>993</v>
      </c>
      <c r="B71" s="33" t="s">
        <v>363</v>
      </c>
      <c r="C71" s="60" t="s">
        <v>485</v>
      </c>
      <c r="D71" s="55" cm="1">
        <f t="array" ref="D7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75</v>
      </c>
      <c r="E71" s="55" t="str" cm="1">
        <f t="array" ref="E7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71" s="43">
        <v>1</v>
      </c>
      <c r="H71" s="11" t="str">
        <f>IFERROR(VLOOKUP(tbl_product_scores[[#This Row],[product_key]],tbl_products[[product_key]:[group_display_key]],2,FALSE),"")</f>
        <v>VEGETABLES</v>
      </c>
    </row>
    <row r="72" spans="1:8" x14ac:dyDescent="0.2">
      <c r="A72" s="33" t="s">
        <v>993</v>
      </c>
      <c r="B72" s="33" t="s">
        <v>363</v>
      </c>
      <c r="C72" s="59" t="s">
        <v>486</v>
      </c>
      <c r="D72" s="55" cm="1">
        <f t="array" ref="D7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66</v>
      </c>
      <c r="E72" s="55" t="str" cm="1">
        <f t="array" ref="E7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72" s="43">
        <v>1</v>
      </c>
      <c r="H72" s="11" t="str">
        <f>IFERROR(VLOOKUP(tbl_product_scores[[#This Row],[product_key]],tbl_products[[product_key]:[group_display_key]],2,FALSE),"")</f>
        <v>VEGETABLES</v>
      </c>
    </row>
    <row r="73" spans="1:8" x14ac:dyDescent="0.2">
      <c r="A73" s="33" t="s">
        <v>993</v>
      </c>
      <c r="B73" s="33" t="s">
        <v>363</v>
      </c>
      <c r="C73" s="60" t="s">
        <v>487</v>
      </c>
      <c r="D73" s="55" cm="1">
        <f t="array" ref="D7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57</v>
      </c>
      <c r="E73" s="55" t="str" cm="1">
        <f t="array" ref="E7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73" s="43">
        <v>1</v>
      </c>
      <c r="H73" s="11" t="str">
        <f>IFERROR(VLOOKUP(tbl_product_scores[[#This Row],[product_key]],tbl_products[[product_key]:[group_display_key]],2,FALSE),"")</f>
        <v>VEGETABLES</v>
      </c>
    </row>
    <row r="74" spans="1:8" x14ac:dyDescent="0.2">
      <c r="A74" s="33" t="s">
        <v>993</v>
      </c>
      <c r="B74" s="33" t="s">
        <v>365</v>
      </c>
      <c r="C74" s="57" t="s">
        <v>485</v>
      </c>
      <c r="D74" s="55" cm="1">
        <f t="array" ref="D7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76</v>
      </c>
      <c r="E74" s="55" t="str" cm="1">
        <f t="array" ref="E7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74" s="43">
        <v>1</v>
      </c>
      <c r="H74" s="11" t="str">
        <f>IFERROR(VLOOKUP(tbl_product_scores[[#This Row],[product_key]],tbl_products[[product_key]:[group_display_key]],2,FALSE),"")</f>
        <v>VEGETABLES</v>
      </c>
    </row>
    <row r="75" spans="1:8" x14ac:dyDescent="0.2">
      <c r="A75" s="33" t="s">
        <v>993</v>
      </c>
      <c r="B75" s="33" t="s">
        <v>365</v>
      </c>
      <c r="C75" s="58" t="s">
        <v>486</v>
      </c>
      <c r="D75" s="55" cm="1">
        <f t="array" ref="D7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66</v>
      </c>
      <c r="E75" s="55" t="str" cm="1">
        <f t="array" ref="E7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75" s="43">
        <v>1</v>
      </c>
      <c r="H75" s="11" t="str">
        <f>IFERROR(VLOOKUP(tbl_product_scores[[#This Row],[product_key]],tbl_products[[product_key]:[group_display_key]],2,FALSE),"")</f>
        <v>VEGETABLES</v>
      </c>
    </row>
    <row r="76" spans="1:8" x14ac:dyDescent="0.2">
      <c r="A76" s="33" t="s">
        <v>993</v>
      </c>
      <c r="B76" s="33" t="s">
        <v>365</v>
      </c>
      <c r="C76" s="59" t="s">
        <v>487</v>
      </c>
      <c r="D76" s="55" cm="1">
        <f t="array" ref="D7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56</v>
      </c>
      <c r="E76" s="55" t="str" cm="1">
        <f t="array" ref="E7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76" s="43">
        <v>1</v>
      </c>
      <c r="H76" s="11" t="str">
        <f>IFERROR(VLOOKUP(tbl_product_scores[[#This Row],[product_key]],tbl_products[[product_key]:[group_display_key]],2,FALSE),"")</f>
        <v>VEGETABLES</v>
      </c>
    </row>
    <row r="77" spans="1:8" x14ac:dyDescent="0.2">
      <c r="A77" s="33" t="s">
        <v>708</v>
      </c>
      <c r="B77" s="33" t="s">
        <v>115</v>
      </c>
      <c r="C77" s="60" t="s">
        <v>485</v>
      </c>
      <c r="D77" s="55" cm="1">
        <f t="array" ref="D7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62</v>
      </c>
      <c r="E77" s="55" t="str" cm="1">
        <f t="array" ref="E7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77" s="43">
        <v>1</v>
      </c>
      <c r="H77" s="11" t="str">
        <f>IFERROR(VLOOKUP(tbl_product_scores[[#This Row],[product_key]],tbl_products[[product_key]:[group_display_key]],2,FALSE),"")</f>
        <v>FRUITS</v>
      </c>
    </row>
    <row r="78" spans="1:8" x14ac:dyDescent="0.2">
      <c r="A78" s="33" t="s">
        <v>708</v>
      </c>
      <c r="B78" s="33" t="s">
        <v>115</v>
      </c>
      <c r="C78" s="59" t="s">
        <v>486</v>
      </c>
      <c r="D78" s="55" cm="1">
        <f t="array" ref="D7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57</v>
      </c>
      <c r="E78" s="55" t="str" cm="1">
        <f t="array" ref="E7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78" s="43">
        <v>1</v>
      </c>
      <c r="H78" s="11" t="str">
        <f>IFERROR(VLOOKUP(tbl_product_scores[[#This Row],[product_key]],tbl_products[[product_key]:[group_display_key]],2,FALSE),"")</f>
        <v>FRUITS</v>
      </c>
    </row>
    <row r="79" spans="1:8" x14ac:dyDescent="0.2">
      <c r="A79" s="33" t="s">
        <v>708</v>
      </c>
      <c r="B79" s="33" t="s">
        <v>115</v>
      </c>
      <c r="C79" s="60" t="s">
        <v>487</v>
      </c>
      <c r="D79" s="55" cm="1">
        <f t="array" ref="D7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41</v>
      </c>
      <c r="E79" s="55" t="str" cm="1">
        <f t="array" ref="E7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79" s="43">
        <v>1</v>
      </c>
      <c r="H79" s="11" t="str">
        <f>IFERROR(VLOOKUP(tbl_product_scores[[#This Row],[product_key]],tbl_products[[product_key]:[group_display_key]],2,FALSE),"")</f>
        <v>FRUITS</v>
      </c>
    </row>
    <row r="80" spans="1:8" x14ac:dyDescent="0.2">
      <c r="A80" s="33" t="s">
        <v>694</v>
      </c>
      <c r="B80" s="33" t="s">
        <v>115</v>
      </c>
      <c r="C80" s="57" t="s">
        <v>485</v>
      </c>
      <c r="D80" s="55" cm="1">
        <f t="array" ref="D8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62</v>
      </c>
      <c r="E80" s="55" t="str" cm="1">
        <f t="array" ref="E8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80" s="43">
        <v>1</v>
      </c>
      <c r="H80" s="11" t="str">
        <f>IFERROR(VLOOKUP(tbl_product_scores[[#This Row],[product_key]],tbl_products[[product_key]:[group_display_key]],2,FALSE),"")</f>
        <v>FRUITS</v>
      </c>
    </row>
    <row r="81" spans="1:8" x14ac:dyDescent="0.2">
      <c r="A81" s="33" t="s">
        <v>694</v>
      </c>
      <c r="B81" s="33" t="s">
        <v>115</v>
      </c>
      <c r="C81" s="58" t="s">
        <v>486</v>
      </c>
      <c r="D81" s="55" cm="1">
        <f t="array" ref="D8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56</v>
      </c>
      <c r="E81" s="55" t="str" cm="1">
        <f t="array" ref="E8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81" s="43">
        <v>1</v>
      </c>
      <c r="H81" s="11" t="str">
        <f>IFERROR(VLOOKUP(tbl_product_scores[[#This Row],[product_key]],tbl_products[[product_key]:[group_display_key]],2,FALSE),"")</f>
        <v>FRUITS</v>
      </c>
    </row>
    <row r="82" spans="1:8" x14ac:dyDescent="0.2">
      <c r="A82" s="33" t="s">
        <v>694</v>
      </c>
      <c r="B82" s="33" t="s">
        <v>115</v>
      </c>
      <c r="C82" s="59" t="s">
        <v>487</v>
      </c>
      <c r="D82" s="55" cm="1">
        <f t="array" ref="D8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41</v>
      </c>
      <c r="E82" s="55" t="str" cm="1">
        <f t="array" ref="E8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82" s="43">
        <v>1</v>
      </c>
      <c r="H82" s="11" t="str">
        <f>IFERROR(VLOOKUP(tbl_product_scores[[#This Row],[product_key]],tbl_products[[product_key]:[group_display_key]],2,FALSE),"")</f>
        <v>FRUITS</v>
      </c>
    </row>
    <row r="83" spans="1:8" x14ac:dyDescent="0.2">
      <c r="A83" s="33" t="s">
        <v>358</v>
      </c>
      <c r="B83" s="33" t="s">
        <v>363</v>
      </c>
      <c r="C83" s="60" t="s">
        <v>485</v>
      </c>
      <c r="D83" s="55" cm="1">
        <f t="array" ref="D8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90</v>
      </c>
      <c r="E83" s="55" t="str" cm="1">
        <f t="array" ref="E8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A</v>
      </c>
      <c r="F83" s="43">
        <v>1</v>
      </c>
      <c r="H83" s="11" t="str">
        <f>IFERROR(VLOOKUP(tbl_product_scores[[#This Row],[product_key]],tbl_products[[product_key]:[group_display_key]],2,FALSE),"")</f>
        <v>VEGETABLES</v>
      </c>
    </row>
    <row r="84" spans="1:8" x14ac:dyDescent="0.2">
      <c r="A84" s="33" t="s">
        <v>358</v>
      </c>
      <c r="B84" s="33" t="s">
        <v>363</v>
      </c>
      <c r="C84" s="59" t="s">
        <v>486</v>
      </c>
      <c r="D84" s="55" cm="1">
        <f t="array" ref="D8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85</v>
      </c>
      <c r="E84" s="55" t="str" cm="1">
        <f t="array" ref="E8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A</v>
      </c>
      <c r="F84" s="43">
        <v>1</v>
      </c>
      <c r="H84" s="11" t="str">
        <f>IFERROR(VLOOKUP(tbl_product_scores[[#This Row],[product_key]],tbl_products[[product_key]:[group_display_key]],2,FALSE),"")</f>
        <v>VEGETABLES</v>
      </c>
    </row>
    <row r="85" spans="1:8" x14ac:dyDescent="0.2">
      <c r="A85" s="33" t="s">
        <v>358</v>
      </c>
      <c r="B85" s="33" t="s">
        <v>363</v>
      </c>
      <c r="C85" s="60" t="s">
        <v>487</v>
      </c>
      <c r="D85" s="55" cm="1">
        <f t="array" ref="D8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79</v>
      </c>
      <c r="E85" s="55" t="str" cm="1">
        <f t="array" ref="E8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85" s="43">
        <v>1</v>
      </c>
      <c r="H85" s="11" t="str">
        <f>IFERROR(VLOOKUP(tbl_product_scores[[#This Row],[product_key]],tbl_products[[product_key]:[group_display_key]],2,FALSE),"")</f>
        <v>VEGETABLES</v>
      </c>
    </row>
    <row r="86" spans="1:8" x14ac:dyDescent="0.2">
      <c r="A86" s="33" t="s">
        <v>358</v>
      </c>
      <c r="B86" s="33" t="s">
        <v>365</v>
      </c>
      <c r="C86" s="57" t="s">
        <v>485</v>
      </c>
      <c r="D86" s="55" cm="1">
        <f t="array" ref="D8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92</v>
      </c>
      <c r="E86" s="55" t="str" cm="1">
        <f t="array" ref="E8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A</v>
      </c>
      <c r="F86" s="43">
        <v>1</v>
      </c>
      <c r="H86" s="11" t="str">
        <f>IFERROR(VLOOKUP(tbl_product_scores[[#This Row],[product_key]],tbl_products[[product_key]:[group_display_key]],2,FALSE),"")</f>
        <v>VEGETABLES</v>
      </c>
    </row>
    <row r="87" spans="1:8" x14ac:dyDescent="0.2">
      <c r="A87" s="33" t="s">
        <v>358</v>
      </c>
      <c r="B87" s="33" t="s">
        <v>365</v>
      </c>
      <c r="C87" s="58" t="s">
        <v>486</v>
      </c>
      <c r="D87" s="55" cm="1">
        <f t="array" ref="D8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86</v>
      </c>
      <c r="E87" s="55" t="str" cm="1">
        <f t="array" ref="E8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A</v>
      </c>
      <c r="F87" s="43">
        <v>1</v>
      </c>
      <c r="H87" s="11" t="str">
        <f>IFERROR(VLOOKUP(tbl_product_scores[[#This Row],[product_key]],tbl_products[[product_key]:[group_display_key]],2,FALSE),"")</f>
        <v>VEGETABLES</v>
      </c>
    </row>
    <row r="88" spans="1:8" x14ac:dyDescent="0.2">
      <c r="A88" s="33" t="s">
        <v>358</v>
      </c>
      <c r="B88" s="33" t="s">
        <v>365</v>
      </c>
      <c r="C88" s="59" t="s">
        <v>487</v>
      </c>
      <c r="D88" s="55" cm="1">
        <f t="array" ref="D8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79</v>
      </c>
      <c r="E88" s="55" t="str" cm="1">
        <f t="array" ref="E8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88" s="43">
        <v>1</v>
      </c>
      <c r="H88" s="11" t="str">
        <f>IFERROR(VLOOKUP(tbl_product_scores[[#This Row],[product_key]],tbl_products[[product_key]:[group_display_key]],2,FALSE),"")</f>
        <v>VEGETABLES</v>
      </c>
    </row>
    <row r="89" spans="1:8" x14ac:dyDescent="0.2">
      <c r="A89" s="33" t="s">
        <v>1092</v>
      </c>
      <c r="B89" s="33" t="s">
        <v>363</v>
      </c>
      <c r="C89" s="60" t="s">
        <v>485</v>
      </c>
      <c r="D89" s="55" cm="1">
        <f t="array" ref="D8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77</v>
      </c>
      <c r="E89" s="55" t="str" cm="1">
        <f t="array" ref="E8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89" s="43">
        <v>1</v>
      </c>
      <c r="H89" s="11" t="str">
        <f>IFERROR(VLOOKUP(tbl_product_scores[[#This Row],[product_key]],tbl_products[[product_key]:[group_display_key]],2,FALSE),"")</f>
        <v>VEGETABLES</v>
      </c>
    </row>
    <row r="90" spans="1:8" x14ac:dyDescent="0.2">
      <c r="A90" s="33" t="s">
        <v>1092</v>
      </c>
      <c r="B90" s="33" t="s">
        <v>363</v>
      </c>
      <c r="C90" s="59" t="s">
        <v>486</v>
      </c>
      <c r="D90" s="55" cm="1">
        <f t="array" ref="D9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81</v>
      </c>
      <c r="E90" s="55" t="str" cm="1">
        <f t="array" ref="E9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A</v>
      </c>
      <c r="F90" s="43">
        <v>1</v>
      </c>
      <c r="H90" s="11" t="str">
        <f>IFERROR(VLOOKUP(tbl_product_scores[[#This Row],[product_key]],tbl_products[[product_key]:[group_display_key]],2,FALSE),"")</f>
        <v>VEGETABLES</v>
      </c>
    </row>
    <row r="91" spans="1:8" x14ac:dyDescent="0.2">
      <c r="A91" s="33" t="s">
        <v>1092</v>
      </c>
      <c r="B91" s="33" t="s">
        <v>363</v>
      </c>
      <c r="C91" s="60" t="s">
        <v>487</v>
      </c>
      <c r="D91" s="55" cm="1">
        <f t="array" ref="D9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81</v>
      </c>
      <c r="E91" s="55" t="str" cm="1">
        <f t="array" ref="E9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A</v>
      </c>
      <c r="F91" s="43">
        <v>1</v>
      </c>
      <c r="H91" s="11" t="str">
        <f>IFERROR(VLOOKUP(tbl_product_scores[[#This Row],[product_key]],tbl_products[[product_key]:[group_display_key]],2,FALSE),"")</f>
        <v>VEGETABLES</v>
      </c>
    </row>
    <row r="92" spans="1:8" x14ac:dyDescent="0.2">
      <c r="A92" s="33" t="s">
        <v>1092</v>
      </c>
      <c r="B92" s="33" t="s">
        <v>365</v>
      </c>
      <c r="C92" s="57" t="s">
        <v>485</v>
      </c>
      <c r="D92" s="55" cm="1">
        <f t="array" ref="D9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77</v>
      </c>
      <c r="E92" s="55" t="str" cm="1">
        <f t="array" ref="E9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92" s="43">
        <v>1</v>
      </c>
      <c r="H92" s="11" t="str">
        <f>IFERROR(VLOOKUP(tbl_product_scores[[#This Row],[product_key]],tbl_products[[product_key]:[group_display_key]],2,FALSE),"")</f>
        <v>VEGETABLES</v>
      </c>
    </row>
    <row r="93" spans="1:8" x14ac:dyDescent="0.2">
      <c r="A93" s="33" t="s">
        <v>1092</v>
      </c>
      <c r="B93" s="33" t="s">
        <v>365</v>
      </c>
      <c r="C93" s="58" t="s">
        <v>486</v>
      </c>
      <c r="D93" s="55" cm="1">
        <f t="array" ref="D9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81</v>
      </c>
      <c r="E93" s="55" t="str" cm="1">
        <f t="array" ref="E9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A</v>
      </c>
      <c r="F93" s="43">
        <v>1</v>
      </c>
      <c r="H93" s="11" t="str">
        <f>IFERROR(VLOOKUP(tbl_product_scores[[#This Row],[product_key]],tbl_products[[product_key]:[group_display_key]],2,FALSE),"")</f>
        <v>VEGETABLES</v>
      </c>
    </row>
    <row r="94" spans="1:8" x14ac:dyDescent="0.2">
      <c r="A94" s="33" t="s">
        <v>1092</v>
      </c>
      <c r="B94" s="33" t="s">
        <v>365</v>
      </c>
      <c r="C94" s="59" t="s">
        <v>487</v>
      </c>
      <c r="D94" s="55" cm="1">
        <f t="array" ref="D9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81</v>
      </c>
      <c r="E94" s="55" t="str" cm="1">
        <f t="array" ref="E9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A</v>
      </c>
      <c r="F94" s="43">
        <v>1</v>
      </c>
      <c r="H94" s="11" t="str">
        <f>IFERROR(VLOOKUP(tbl_product_scores[[#This Row],[product_key]],tbl_products[[product_key]:[group_display_key]],2,FALSE),"")</f>
        <v>VEGETABLES</v>
      </c>
    </row>
    <row r="95" spans="1:8" x14ac:dyDescent="0.2">
      <c r="A95" s="33" t="s">
        <v>1100</v>
      </c>
      <c r="B95" s="33" t="s">
        <v>363</v>
      </c>
      <c r="C95" s="60" t="s">
        <v>485</v>
      </c>
      <c r="D95" s="55" cm="1">
        <f t="array" ref="D9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82</v>
      </c>
      <c r="E95" s="55" t="str" cm="1">
        <f t="array" ref="E9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95" s="43">
        <v>1</v>
      </c>
      <c r="H95" s="11" t="str">
        <f>IFERROR(VLOOKUP(tbl_product_scores[[#This Row],[product_key]],tbl_products[[product_key]:[group_display_key]],2,FALSE),"")</f>
        <v>VEGETABLES</v>
      </c>
    </row>
    <row r="96" spans="1:8" x14ac:dyDescent="0.2">
      <c r="A96" s="33" t="s">
        <v>1100</v>
      </c>
      <c r="B96" s="33" t="s">
        <v>363</v>
      </c>
      <c r="C96" s="59" t="s">
        <v>486</v>
      </c>
      <c r="D96" s="55" cm="1">
        <f t="array" ref="D9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74</v>
      </c>
      <c r="E96" s="55" t="str" cm="1">
        <f t="array" ref="E9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96" s="43">
        <v>1</v>
      </c>
      <c r="H96" s="11" t="str">
        <f>IFERROR(VLOOKUP(tbl_product_scores[[#This Row],[product_key]],tbl_products[[product_key]:[group_display_key]],2,FALSE),"")</f>
        <v>VEGETABLES</v>
      </c>
    </row>
    <row r="97" spans="1:8" x14ac:dyDescent="0.2">
      <c r="A97" s="33" t="s">
        <v>1100</v>
      </c>
      <c r="B97" s="33" t="s">
        <v>363</v>
      </c>
      <c r="C97" s="60" t="s">
        <v>487</v>
      </c>
      <c r="D97" s="55" cm="1">
        <f t="array" ref="D9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65</v>
      </c>
      <c r="E97" s="55" t="str" cm="1">
        <f t="array" ref="E9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97" s="43">
        <v>1</v>
      </c>
      <c r="H97" s="11" t="str">
        <f>IFERROR(VLOOKUP(tbl_product_scores[[#This Row],[product_key]],tbl_products[[product_key]:[group_display_key]],2,FALSE),"")</f>
        <v>VEGETABLES</v>
      </c>
    </row>
    <row r="98" spans="1:8" x14ac:dyDescent="0.2">
      <c r="A98" s="33" t="s">
        <v>1100</v>
      </c>
      <c r="B98" s="33" t="s">
        <v>365</v>
      </c>
      <c r="C98" s="57" t="s">
        <v>485</v>
      </c>
      <c r="D98" s="55" cm="1">
        <f t="array" ref="D9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89</v>
      </c>
      <c r="E98" s="55" t="str" cm="1">
        <f t="array" ref="E9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A</v>
      </c>
      <c r="F98" s="43">
        <v>1</v>
      </c>
      <c r="H98" s="11" t="str">
        <f>IFERROR(VLOOKUP(tbl_product_scores[[#This Row],[product_key]],tbl_products[[product_key]:[group_display_key]],2,FALSE),"")</f>
        <v>VEGETABLES</v>
      </c>
    </row>
    <row r="99" spans="1:8" x14ac:dyDescent="0.2">
      <c r="A99" s="33" t="s">
        <v>1100</v>
      </c>
      <c r="B99" s="33" t="s">
        <v>365</v>
      </c>
      <c r="C99" s="58" t="s">
        <v>486</v>
      </c>
      <c r="D99" s="55" cm="1">
        <f t="array" ref="D9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83</v>
      </c>
      <c r="E99" s="55" t="str" cm="1">
        <f t="array" ref="E9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A</v>
      </c>
      <c r="F99" s="43">
        <v>1</v>
      </c>
      <c r="H99" s="11" t="str">
        <f>IFERROR(VLOOKUP(tbl_product_scores[[#This Row],[product_key]],tbl_products[[product_key]:[group_display_key]],2,FALSE),"")</f>
        <v>VEGETABLES</v>
      </c>
    </row>
    <row r="100" spans="1:8" x14ac:dyDescent="0.2">
      <c r="A100" s="33" t="s">
        <v>1100</v>
      </c>
      <c r="B100" s="33" t="s">
        <v>365</v>
      </c>
      <c r="C100" s="59" t="s">
        <v>487</v>
      </c>
      <c r="D100" s="55" cm="1">
        <f t="array" ref="D10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75</v>
      </c>
      <c r="E100" s="55" t="str" cm="1">
        <f t="array" ref="E10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100" s="43">
        <v>1</v>
      </c>
      <c r="H100" s="11" t="str">
        <f>IFERROR(VLOOKUP(tbl_product_scores[[#This Row],[product_key]],tbl_products[[product_key]:[group_display_key]],2,FALSE),"")</f>
        <v>VEGETABLES</v>
      </c>
    </row>
    <row r="101" spans="1:8" x14ac:dyDescent="0.2">
      <c r="A101" s="33" t="s">
        <v>1112</v>
      </c>
      <c r="B101" s="33" t="s">
        <v>363</v>
      </c>
      <c r="C101" s="60" t="s">
        <v>485</v>
      </c>
      <c r="D101" s="55" cm="1">
        <f t="array" ref="D10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83</v>
      </c>
      <c r="E101" s="55" t="str" cm="1">
        <f t="array" ref="E10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101" s="43">
        <v>1</v>
      </c>
      <c r="H101" s="11" t="str">
        <f>IFERROR(VLOOKUP(tbl_product_scores[[#This Row],[product_key]],tbl_products[[product_key]:[group_display_key]],2,FALSE),"")</f>
        <v>VEGETABLES</v>
      </c>
    </row>
    <row r="102" spans="1:8" x14ac:dyDescent="0.2">
      <c r="A102" s="33" t="s">
        <v>1112</v>
      </c>
      <c r="B102" s="33" t="s">
        <v>363</v>
      </c>
      <c r="C102" s="59" t="s">
        <v>486</v>
      </c>
      <c r="D102" s="55" cm="1">
        <f t="array" ref="D10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76</v>
      </c>
      <c r="E102" s="55" t="str" cm="1">
        <f t="array" ref="E10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102" s="43">
        <v>1</v>
      </c>
      <c r="H102" s="11" t="str">
        <f>IFERROR(VLOOKUP(tbl_product_scores[[#This Row],[product_key]],tbl_products[[product_key]:[group_display_key]],2,FALSE),"")</f>
        <v>VEGETABLES</v>
      </c>
    </row>
    <row r="103" spans="1:8" x14ac:dyDescent="0.2">
      <c r="A103" s="33" t="s">
        <v>1112</v>
      </c>
      <c r="B103" s="33" t="s">
        <v>363</v>
      </c>
      <c r="C103" s="60" t="s">
        <v>487</v>
      </c>
      <c r="D103" s="55" cm="1">
        <f t="array" ref="D10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69</v>
      </c>
      <c r="E103" s="55" t="str" cm="1">
        <f t="array" ref="E10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103" s="43">
        <v>1</v>
      </c>
      <c r="H103" s="11" t="str">
        <f>IFERROR(VLOOKUP(tbl_product_scores[[#This Row],[product_key]],tbl_products[[product_key]:[group_display_key]],2,FALSE),"")</f>
        <v>VEGETABLES</v>
      </c>
    </row>
    <row r="104" spans="1:8" x14ac:dyDescent="0.2">
      <c r="A104" s="33" t="s">
        <v>1112</v>
      </c>
      <c r="B104" s="33" t="s">
        <v>365</v>
      </c>
      <c r="C104" s="57" t="s">
        <v>485</v>
      </c>
      <c r="D104" s="55" cm="1">
        <f t="array" ref="D10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87</v>
      </c>
      <c r="E104" s="55" t="str" cm="1">
        <f t="array" ref="E10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A</v>
      </c>
      <c r="F104" s="43">
        <v>1</v>
      </c>
      <c r="H104" s="11" t="str">
        <f>IFERROR(VLOOKUP(tbl_product_scores[[#This Row],[product_key]],tbl_products[[product_key]:[group_display_key]],2,FALSE),"")</f>
        <v>VEGETABLES</v>
      </c>
    </row>
    <row r="105" spans="1:8" x14ac:dyDescent="0.2">
      <c r="A105" s="33" t="s">
        <v>1112</v>
      </c>
      <c r="B105" s="33" t="s">
        <v>365</v>
      </c>
      <c r="C105" s="58" t="s">
        <v>486</v>
      </c>
      <c r="D105" s="55" cm="1">
        <f t="array" ref="D10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85</v>
      </c>
      <c r="E105" s="55" t="str" cm="1">
        <f t="array" ref="E10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A</v>
      </c>
      <c r="F105" s="43">
        <v>1</v>
      </c>
      <c r="H105" s="11" t="str">
        <f>IFERROR(VLOOKUP(tbl_product_scores[[#This Row],[product_key]],tbl_products[[product_key]:[group_display_key]],2,FALSE),"")</f>
        <v>VEGETABLES</v>
      </c>
    </row>
    <row r="106" spans="1:8" x14ac:dyDescent="0.2">
      <c r="A106" s="33" t="s">
        <v>1112</v>
      </c>
      <c r="B106" s="33" t="s">
        <v>365</v>
      </c>
      <c r="C106" s="59" t="s">
        <v>487</v>
      </c>
      <c r="D106" s="55" cm="1">
        <f t="array" ref="D10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79</v>
      </c>
      <c r="E106" s="55" t="str" cm="1">
        <f t="array" ref="E10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106" s="43">
        <v>1</v>
      </c>
      <c r="H106" s="11" t="str">
        <f>IFERROR(VLOOKUP(tbl_product_scores[[#This Row],[product_key]],tbl_products[[product_key]:[group_display_key]],2,FALSE),"")</f>
        <v>VEGETABLES</v>
      </c>
    </row>
    <row r="107" spans="1:8" x14ac:dyDescent="0.2">
      <c r="A107" s="33" t="s">
        <v>1101</v>
      </c>
      <c r="B107" s="33" t="s">
        <v>363</v>
      </c>
      <c r="C107" s="60" t="s">
        <v>485</v>
      </c>
      <c r="D107" s="55" cm="1">
        <f t="array" ref="D10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78</v>
      </c>
      <c r="E107" s="55" t="str" cm="1">
        <f t="array" ref="E10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107" s="43">
        <v>1</v>
      </c>
      <c r="H107" s="11" t="str">
        <f>IFERROR(VLOOKUP(tbl_product_scores[[#This Row],[product_key]],tbl_products[[product_key]:[group_display_key]],2,FALSE),"")</f>
        <v>VEGETABLES</v>
      </c>
    </row>
    <row r="108" spans="1:8" x14ac:dyDescent="0.2">
      <c r="A108" s="33" t="s">
        <v>1101</v>
      </c>
      <c r="B108" s="33" t="s">
        <v>363</v>
      </c>
      <c r="C108" s="59" t="s">
        <v>486</v>
      </c>
      <c r="D108" s="55" cm="1">
        <f t="array" ref="D10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69</v>
      </c>
      <c r="E108" s="55" t="str" cm="1">
        <f t="array" ref="E10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108" s="43">
        <v>1</v>
      </c>
      <c r="H108" s="11" t="str">
        <f>IFERROR(VLOOKUP(tbl_product_scores[[#This Row],[product_key]],tbl_products[[product_key]:[group_display_key]],2,FALSE),"")</f>
        <v>VEGETABLES</v>
      </c>
    </row>
    <row r="109" spans="1:8" x14ac:dyDescent="0.2">
      <c r="A109" s="33" t="s">
        <v>1101</v>
      </c>
      <c r="B109" s="33" t="s">
        <v>363</v>
      </c>
      <c r="C109" s="60" t="s">
        <v>487</v>
      </c>
      <c r="D109" s="55" cm="1">
        <f t="array" ref="D10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60</v>
      </c>
      <c r="E109" s="55" t="str" cm="1">
        <f t="array" ref="E10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09" s="43">
        <v>1</v>
      </c>
      <c r="H109" s="11" t="str">
        <f>IFERROR(VLOOKUP(tbl_product_scores[[#This Row],[product_key]],tbl_products[[product_key]:[group_display_key]],2,FALSE),"")</f>
        <v>VEGETABLES</v>
      </c>
    </row>
    <row r="110" spans="1:8" x14ac:dyDescent="0.2">
      <c r="A110" s="33" t="s">
        <v>1101</v>
      </c>
      <c r="B110" s="33" t="s">
        <v>365</v>
      </c>
      <c r="C110" s="57" t="s">
        <v>485</v>
      </c>
      <c r="D110" s="55" cm="1">
        <f t="array" ref="D11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86</v>
      </c>
      <c r="E110" s="55" t="str" cm="1">
        <f t="array" ref="E11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A</v>
      </c>
      <c r="F110" s="43">
        <v>1</v>
      </c>
      <c r="H110" s="11" t="str">
        <f>IFERROR(VLOOKUP(tbl_product_scores[[#This Row],[product_key]],tbl_products[[product_key]:[group_display_key]],2,FALSE),"")</f>
        <v>VEGETABLES</v>
      </c>
    </row>
    <row r="111" spans="1:8" x14ac:dyDescent="0.2">
      <c r="A111" s="33" t="s">
        <v>1101</v>
      </c>
      <c r="B111" s="33" t="s">
        <v>365</v>
      </c>
      <c r="C111" s="58" t="s">
        <v>486</v>
      </c>
      <c r="D111" s="55" cm="1">
        <f t="array" ref="D11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80</v>
      </c>
      <c r="E111" s="55" t="str" cm="1">
        <f t="array" ref="E11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A</v>
      </c>
      <c r="F111" s="43">
        <v>1</v>
      </c>
      <c r="H111" s="11" t="str">
        <f>IFERROR(VLOOKUP(tbl_product_scores[[#This Row],[product_key]],tbl_products[[product_key]:[group_display_key]],2,FALSE),"")</f>
        <v>VEGETABLES</v>
      </c>
    </row>
    <row r="112" spans="1:8" x14ac:dyDescent="0.2">
      <c r="A112" s="33" t="s">
        <v>1101</v>
      </c>
      <c r="B112" s="33" t="s">
        <v>365</v>
      </c>
      <c r="C112" s="59" t="s">
        <v>487</v>
      </c>
      <c r="D112" s="55" cm="1">
        <f t="array" ref="D11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74</v>
      </c>
      <c r="E112" s="55" t="str" cm="1">
        <f t="array" ref="E11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112" s="43">
        <v>1</v>
      </c>
      <c r="H112" s="11" t="str">
        <f>IFERROR(VLOOKUP(tbl_product_scores[[#This Row],[product_key]],tbl_products[[product_key]:[group_display_key]],2,FALSE),"")</f>
        <v>VEGETABLES</v>
      </c>
    </row>
    <row r="113" spans="1:8" x14ac:dyDescent="0.2">
      <c r="A113" s="33" t="s">
        <v>524</v>
      </c>
      <c r="B113" s="33" t="s">
        <v>526</v>
      </c>
      <c r="C113" s="60" t="s">
        <v>485</v>
      </c>
      <c r="D113" s="55" cm="1">
        <f t="array" ref="D11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57</v>
      </c>
      <c r="E113" s="55" t="str" cm="1">
        <f t="array" ref="E11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13" s="43">
        <v>1</v>
      </c>
      <c r="H113" s="11" t="str">
        <f>IFERROR(VLOOKUP(tbl_product_scores[[#This Row],[product_key]],tbl_products[[product_key]:[group_display_key]],2,FALSE),"")</f>
        <v>BEVERAGES</v>
      </c>
    </row>
    <row r="114" spans="1:8" x14ac:dyDescent="0.2">
      <c r="A114" s="33" t="s">
        <v>524</v>
      </c>
      <c r="B114" s="33" t="s">
        <v>526</v>
      </c>
      <c r="C114" s="59" t="s">
        <v>486</v>
      </c>
      <c r="D114" s="55" cm="1">
        <f t="array" ref="D11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64</v>
      </c>
      <c r="E114" s="55" t="str" cm="1">
        <f t="array" ref="E11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14" s="43">
        <v>1</v>
      </c>
      <c r="H114" s="11" t="str">
        <f>IFERROR(VLOOKUP(tbl_product_scores[[#This Row],[product_key]],tbl_products[[product_key]:[group_display_key]],2,FALSE),"")</f>
        <v>BEVERAGES</v>
      </c>
    </row>
    <row r="115" spans="1:8" x14ac:dyDescent="0.2">
      <c r="A115" s="33" t="s">
        <v>524</v>
      </c>
      <c r="B115" s="33" t="s">
        <v>526</v>
      </c>
      <c r="C115" s="60" t="s">
        <v>487</v>
      </c>
      <c r="D115" s="55" cm="1">
        <f t="array" ref="D11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73</v>
      </c>
      <c r="E115" s="55" t="str" cm="1">
        <f t="array" ref="E11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115" s="43">
        <v>1</v>
      </c>
      <c r="H115" s="11" t="str">
        <f>IFERROR(VLOOKUP(tbl_product_scores[[#This Row],[product_key]],tbl_products[[product_key]:[group_display_key]],2,FALSE),"")</f>
        <v>BEVERAGES</v>
      </c>
    </row>
    <row r="116" spans="1:8" x14ac:dyDescent="0.2">
      <c r="A116" s="33" t="s">
        <v>524</v>
      </c>
      <c r="B116" s="33" t="s">
        <v>532</v>
      </c>
      <c r="C116" s="57" t="s">
        <v>485</v>
      </c>
      <c r="D116" s="55" cm="1">
        <f t="array" ref="D11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47</v>
      </c>
      <c r="E116" s="55" t="str" cm="1">
        <f t="array" ref="E11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116" s="43">
        <v>1</v>
      </c>
      <c r="H116" s="11" t="str">
        <f>IFERROR(VLOOKUP(tbl_product_scores[[#This Row],[product_key]],tbl_products[[product_key]:[group_display_key]],2,FALSE),"")</f>
        <v>BEVERAGES</v>
      </c>
    </row>
    <row r="117" spans="1:8" x14ac:dyDescent="0.2">
      <c r="A117" s="33" t="s">
        <v>524</v>
      </c>
      <c r="B117" s="33" t="s">
        <v>532</v>
      </c>
      <c r="C117" s="58" t="s">
        <v>486</v>
      </c>
      <c r="D117" s="55" cm="1">
        <f t="array" ref="D11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54</v>
      </c>
      <c r="E117" s="55" t="str" cm="1">
        <f t="array" ref="E11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17" s="43">
        <v>1</v>
      </c>
      <c r="H117" s="11" t="str">
        <f>IFERROR(VLOOKUP(tbl_product_scores[[#This Row],[product_key]],tbl_products[[product_key]:[group_display_key]],2,FALSE),"")</f>
        <v>BEVERAGES</v>
      </c>
    </row>
    <row r="118" spans="1:8" x14ac:dyDescent="0.2">
      <c r="A118" s="33" t="s">
        <v>524</v>
      </c>
      <c r="B118" s="33" t="s">
        <v>532</v>
      </c>
      <c r="C118" s="59" t="s">
        <v>487</v>
      </c>
      <c r="D118" s="55" cm="1">
        <f t="array" ref="D11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60</v>
      </c>
      <c r="E118" s="55" t="str" cm="1">
        <f t="array" ref="E11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18" s="43">
        <v>1</v>
      </c>
      <c r="H118" s="11" t="str">
        <f>IFERROR(VLOOKUP(tbl_product_scores[[#This Row],[product_key]],tbl_products[[product_key]:[group_display_key]],2,FALSE),"")</f>
        <v>BEVERAGES</v>
      </c>
    </row>
    <row r="119" spans="1:8" x14ac:dyDescent="0.2">
      <c r="A119" s="33" t="s">
        <v>1127</v>
      </c>
      <c r="B119" s="33" t="s">
        <v>363</v>
      </c>
      <c r="C119" s="60" t="s">
        <v>485</v>
      </c>
      <c r="D119" s="55" cm="1">
        <f t="array" ref="D11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75</v>
      </c>
      <c r="E119" s="55" t="str" cm="1">
        <f t="array" ref="E11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119" s="43">
        <v>1</v>
      </c>
      <c r="H119" s="11" t="str">
        <f>IFERROR(VLOOKUP(tbl_product_scores[[#This Row],[product_key]],tbl_products[[product_key]:[group_display_key]],2,FALSE),"")</f>
        <v>VEGETABLES</v>
      </c>
    </row>
    <row r="120" spans="1:8" x14ac:dyDescent="0.2">
      <c r="A120" s="33" t="s">
        <v>1127</v>
      </c>
      <c r="B120" s="33" t="s">
        <v>363</v>
      </c>
      <c r="C120" s="59" t="s">
        <v>486</v>
      </c>
      <c r="D120" s="55" cm="1">
        <f t="array" ref="D12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68</v>
      </c>
      <c r="E120" s="55" t="str" cm="1">
        <f t="array" ref="E12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120" s="43">
        <v>1</v>
      </c>
      <c r="H120" s="11" t="str">
        <f>IFERROR(VLOOKUP(tbl_product_scores[[#This Row],[product_key]],tbl_products[[product_key]:[group_display_key]],2,FALSE),"")</f>
        <v>VEGETABLES</v>
      </c>
    </row>
    <row r="121" spans="1:8" x14ac:dyDescent="0.2">
      <c r="A121" s="33" t="s">
        <v>1127</v>
      </c>
      <c r="B121" s="33" t="s">
        <v>363</v>
      </c>
      <c r="C121" s="60" t="s">
        <v>487</v>
      </c>
      <c r="D121" s="55" cm="1">
        <f t="array" ref="D12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59</v>
      </c>
      <c r="E121" s="55" t="str" cm="1">
        <f t="array" ref="E12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21" s="43">
        <v>1</v>
      </c>
      <c r="H121" s="11" t="str">
        <f>IFERROR(VLOOKUP(tbl_product_scores[[#This Row],[product_key]],tbl_products[[product_key]:[group_display_key]],2,FALSE),"")</f>
        <v>VEGETABLES</v>
      </c>
    </row>
    <row r="122" spans="1:8" x14ac:dyDescent="0.2">
      <c r="A122" s="33" t="s">
        <v>1127</v>
      </c>
      <c r="B122" s="33" t="s">
        <v>365</v>
      </c>
      <c r="C122" s="57" t="s">
        <v>485</v>
      </c>
      <c r="D122" s="55" cm="1">
        <f t="array" ref="D12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76</v>
      </c>
      <c r="E122" s="55" t="str" cm="1">
        <f t="array" ref="E12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122" s="43">
        <v>1</v>
      </c>
      <c r="H122" s="11" t="str">
        <f>IFERROR(VLOOKUP(tbl_product_scores[[#This Row],[product_key]],tbl_products[[product_key]:[group_display_key]],2,FALSE),"")</f>
        <v>VEGETABLES</v>
      </c>
    </row>
    <row r="123" spans="1:8" x14ac:dyDescent="0.2">
      <c r="A123" s="33" t="s">
        <v>1127</v>
      </c>
      <c r="B123" s="33" t="s">
        <v>365</v>
      </c>
      <c r="C123" s="58" t="s">
        <v>486</v>
      </c>
      <c r="D123" s="55" cm="1">
        <f t="array" ref="D12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69</v>
      </c>
      <c r="E123" s="55" t="str" cm="1">
        <f t="array" ref="E12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123" s="43">
        <v>1</v>
      </c>
      <c r="H123" s="11" t="str">
        <f>IFERROR(VLOOKUP(tbl_product_scores[[#This Row],[product_key]],tbl_products[[product_key]:[group_display_key]],2,FALSE),"")</f>
        <v>VEGETABLES</v>
      </c>
    </row>
    <row r="124" spans="1:8" x14ac:dyDescent="0.2">
      <c r="A124" s="33" t="s">
        <v>1127</v>
      </c>
      <c r="B124" s="33" t="s">
        <v>365</v>
      </c>
      <c r="C124" s="59" t="s">
        <v>487</v>
      </c>
      <c r="D124" s="55" cm="1">
        <f t="array" ref="D12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60</v>
      </c>
      <c r="E124" s="55" t="str" cm="1">
        <f t="array" ref="E12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24" s="43">
        <v>1</v>
      </c>
      <c r="H124" s="11" t="str">
        <f>IFERROR(VLOOKUP(tbl_product_scores[[#This Row],[product_key]],tbl_products[[product_key]:[group_display_key]],2,FALSE),"")</f>
        <v>VEGETABLES</v>
      </c>
    </row>
    <row r="125" spans="1:8" x14ac:dyDescent="0.2">
      <c r="A125" s="33" t="s">
        <v>402</v>
      </c>
      <c r="B125" s="33" t="s">
        <v>363</v>
      </c>
      <c r="C125" s="60" t="s">
        <v>485</v>
      </c>
      <c r="D125" s="55" cm="1">
        <f t="array" ref="D12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87</v>
      </c>
      <c r="E125" s="55" t="str" cm="1">
        <f t="array" ref="E12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A</v>
      </c>
      <c r="F125" s="43">
        <v>1</v>
      </c>
      <c r="H125" s="11" t="str">
        <f>IFERROR(VLOOKUP(tbl_product_scores[[#This Row],[product_key]],tbl_products[[product_key]:[group_display_key]],2,FALSE),"")</f>
        <v>VEGETABLES</v>
      </c>
    </row>
    <row r="126" spans="1:8" x14ac:dyDescent="0.2">
      <c r="A126" s="33" t="s">
        <v>402</v>
      </c>
      <c r="B126" s="33" t="s">
        <v>363</v>
      </c>
      <c r="C126" s="59" t="s">
        <v>486</v>
      </c>
      <c r="D126" s="55" cm="1">
        <f t="array" ref="D12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81</v>
      </c>
      <c r="E126" s="55" t="str" cm="1">
        <f t="array" ref="E12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A</v>
      </c>
      <c r="F126" s="43">
        <v>1</v>
      </c>
      <c r="H126" s="11" t="str">
        <f>IFERROR(VLOOKUP(tbl_product_scores[[#This Row],[product_key]],tbl_products[[product_key]:[group_display_key]],2,FALSE),"")</f>
        <v>VEGETABLES</v>
      </c>
    </row>
    <row r="127" spans="1:8" x14ac:dyDescent="0.2">
      <c r="A127" s="33" t="s">
        <v>402</v>
      </c>
      <c r="B127" s="33" t="s">
        <v>363</v>
      </c>
      <c r="C127" s="60" t="s">
        <v>487</v>
      </c>
      <c r="D127" s="55" cm="1">
        <f t="array" ref="D12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74</v>
      </c>
      <c r="E127" s="55" t="str" cm="1">
        <f t="array" ref="E12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127" s="43">
        <v>1</v>
      </c>
      <c r="H127" s="11" t="str">
        <f>IFERROR(VLOOKUP(tbl_product_scores[[#This Row],[product_key]],tbl_products[[product_key]:[group_display_key]],2,FALSE),"")</f>
        <v>VEGETABLES</v>
      </c>
    </row>
    <row r="128" spans="1:8" x14ac:dyDescent="0.2">
      <c r="A128" s="33" t="s">
        <v>402</v>
      </c>
      <c r="B128" s="33" t="s">
        <v>365</v>
      </c>
      <c r="C128" s="57" t="s">
        <v>485</v>
      </c>
      <c r="D128" s="55" cm="1">
        <f t="array" ref="D12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88</v>
      </c>
      <c r="E128" s="55" t="str" cm="1">
        <f t="array" ref="E12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A</v>
      </c>
      <c r="F128" s="43">
        <v>1</v>
      </c>
      <c r="H128" s="11" t="str">
        <f>IFERROR(VLOOKUP(tbl_product_scores[[#This Row],[product_key]],tbl_products[[product_key]:[group_display_key]],2,FALSE),"")</f>
        <v>VEGETABLES</v>
      </c>
    </row>
    <row r="129" spans="1:8" x14ac:dyDescent="0.2">
      <c r="A129" s="33" t="s">
        <v>402</v>
      </c>
      <c r="B129" s="33" t="s">
        <v>365</v>
      </c>
      <c r="C129" s="58" t="s">
        <v>486</v>
      </c>
      <c r="D129" s="55" cm="1">
        <f t="array" ref="D12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81</v>
      </c>
      <c r="E129" s="55" t="str" cm="1">
        <f t="array" ref="E12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A</v>
      </c>
      <c r="F129" s="43">
        <v>1</v>
      </c>
      <c r="H129" s="11" t="str">
        <f>IFERROR(VLOOKUP(tbl_product_scores[[#This Row],[product_key]],tbl_products[[product_key]:[group_display_key]],2,FALSE),"")</f>
        <v>VEGETABLES</v>
      </c>
    </row>
    <row r="130" spans="1:8" x14ac:dyDescent="0.2">
      <c r="A130" s="33" t="s">
        <v>402</v>
      </c>
      <c r="B130" s="33" t="s">
        <v>365</v>
      </c>
      <c r="C130" s="59" t="s">
        <v>487</v>
      </c>
      <c r="D130" s="55" cm="1">
        <f t="array" ref="D13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75</v>
      </c>
      <c r="E130" s="55" t="str" cm="1">
        <f t="array" ref="E13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130" s="43">
        <v>1</v>
      </c>
      <c r="H130" s="11" t="str">
        <f>IFERROR(VLOOKUP(tbl_product_scores[[#This Row],[product_key]],tbl_products[[product_key]:[group_display_key]],2,FALSE),"")</f>
        <v>VEGETABLES</v>
      </c>
    </row>
    <row r="131" spans="1:8" x14ac:dyDescent="0.2">
      <c r="A131" s="33" t="s">
        <v>848</v>
      </c>
      <c r="B131" s="33" t="s">
        <v>115</v>
      </c>
      <c r="C131" s="60" t="s">
        <v>485</v>
      </c>
      <c r="D131" s="55" cm="1">
        <f t="array" ref="D13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62</v>
      </c>
      <c r="E131" s="55" t="str" cm="1">
        <f t="array" ref="E13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31" s="43">
        <v>1</v>
      </c>
      <c r="H131" s="11" t="str">
        <f>IFERROR(VLOOKUP(tbl_product_scores[[#This Row],[product_key]],tbl_products[[product_key]:[group_display_key]],2,FALSE),"")</f>
        <v>FRUITS</v>
      </c>
    </row>
    <row r="132" spans="1:8" x14ac:dyDescent="0.2">
      <c r="A132" s="33" t="s">
        <v>848</v>
      </c>
      <c r="B132" s="33" t="s">
        <v>115</v>
      </c>
      <c r="C132" s="59" t="s">
        <v>486</v>
      </c>
      <c r="D132" s="55" cm="1">
        <f t="array" ref="D13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57</v>
      </c>
      <c r="E132" s="55" t="str" cm="1">
        <f t="array" ref="E13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32" s="43">
        <v>1</v>
      </c>
      <c r="H132" s="11" t="str">
        <f>IFERROR(VLOOKUP(tbl_product_scores[[#This Row],[product_key]],tbl_products[[product_key]:[group_display_key]],2,FALSE),"")</f>
        <v>FRUITS</v>
      </c>
    </row>
    <row r="133" spans="1:8" x14ac:dyDescent="0.2">
      <c r="A133" s="33" t="s">
        <v>848</v>
      </c>
      <c r="B133" s="33" t="s">
        <v>115</v>
      </c>
      <c r="C133" s="60" t="s">
        <v>487</v>
      </c>
      <c r="D133" s="55" cm="1">
        <f t="array" ref="D13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42</v>
      </c>
      <c r="E133" s="55" t="str" cm="1">
        <f t="array" ref="E13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133" s="43">
        <v>1</v>
      </c>
      <c r="H133" s="11" t="str">
        <f>IFERROR(VLOOKUP(tbl_product_scores[[#This Row],[product_key]],tbl_products[[product_key]:[group_display_key]],2,FALSE),"")</f>
        <v>FRUITS</v>
      </c>
    </row>
    <row r="134" spans="1:8" x14ac:dyDescent="0.2">
      <c r="A134" s="33" t="s">
        <v>849</v>
      </c>
      <c r="B134" s="33" t="s">
        <v>115</v>
      </c>
      <c r="C134" s="57" t="s">
        <v>485</v>
      </c>
      <c r="D134" s="55" cm="1">
        <f t="array" ref="D13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60</v>
      </c>
      <c r="E134" s="55" t="str" cm="1">
        <f t="array" ref="E13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34" s="43">
        <v>1</v>
      </c>
      <c r="H134" s="11" t="str">
        <f>IFERROR(VLOOKUP(tbl_product_scores[[#This Row],[product_key]],tbl_products[[product_key]:[group_display_key]],2,FALSE),"")</f>
        <v>FRUITS</v>
      </c>
    </row>
    <row r="135" spans="1:8" x14ac:dyDescent="0.2">
      <c r="A135" s="33" t="s">
        <v>849</v>
      </c>
      <c r="B135" s="33" t="s">
        <v>115</v>
      </c>
      <c r="C135" s="58" t="s">
        <v>486</v>
      </c>
      <c r="D135" s="55" cm="1">
        <f t="array" ref="D13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55</v>
      </c>
      <c r="E135" s="55" t="str" cm="1">
        <f t="array" ref="E13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35" s="43">
        <v>1</v>
      </c>
      <c r="H135" s="11" t="str">
        <f>IFERROR(VLOOKUP(tbl_product_scores[[#This Row],[product_key]],tbl_products[[product_key]:[group_display_key]],2,FALSE),"")</f>
        <v>FRUITS</v>
      </c>
    </row>
    <row r="136" spans="1:8" x14ac:dyDescent="0.2">
      <c r="A136" s="33" t="s">
        <v>849</v>
      </c>
      <c r="B136" s="33" t="s">
        <v>115</v>
      </c>
      <c r="C136" s="59" t="s">
        <v>487</v>
      </c>
      <c r="D136" s="55" cm="1">
        <f t="array" ref="D13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43</v>
      </c>
      <c r="E136" s="55" t="str" cm="1">
        <f t="array" ref="E13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136" s="43">
        <v>1</v>
      </c>
      <c r="H136" s="11" t="str">
        <f>IFERROR(VLOOKUP(tbl_product_scores[[#This Row],[product_key]],tbl_products[[product_key]:[group_display_key]],2,FALSE),"")</f>
        <v>FRUITS</v>
      </c>
    </row>
    <row r="137" spans="1:8" x14ac:dyDescent="0.2">
      <c r="A137" s="33" t="s">
        <v>972</v>
      </c>
      <c r="B137" s="33" t="s">
        <v>952</v>
      </c>
      <c r="C137" s="60" t="s">
        <v>485</v>
      </c>
      <c r="D137" s="55" cm="1">
        <f t="array" ref="D13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39</v>
      </c>
      <c r="E137" s="55" t="str" cm="1">
        <f t="array" ref="E13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137" s="43">
        <v>1</v>
      </c>
      <c r="H137" s="11" t="str">
        <f>IFERROR(VLOOKUP(tbl_product_scores[[#This Row],[product_key]],tbl_products[[product_key]:[group_display_key]],2,FALSE),"")</f>
        <v>FRUITS</v>
      </c>
    </row>
    <row r="138" spans="1:8" x14ac:dyDescent="0.2">
      <c r="A138" s="33" t="s">
        <v>972</v>
      </c>
      <c r="B138" s="33" t="s">
        <v>952</v>
      </c>
      <c r="C138" s="59" t="s">
        <v>486</v>
      </c>
      <c r="D138" s="55" cm="1">
        <f t="array" ref="D13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31</v>
      </c>
      <c r="E138" s="55" t="str" cm="1">
        <f t="array" ref="E13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E</v>
      </c>
      <c r="F138" s="43">
        <v>1</v>
      </c>
      <c r="H138" s="11" t="str">
        <f>IFERROR(VLOOKUP(tbl_product_scores[[#This Row],[product_key]],tbl_products[[product_key]:[group_display_key]],2,FALSE),"")</f>
        <v>FRUITS</v>
      </c>
    </row>
    <row r="139" spans="1:8" x14ac:dyDescent="0.2">
      <c r="A139" s="33" t="s">
        <v>972</v>
      </c>
      <c r="B139" s="33" t="s">
        <v>952</v>
      </c>
      <c r="C139" s="60" t="s">
        <v>487</v>
      </c>
      <c r="D139" s="55" cm="1">
        <f t="array" ref="D13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21</v>
      </c>
      <c r="E139" s="55" t="str" cm="1">
        <f t="array" ref="E13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E</v>
      </c>
      <c r="F139" s="43">
        <v>1</v>
      </c>
      <c r="H139" s="11" t="str">
        <f>IFERROR(VLOOKUP(tbl_product_scores[[#This Row],[product_key]],tbl_products[[product_key]:[group_display_key]],2,FALSE),"")</f>
        <v>FRUITS</v>
      </c>
    </row>
    <row r="140" spans="1:8" x14ac:dyDescent="0.2">
      <c r="A140" s="33" t="s">
        <v>972</v>
      </c>
      <c r="B140" s="33" t="s">
        <v>950</v>
      </c>
      <c r="C140" s="57" t="s">
        <v>485</v>
      </c>
      <c r="D140" s="55" cm="1">
        <f t="array" ref="D14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46</v>
      </c>
      <c r="E140" s="55" t="str" cm="1">
        <f t="array" ref="E14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140" s="43">
        <v>1</v>
      </c>
      <c r="H140" s="11" t="str">
        <f>IFERROR(VLOOKUP(tbl_product_scores[[#This Row],[product_key]],tbl_products[[product_key]:[group_display_key]],2,FALSE),"")</f>
        <v>FRUITS</v>
      </c>
    </row>
    <row r="141" spans="1:8" x14ac:dyDescent="0.2">
      <c r="A141" s="33" t="s">
        <v>972</v>
      </c>
      <c r="B141" s="33" t="s">
        <v>950</v>
      </c>
      <c r="C141" s="58" t="s">
        <v>486</v>
      </c>
      <c r="D141" s="55" cm="1">
        <f t="array" ref="D14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38</v>
      </c>
      <c r="E141" s="55" t="str" cm="1">
        <f t="array" ref="E14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141" s="43">
        <v>1</v>
      </c>
      <c r="H141" s="11" t="str">
        <f>IFERROR(VLOOKUP(tbl_product_scores[[#This Row],[product_key]],tbl_products[[product_key]:[group_display_key]],2,FALSE),"")</f>
        <v>FRUITS</v>
      </c>
    </row>
    <row r="142" spans="1:8" x14ac:dyDescent="0.2">
      <c r="A142" s="33" t="s">
        <v>972</v>
      </c>
      <c r="B142" s="33" t="s">
        <v>950</v>
      </c>
      <c r="C142" s="59" t="s">
        <v>487</v>
      </c>
      <c r="D142" s="55" cm="1">
        <f t="array" ref="D14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20</v>
      </c>
      <c r="E142" s="55" t="str" cm="1">
        <f t="array" ref="E14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E</v>
      </c>
      <c r="F142" s="43">
        <v>1</v>
      </c>
      <c r="H142" s="11" t="str">
        <f>IFERROR(VLOOKUP(tbl_product_scores[[#This Row],[product_key]],tbl_products[[product_key]:[group_display_key]],2,FALSE),"")</f>
        <v>FRUITS</v>
      </c>
    </row>
    <row r="143" spans="1:8" x14ac:dyDescent="0.2">
      <c r="A143" s="33" t="s">
        <v>236</v>
      </c>
      <c r="B143" s="33" t="s">
        <v>115</v>
      </c>
      <c r="C143" s="60" t="s">
        <v>485</v>
      </c>
      <c r="D143" s="55" cm="1">
        <f t="array" ref="D14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65</v>
      </c>
      <c r="E143" s="55" t="str" cm="1">
        <f t="array" ref="E14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143" s="43">
        <v>1</v>
      </c>
      <c r="H143" s="11" t="str">
        <f>IFERROR(VLOOKUP(tbl_product_scores[[#This Row],[product_key]],tbl_products[[product_key]:[group_display_key]],2,FALSE),"")</f>
        <v>BEVERAGES</v>
      </c>
    </row>
    <row r="144" spans="1:8" x14ac:dyDescent="0.2">
      <c r="A144" s="33" t="s">
        <v>236</v>
      </c>
      <c r="B144" s="33" t="s">
        <v>115</v>
      </c>
      <c r="C144" s="59" t="s">
        <v>486</v>
      </c>
      <c r="D144" s="55" cm="1">
        <f t="array" ref="D14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65</v>
      </c>
      <c r="E144" s="55" t="str" cm="1">
        <f t="array" ref="E14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144" s="43">
        <v>1</v>
      </c>
      <c r="H144" s="11" t="str">
        <f>IFERROR(VLOOKUP(tbl_product_scores[[#This Row],[product_key]],tbl_products[[product_key]:[group_display_key]],2,FALSE),"")</f>
        <v>BEVERAGES</v>
      </c>
    </row>
    <row r="145" spans="1:8" x14ac:dyDescent="0.2">
      <c r="A145" s="33" t="s">
        <v>236</v>
      </c>
      <c r="B145" s="33" t="s">
        <v>115</v>
      </c>
      <c r="C145" s="60" t="s">
        <v>487</v>
      </c>
      <c r="D145" s="55" cm="1">
        <f t="array" ref="D14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55</v>
      </c>
      <c r="E145" s="55" t="str" cm="1">
        <f t="array" ref="E14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45" s="43">
        <v>1</v>
      </c>
      <c r="H145" s="11" t="str">
        <f>IFERROR(VLOOKUP(tbl_product_scores[[#This Row],[product_key]],tbl_products[[product_key]:[group_display_key]],2,FALSE),"")</f>
        <v>BEVERAGES</v>
      </c>
    </row>
    <row r="146" spans="1:8" x14ac:dyDescent="0.2">
      <c r="A146" s="33" t="s">
        <v>236</v>
      </c>
      <c r="B146" s="33" t="s">
        <v>211</v>
      </c>
      <c r="C146" s="57" t="s">
        <v>485</v>
      </c>
      <c r="D146" s="55" cm="1">
        <f t="array" ref="D14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57</v>
      </c>
      <c r="E146" s="55" t="str" cm="1">
        <f t="array" ref="E14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46" s="43">
        <v>1</v>
      </c>
      <c r="H146" s="11" t="str">
        <f>IFERROR(VLOOKUP(tbl_product_scores[[#This Row],[product_key]],tbl_products[[product_key]:[group_display_key]],2,FALSE),"")</f>
        <v>BEVERAGES</v>
      </c>
    </row>
    <row r="147" spans="1:8" x14ac:dyDescent="0.2">
      <c r="A147" s="33" t="s">
        <v>236</v>
      </c>
      <c r="B147" s="33" t="s">
        <v>211</v>
      </c>
      <c r="C147" s="58" t="s">
        <v>486</v>
      </c>
      <c r="D147" s="55" cm="1">
        <f t="array" ref="D14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59</v>
      </c>
      <c r="E147" s="55" t="str" cm="1">
        <f t="array" ref="E14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47" s="43">
        <v>1</v>
      </c>
      <c r="H147" s="11" t="str">
        <f>IFERROR(VLOOKUP(tbl_product_scores[[#This Row],[product_key]],tbl_products[[product_key]:[group_display_key]],2,FALSE),"")</f>
        <v>BEVERAGES</v>
      </c>
    </row>
    <row r="148" spans="1:8" x14ac:dyDescent="0.2">
      <c r="A148" s="33" t="s">
        <v>236</v>
      </c>
      <c r="B148" s="33" t="s">
        <v>211</v>
      </c>
      <c r="C148" s="59" t="s">
        <v>487</v>
      </c>
      <c r="D148" s="55" cm="1">
        <f t="array" ref="D14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49</v>
      </c>
      <c r="E148" s="55" t="str" cm="1">
        <f t="array" ref="E14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148" s="43">
        <v>1</v>
      </c>
      <c r="H148" s="11" t="str">
        <f>IFERROR(VLOOKUP(tbl_product_scores[[#This Row],[product_key]],tbl_products[[product_key]:[group_display_key]],2,FALSE),"")</f>
        <v>BEVERAGES</v>
      </c>
    </row>
    <row r="149" spans="1:8" x14ac:dyDescent="0.2">
      <c r="A149" s="33" t="s">
        <v>236</v>
      </c>
      <c r="B149" s="33" t="s">
        <v>217</v>
      </c>
      <c r="C149" s="60" t="s">
        <v>485</v>
      </c>
      <c r="D149" s="55" cm="1">
        <f t="array" ref="D14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59</v>
      </c>
      <c r="E149" s="55" t="str" cm="1">
        <f t="array" ref="E14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49" s="43">
        <v>1</v>
      </c>
      <c r="H149" s="11" t="str">
        <f>IFERROR(VLOOKUP(tbl_product_scores[[#This Row],[product_key]],tbl_products[[product_key]:[group_display_key]],2,FALSE),"")</f>
        <v>BEVERAGES</v>
      </c>
    </row>
    <row r="150" spans="1:8" x14ac:dyDescent="0.2">
      <c r="A150" s="33" t="s">
        <v>236</v>
      </c>
      <c r="B150" s="33" t="s">
        <v>217</v>
      </c>
      <c r="C150" s="59" t="s">
        <v>486</v>
      </c>
      <c r="D150" s="55" cm="1">
        <f t="array" ref="D15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63</v>
      </c>
      <c r="E150" s="55" t="str" cm="1">
        <f t="array" ref="E15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50" s="43">
        <v>1</v>
      </c>
      <c r="H150" s="11" t="str">
        <f>IFERROR(VLOOKUP(tbl_product_scores[[#This Row],[product_key]],tbl_products[[product_key]:[group_display_key]],2,FALSE),"")</f>
        <v>BEVERAGES</v>
      </c>
    </row>
    <row r="151" spans="1:8" x14ac:dyDescent="0.2">
      <c r="A151" s="33" t="s">
        <v>236</v>
      </c>
      <c r="B151" s="33" t="s">
        <v>217</v>
      </c>
      <c r="C151" s="60" t="s">
        <v>487</v>
      </c>
      <c r="D151" s="55" cm="1">
        <f t="array" ref="D15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55</v>
      </c>
      <c r="E151" s="55" t="str" cm="1">
        <f t="array" ref="E15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51" s="43">
        <v>1</v>
      </c>
      <c r="H151" s="11" t="str">
        <f>IFERROR(VLOOKUP(tbl_product_scores[[#This Row],[product_key]],tbl_products[[product_key]:[group_display_key]],2,FALSE),"")</f>
        <v>BEVERAGES</v>
      </c>
    </row>
    <row r="152" spans="1:8" x14ac:dyDescent="0.2">
      <c r="A152" s="33" t="s">
        <v>236</v>
      </c>
      <c r="B152" s="33" t="s">
        <v>215</v>
      </c>
      <c r="C152" s="57" t="s">
        <v>485</v>
      </c>
      <c r="D152" s="55" cm="1">
        <f t="array" ref="D15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62</v>
      </c>
      <c r="E152" s="55" t="str" cm="1">
        <f t="array" ref="E15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52" s="43">
        <v>1</v>
      </c>
      <c r="H152" s="11" t="str">
        <f>IFERROR(VLOOKUP(tbl_product_scores[[#This Row],[product_key]],tbl_products[[product_key]:[group_display_key]],2,FALSE),"")</f>
        <v>BEVERAGES</v>
      </c>
    </row>
    <row r="153" spans="1:8" x14ac:dyDescent="0.2">
      <c r="A153" s="33" t="s">
        <v>236</v>
      </c>
      <c r="B153" s="33" t="s">
        <v>215</v>
      </c>
      <c r="C153" s="58" t="s">
        <v>486</v>
      </c>
      <c r="D153" s="55" cm="1">
        <f t="array" ref="D15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63</v>
      </c>
      <c r="E153" s="55" t="str" cm="1">
        <f t="array" ref="E15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53" s="43">
        <v>1</v>
      </c>
      <c r="H153" s="11" t="str">
        <f>IFERROR(VLOOKUP(tbl_product_scores[[#This Row],[product_key]],tbl_products[[product_key]:[group_display_key]],2,FALSE),"")</f>
        <v>BEVERAGES</v>
      </c>
    </row>
    <row r="154" spans="1:8" x14ac:dyDescent="0.2">
      <c r="A154" s="33" t="s">
        <v>236</v>
      </c>
      <c r="B154" s="33" t="s">
        <v>215</v>
      </c>
      <c r="C154" s="59" t="s">
        <v>487</v>
      </c>
      <c r="D154" s="55" cm="1">
        <f t="array" ref="D15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53</v>
      </c>
      <c r="E154" s="55" t="str" cm="1">
        <f t="array" ref="E15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54" s="43">
        <v>1</v>
      </c>
      <c r="H154" s="11" t="str">
        <f>IFERROR(VLOOKUP(tbl_product_scores[[#This Row],[product_key]],tbl_products[[product_key]:[group_display_key]],2,FALSE),"")</f>
        <v>BEVERAGES</v>
      </c>
    </row>
    <row r="155" spans="1:8" x14ac:dyDescent="0.2">
      <c r="A155" s="33" t="s">
        <v>326</v>
      </c>
      <c r="B155" s="33" t="s">
        <v>115</v>
      </c>
      <c r="C155" s="60" t="s">
        <v>485</v>
      </c>
      <c r="D155" s="55" cm="1">
        <f t="array" ref="D15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18</v>
      </c>
      <c r="E155" s="55" t="str" cm="1">
        <f t="array" ref="E15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E</v>
      </c>
      <c r="F155" s="43">
        <v>1</v>
      </c>
      <c r="H155" s="11" t="str">
        <f>IFERROR(VLOOKUP(tbl_product_scores[[#This Row],[product_key]],tbl_products[[product_key]:[group_display_key]],2,FALSE),"")</f>
        <v>BEVERAGES</v>
      </c>
    </row>
    <row r="156" spans="1:8" x14ac:dyDescent="0.2">
      <c r="A156" s="33" t="s">
        <v>326</v>
      </c>
      <c r="B156" s="33" t="s">
        <v>115</v>
      </c>
      <c r="C156" s="59" t="s">
        <v>486</v>
      </c>
      <c r="D156" s="55" cm="1">
        <f t="array" ref="D15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39</v>
      </c>
      <c r="E156" s="55" t="str" cm="1">
        <f t="array" ref="E15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156" s="43">
        <v>1</v>
      </c>
      <c r="H156" s="11" t="str">
        <f>IFERROR(VLOOKUP(tbl_product_scores[[#This Row],[product_key]],tbl_products[[product_key]:[group_display_key]],2,FALSE),"")</f>
        <v>BEVERAGES</v>
      </c>
    </row>
    <row r="157" spans="1:8" x14ac:dyDescent="0.2">
      <c r="A157" s="33" t="s">
        <v>326</v>
      </c>
      <c r="B157" s="33" t="s">
        <v>115</v>
      </c>
      <c r="C157" s="60" t="s">
        <v>487</v>
      </c>
      <c r="D157" s="55" cm="1">
        <f t="array" ref="D15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39</v>
      </c>
      <c r="E157" s="55" t="str" cm="1">
        <f t="array" ref="E15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157" s="43">
        <v>1</v>
      </c>
      <c r="H157" s="11" t="str">
        <f>IFERROR(VLOOKUP(tbl_product_scores[[#This Row],[product_key]],tbl_products[[product_key]:[group_display_key]],2,FALSE),"")</f>
        <v>BEVERAGES</v>
      </c>
    </row>
    <row r="158" spans="1:8" x14ac:dyDescent="0.2">
      <c r="A158" s="33" t="s">
        <v>336</v>
      </c>
      <c r="B158" s="33" t="s">
        <v>115</v>
      </c>
      <c r="C158" s="57" t="s">
        <v>485</v>
      </c>
      <c r="D158" s="55" cm="1">
        <f t="array" ref="D15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57</v>
      </c>
      <c r="E158" s="55" t="str" cm="1">
        <f t="array" ref="E15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58" s="43">
        <v>1</v>
      </c>
      <c r="H158" s="11" t="str">
        <f>IFERROR(VLOOKUP(tbl_product_scores[[#This Row],[product_key]],tbl_products[[product_key]:[group_display_key]],2,FALSE),"")</f>
        <v>BEVERAGES</v>
      </c>
    </row>
    <row r="159" spans="1:8" x14ac:dyDescent="0.2">
      <c r="A159" s="33" t="s">
        <v>336</v>
      </c>
      <c r="B159" s="33" t="s">
        <v>115</v>
      </c>
      <c r="C159" s="58" t="s">
        <v>486</v>
      </c>
      <c r="D159" s="55" cm="1">
        <f t="array" ref="D15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65</v>
      </c>
      <c r="E159" s="55" t="str" cm="1">
        <f t="array" ref="E15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159" s="43">
        <v>1</v>
      </c>
      <c r="H159" s="11" t="str">
        <f>IFERROR(VLOOKUP(tbl_product_scores[[#This Row],[product_key]],tbl_products[[product_key]:[group_display_key]],2,FALSE),"")</f>
        <v>BEVERAGES</v>
      </c>
    </row>
    <row r="160" spans="1:8" x14ac:dyDescent="0.2">
      <c r="A160" s="33" t="s">
        <v>336</v>
      </c>
      <c r="B160" s="33" t="s">
        <v>115</v>
      </c>
      <c r="C160" s="59" t="s">
        <v>487</v>
      </c>
      <c r="D160" s="55" cm="1">
        <f t="array" ref="D16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55</v>
      </c>
      <c r="E160" s="55" t="str" cm="1">
        <f t="array" ref="E16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60" s="43">
        <v>1</v>
      </c>
      <c r="H160" s="11" t="str">
        <f>IFERROR(VLOOKUP(tbl_product_scores[[#This Row],[product_key]],tbl_products[[product_key]:[group_display_key]],2,FALSE),"")</f>
        <v>BEVERAGES</v>
      </c>
    </row>
    <row r="161" spans="1:8" x14ac:dyDescent="0.2">
      <c r="A161" s="33" t="s">
        <v>328</v>
      </c>
      <c r="B161" s="33" t="s">
        <v>115</v>
      </c>
      <c r="C161" s="60" t="s">
        <v>485</v>
      </c>
      <c r="D161" s="55" cm="1">
        <f t="array" ref="D16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57</v>
      </c>
      <c r="E161" s="55" t="str" cm="1">
        <f t="array" ref="E16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61" s="43">
        <v>1</v>
      </c>
      <c r="H161" s="11" t="str">
        <f>IFERROR(VLOOKUP(tbl_product_scores[[#This Row],[product_key]],tbl_products[[product_key]:[group_display_key]],2,FALSE),"")</f>
        <v>BEVERAGES</v>
      </c>
    </row>
    <row r="162" spans="1:8" x14ac:dyDescent="0.2">
      <c r="A162" s="33" t="s">
        <v>328</v>
      </c>
      <c r="B162" s="33" t="s">
        <v>115</v>
      </c>
      <c r="C162" s="59" t="s">
        <v>486</v>
      </c>
      <c r="D162" s="55" cm="1">
        <f t="array" ref="D16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65</v>
      </c>
      <c r="E162" s="55" t="str" cm="1">
        <f t="array" ref="E16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162" s="43">
        <v>1</v>
      </c>
      <c r="H162" s="11" t="str">
        <f>IFERROR(VLOOKUP(tbl_product_scores[[#This Row],[product_key]],tbl_products[[product_key]:[group_display_key]],2,FALSE),"")</f>
        <v>BEVERAGES</v>
      </c>
    </row>
    <row r="163" spans="1:8" x14ac:dyDescent="0.2">
      <c r="A163" s="33" t="s">
        <v>328</v>
      </c>
      <c r="B163" s="33" t="s">
        <v>115</v>
      </c>
      <c r="C163" s="60" t="s">
        <v>487</v>
      </c>
      <c r="D163" s="55" cm="1">
        <f t="array" ref="D16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55</v>
      </c>
      <c r="E163" s="55" t="str" cm="1">
        <f t="array" ref="E16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63" s="43">
        <v>1</v>
      </c>
      <c r="H163" s="11" t="str">
        <f>IFERROR(VLOOKUP(tbl_product_scores[[#This Row],[product_key]],tbl_products[[product_key]:[group_display_key]],2,FALSE),"")</f>
        <v>BEVERAGES</v>
      </c>
    </row>
    <row r="164" spans="1:8" x14ac:dyDescent="0.2">
      <c r="A164" s="33" t="s">
        <v>490</v>
      </c>
      <c r="B164" s="33" t="s">
        <v>115</v>
      </c>
      <c r="C164" s="57" t="s">
        <v>485</v>
      </c>
      <c r="D164" s="55" cm="1">
        <f t="array" ref="D16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44</v>
      </c>
      <c r="E164" s="55" t="str" cm="1">
        <f t="array" ref="E16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164" s="43">
        <v>1</v>
      </c>
      <c r="H164" s="11" t="str">
        <f>IFERROR(VLOOKUP(tbl_product_scores[[#This Row],[product_key]],tbl_products[[product_key]:[group_display_key]],2,FALSE),"")</f>
        <v>GRAINS</v>
      </c>
    </row>
    <row r="165" spans="1:8" x14ac:dyDescent="0.2">
      <c r="A165" s="33" t="s">
        <v>490</v>
      </c>
      <c r="B165" s="33" t="s">
        <v>115</v>
      </c>
      <c r="C165" s="58" t="s">
        <v>486</v>
      </c>
      <c r="D165" s="55" cm="1">
        <f t="array" ref="D16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62</v>
      </c>
      <c r="E165" s="55" t="str" cm="1">
        <f t="array" ref="E16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65" s="43">
        <v>1</v>
      </c>
      <c r="H165" s="11" t="str">
        <f>IFERROR(VLOOKUP(tbl_product_scores[[#This Row],[product_key]],tbl_products[[product_key]:[group_display_key]],2,FALSE),"")</f>
        <v>GRAINS</v>
      </c>
    </row>
    <row r="166" spans="1:8" x14ac:dyDescent="0.2">
      <c r="A166" s="33" t="s">
        <v>490</v>
      </c>
      <c r="B166" s="33" t="s">
        <v>115</v>
      </c>
      <c r="C166" s="59" t="s">
        <v>487</v>
      </c>
      <c r="D166" s="55" cm="1">
        <f t="array" ref="D16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81</v>
      </c>
      <c r="E166" s="55" t="str" cm="1">
        <f t="array" ref="E16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A</v>
      </c>
      <c r="F166" s="43">
        <v>1</v>
      </c>
      <c r="H166" s="11" t="str">
        <f>IFERROR(VLOOKUP(tbl_product_scores[[#This Row],[product_key]],tbl_products[[product_key]:[group_display_key]],2,FALSE),"")</f>
        <v>GRAINS</v>
      </c>
    </row>
    <row r="167" spans="1:8" x14ac:dyDescent="0.2">
      <c r="A167" s="33" t="s">
        <v>1027</v>
      </c>
      <c r="B167" s="33" t="s">
        <v>363</v>
      </c>
      <c r="C167" s="60" t="s">
        <v>485</v>
      </c>
      <c r="D167" s="55" cm="1">
        <f t="array" ref="D16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72</v>
      </c>
      <c r="E167" s="55" t="str" cm="1">
        <f t="array" ref="E16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167" s="43">
        <v>1</v>
      </c>
      <c r="H167" s="11" t="str">
        <f>IFERROR(VLOOKUP(tbl_product_scores[[#This Row],[product_key]],tbl_products[[product_key]:[group_display_key]],2,FALSE),"")</f>
        <v>VEGETABLES</v>
      </c>
    </row>
    <row r="168" spans="1:8" x14ac:dyDescent="0.2">
      <c r="A168" s="33" t="s">
        <v>1027</v>
      </c>
      <c r="B168" s="33" t="s">
        <v>363</v>
      </c>
      <c r="C168" s="59" t="s">
        <v>486</v>
      </c>
      <c r="D168" s="55" cm="1">
        <f t="array" ref="D16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65</v>
      </c>
      <c r="E168" s="55" t="str" cm="1">
        <f t="array" ref="E16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168" s="43">
        <v>1</v>
      </c>
      <c r="H168" s="11" t="str">
        <f>IFERROR(VLOOKUP(tbl_product_scores[[#This Row],[product_key]],tbl_products[[product_key]:[group_display_key]],2,FALSE),"")</f>
        <v>VEGETABLES</v>
      </c>
    </row>
    <row r="169" spans="1:8" x14ac:dyDescent="0.2">
      <c r="A169" s="33" t="s">
        <v>1027</v>
      </c>
      <c r="B169" s="33" t="s">
        <v>363</v>
      </c>
      <c r="C169" s="60" t="s">
        <v>487</v>
      </c>
      <c r="D169" s="55" cm="1">
        <f t="array" ref="D16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59</v>
      </c>
      <c r="E169" s="55" t="str" cm="1">
        <f t="array" ref="E16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69" s="43">
        <v>1</v>
      </c>
      <c r="H169" s="11" t="str">
        <f>IFERROR(VLOOKUP(tbl_product_scores[[#This Row],[product_key]],tbl_products[[product_key]:[group_display_key]],2,FALSE),"")</f>
        <v>VEGETABLES</v>
      </c>
    </row>
    <row r="170" spans="1:8" x14ac:dyDescent="0.2">
      <c r="A170" s="33" t="s">
        <v>1027</v>
      </c>
      <c r="B170" s="33" t="s">
        <v>1033</v>
      </c>
      <c r="C170" s="57" t="s">
        <v>485</v>
      </c>
      <c r="D170" s="55" cm="1">
        <f t="array" ref="D17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69</v>
      </c>
      <c r="E170" s="55" t="str" cm="1">
        <f t="array" ref="E17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170" s="43">
        <v>1</v>
      </c>
      <c r="H170" s="11" t="str">
        <f>IFERROR(VLOOKUP(tbl_product_scores[[#This Row],[product_key]],tbl_products[[product_key]:[group_display_key]],2,FALSE),"")</f>
        <v>VEGETABLES</v>
      </c>
    </row>
    <row r="171" spans="1:8" x14ac:dyDescent="0.2">
      <c r="A171" s="33" t="s">
        <v>1027</v>
      </c>
      <c r="B171" s="33" t="s">
        <v>1033</v>
      </c>
      <c r="C171" s="58" t="s">
        <v>486</v>
      </c>
      <c r="D171" s="55" cm="1">
        <f t="array" ref="D17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62</v>
      </c>
      <c r="E171" s="55" t="str" cm="1">
        <f t="array" ref="E17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71" s="43">
        <v>1</v>
      </c>
      <c r="H171" s="11" t="str">
        <f>IFERROR(VLOOKUP(tbl_product_scores[[#This Row],[product_key]],tbl_products[[product_key]:[group_display_key]],2,FALSE),"")</f>
        <v>VEGETABLES</v>
      </c>
    </row>
    <row r="172" spans="1:8" x14ac:dyDescent="0.2">
      <c r="A172" s="33" t="s">
        <v>1027</v>
      </c>
      <c r="B172" s="33" t="s">
        <v>1033</v>
      </c>
      <c r="C172" s="59" t="s">
        <v>487</v>
      </c>
      <c r="D172" s="55" cm="1">
        <f t="array" ref="D17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56</v>
      </c>
      <c r="E172" s="55" t="str" cm="1">
        <f t="array" ref="E17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72" s="43">
        <v>1</v>
      </c>
      <c r="H172" s="11" t="str">
        <f>IFERROR(VLOOKUP(tbl_product_scores[[#This Row],[product_key]],tbl_products[[product_key]:[group_display_key]],2,FALSE),"")</f>
        <v>VEGETABLES</v>
      </c>
    </row>
    <row r="173" spans="1:8" x14ac:dyDescent="0.2">
      <c r="A173" s="33" t="s">
        <v>1027</v>
      </c>
      <c r="B173" s="33" t="s">
        <v>1035</v>
      </c>
      <c r="C173" s="60" t="s">
        <v>485</v>
      </c>
      <c r="D173" s="55" cm="1">
        <f t="array" ref="D17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67</v>
      </c>
      <c r="E173" s="55" t="str" cm="1">
        <f t="array" ref="E17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173" s="43">
        <v>1</v>
      </c>
      <c r="H173" s="11" t="str">
        <f>IFERROR(VLOOKUP(tbl_product_scores[[#This Row],[product_key]],tbl_products[[product_key]:[group_display_key]],2,FALSE),"")</f>
        <v>VEGETABLES</v>
      </c>
    </row>
    <row r="174" spans="1:8" x14ac:dyDescent="0.2">
      <c r="A174" s="33" t="s">
        <v>1027</v>
      </c>
      <c r="B174" s="33" t="s">
        <v>1035</v>
      </c>
      <c r="C174" s="59" t="s">
        <v>486</v>
      </c>
      <c r="D174" s="55" cm="1">
        <f t="array" ref="D17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59</v>
      </c>
      <c r="E174" s="55" t="str" cm="1">
        <f t="array" ref="E17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74" s="43">
        <v>1</v>
      </c>
      <c r="H174" s="11" t="str">
        <f>IFERROR(VLOOKUP(tbl_product_scores[[#This Row],[product_key]],tbl_products[[product_key]:[group_display_key]],2,FALSE),"")</f>
        <v>VEGETABLES</v>
      </c>
    </row>
    <row r="175" spans="1:8" x14ac:dyDescent="0.2">
      <c r="A175" s="33" t="s">
        <v>1027</v>
      </c>
      <c r="B175" s="33" t="s">
        <v>1035</v>
      </c>
      <c r="C175" s="60" t="s">
        <v>487</v>
      </c>
      <c r="D175" s="55" cm="1">
        <f t="array" ref="D17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52</v>
      </c>
      <c r="E175" s="55" t="str" cm="1">
        <f t="array" ref="E17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75" s="43">
        <v>1</v>
      </c>
      <c r="H175" s="11" t="str">
        <f>IFERROR(VLOOKUP(tbl_product_scores[[#This Row],[product_key]],tbl_products[[product_key]:[group_display_key]],2,FALSE),"")</f>
        <v>VEGETABLES</v>
      </c>
    </row>
    <row r="176" spans="1:8" x14ac:dyDescent="0.2">
      <c r="A176" s="33" t="s">
        <v>964</v>
      </c>
      <c r="B176" s="33" t="s">
        <v>952</v>
      </c>
      <c r="C176" s="57" t="s">
        <v>485</v>
      </c>
      <c r="D176" s="55" cm="1">
        <f t="array" ref="D17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44</v>
      </c>
      <c r="E176" s="55" t="str" cm="1">
        <f t="array" ref="E17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176" s="43">
        <v>1</v>
      </c>
      <c r="H176" s="11" t="str">
        <f>IFERROR(VLOOKUP(tbl_product_scores[[#This Row],[product_key]],tbl_products[[product_key]:[group_display_key]],2,FALSE),"")</f>
        <v>FRUITS</v>
      </c>
    </row>
    <row r="177" spans="1:8" x14ac:dyDescent="0.2">
      <c r="A177" s="33" t="s">
        <v>964</v>
      </c>
      <c r="B177" s="33" t="s">
        <v>952</v>
      </c>
      <c r="C177" s="58" t="s">
        <v>486</v>
      </c>
      <c r="D177" s="55" cm="1">
        <f t="array" ref="D17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56</v>
      </c>
      <c r="E177" s="55" t="str" cm="1">
        <f t="array" ref="E17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77" s="43">
        <v>1</v>
      </c>
      <c r="H177" s="11" t="str">
        <f>IFERROR(VLOOKUP(tbl_product_scores[[#This Row],[product_key]],tbl_products[[product_key]:[group_display_key]],2,FALSE),"")</f>
        <v>FRUITS</v>
      </c>
    </row>
    <row r="178" spans="1:8" x14ac:dyDescent="0.2">
      <c r="A178" s="33" t="s">
        <v>964</v>
      </c>
      <c r="B178" s="33" t="s">
        <v>952</v>
      </c>
      <c r="C178" s="59" t="s">
        <v>487</v>
      </c>
      <c r="D178" s="55" cm="1">
        <f t="array" ref="D17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63</v>
      </c>
      <c r="E178" s="55" t="str" cm="1">
        <f t="array" ref="E17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78" s="43">
        <v>1</v>
      </c>
      <c r="H178" s="11" t="str">
        <f>IFERROR(VLOOKUP(tbl_product_scores[[#This Row],[product_key]],tbl_products[[product_key]:[group_display_key]],2,FALSE),"")</f>
        <v>FRUITS</v>
      </c>
    </row>
    <row r="179" spans="1:8" x14ac:dyDescent="0.2">
      <c r="A179" s="33" t="s">
        <v>964</v>
      </c>
      <c r="B179" s="33" t="s">
        <v>950</v>
      </c>
      <c r="C179" s="60" t="s">
        <v>485</v>
      </c>
      <c r="D179" s="55" cm="1">
        <f t="array" ref="D17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33</v>
      </c>
      <c r="E179" s="55" t="str" cm="1">
        <f t="array" ref="E17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E</v>
      </c>
      <c r="F179" s="43">
        <v>1</v>
      </c>
      <c r="H179" s="11" t="str">
        <f>IFERROR(VLOOKUP(tbl_product_scores[[#This Row],[product_key]],tbl_products[[product_key]:[group_display_key]],2,FALSE),"")</f>
        <v>FRUITS</v>
      </c>
    </row>
    <row r="180" spans="1:8" x14ac:dyDescent="0.2">
      <c r="A180" s="33" t="s">
        <v>964</v>
      </c>
      <c r="B180" s="33" t="s">
        <v>950</v>
      </c>
      <c r="C180" s="59" t="s">
        <v>486</v>
      </c>
      <c r="D180" s="55" cm="1">
        <f t="array" ref="D18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38</v>
      </c>
      <c r="E180" s="55" t="str" cm="1">
        <f t="array" ref="E18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180" s="43">
        <v>1</v>
      </c>
      <c r="H180" s="11" t="str">
        <f>IFERROR(VLOOKUP(tbl_product_scores[[#This Row],[product_key]],tbl_products[[product_key]:[group_display_key]],2,FALSE),"")</f>
        <v>FRUITS</v>
      </c>
    </row>
    <row r="181" spans="1:8" x14ac:dyDescent="0.2">
      <c r="A181" s="33" t="s">
        <v>964</v>
      </c>
      <c r="B181" s="33" t="s">
        <v>950</v>
      </c>
      <c r="C181" s="60" t="s">
        <v>487</v>
      </c>
      <c r="D181" s="55" cm="1">
        <f t="array" ref="D18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61</v>
      </c>
      <c r="E181" s="55" t="str" cm="1">
        <f t="array" ref="E18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81" s="43">
        <v>1</v>
      </c>
      <c r="H181" s="11" t="str">
        <f>IFERROR(VLOOKUP(tbl_product_scores[[#This Row],[product_key]],tbl_products[[product_key]:[group_display_key]],2,FALSE),"")</f>
        <v>FRUITS</v>
      </c>
    </row>
    <row r="182" spans="1:8" x14ac:dyDescent="0.2">
      <c r="A182" s="33" t="s">
        <v>944</v>
      </c>
      <c r="B182" s="33" t="s">
        <v>952</v>
      </c>
      <c r="C182" s="57" t="s">
        <v>485</v>
      </c>
      <c r="D182" s="55" cm="1">
        <f t="array" ref="D18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58</v>
      </c>
      <c r="E182" s="55" t="str" cm="1">
        <f t="array" ref="E18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82" s="43">
        <v>1</v>
      </c>
      <c r="H182" s="11" t="str">
        <f>IFERROR(VLOOKUP(tbl_product_scores[[#This Row],[product_key]],tbl_products[[product_key]:[group_display_key]],2,FALSE),"")</f>
        <v>FRUITS</v>
      </c>
    </row>
    <row r="183" spans="1:8" x14ac:dyDescent="0.2">
      <c r="A183" s="33" t="s">
        <v>944</v>
      </c>
      <c r="B183" s="33" t="s">
        <v>952</v>
      </c>
      <c r="C183" s="58" t="s">
        <v>486</v>
      </c>
      <c r="D183" s="55" cm="1">
        <f t="array" ref="D18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64</v>
      </c>
      <c r="E183" s="55" t="str" cm="1">
        <f t="array" ref="E18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83" s="43">
        <v>1</v>
      </c>
      <c r="H183" s="11" t="str">
        <f>IFERROR(VLOOKUP(tbl_product_scores[[#This Row],[product_key]],tbl_products[[product_key]:[group_display_key]],2,FALSE),"")</f>
        <v>FRUITS</v>
      </c>
    </row>
    <row r="184" spans="1:8" x14ac:dyDescent="0.2">
      <c r="A184" s="33" t="s">
        <v>944</v>
      </c>
      <c r="B184" s="33" t="s">
        <v>952</v>
      </c>
      <c r="C184" s="59" t="s">
        <v>487</v>
      </c>
      <c r="D184" s="55" cm="1">
        <f t="array" ref="D18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58</v>
      </c>
      <c r="E184" s="55" t="str" cm="1">
        <f t="array" ref="E18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84" s="43">
        <v>1</v>
      </c>
      <c r="H184" s="11" t="str">
        <f>IFERROR(VLOOKUP(tbl_product_scores[[#This Row],[product_key]],tbl_products[[product_key]:[group_display_key]],2,FALSE),"")</f>
        <v>FRUITS</v>
      </c>
    </row>
    <row r="185" spans="1:8" x14ac:dyDescent="0.2">
      <c r="A185" s="33" t="s">
        <v>944</v>
      </c>
      <c r="B185" s="33" t="s">
        <v>950</v>
      </c>
      <c r="C185" s="60" t="s">
        <v>485</v>
      </c>
      <c r="D185" s="55" cm="1">
        <f t="array" ref="D18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59</v>
      </c>
      <c r="E185" s="55" t="str" cm="1">
        <f t="array" ref="E18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85" s="43">
        <v>1</v>
      </c>
      <c r="H185" s="11" t="str">
        <f>IFERROR(VLOOKUP(tbl_product_scores[[#This Row],[product_key]],tbl_products[[product_key]:[group_display_key]],2,FALSE),"")</f>
        <v>FRUITS</v>
      </c>
    </row>
    <row r="186" spans="1:8" x14ac:dyDescent="0.2">
      <c r="A186" s="33" t="s">
        <v>944</v>
      </c>
      <c r="B186" s="33" t="s">
        <v>950</v>
      </c>
      <c r="C186" s="59" t="s">
        <v>486</v>
      </c>
      <c r="D186" s="55" cm="1">
        <f t="array" ref="D18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57</v>
      </c>
      <c r="E186" s="55" t="str" cm="1">
        <f t="array" ref="E18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86" s="43">
        <v>1</v>
      </c>
      <c r="H186" s="11" t="str">
        <f>IFERROR(VLOOKUP(tbl_product_scores[[#This Row],[product_key]],tbl_products[[product_key]:[group_display_key]],2,FALSE),"")</f>
        <v>FRUITS</v>
      </c>
    </row>
    <row r="187" spans="1:8" x14ac:dyDescent="0.2">
      <c r="A187" s="33" t="s">
        <v>944</v>
      </c>
      <c r="B187" s="33" t="s">
        <v>950</v>
      </c>
      <c r="C187" s="60" t="s">
        <v>487</v>
      </c>
      <c r="D187" s="55" cm="1">
        <f t="array" ref="D18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54</v>
      </c>
      <c r="E187" s="55" t="str" cm="1">
        <f t="array" ref="E18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87" s="43">
        <v>1</v>
      </c>
      <c r="H187" s="11" t="str">
        <f>IFERROR(VLOOKUP(tbl_product_scores[[#This Row],[product_key]],tbl_products[[product_key]:[group_display_key]],2,FALSE),"")</f>
        <v>FRUITS</v>
      </c>
    </row>
    <row r="188" spans="1:8" x14ac:dyDescent="0.2">
      <c r="A188" s="33" t="s">
        <v>920</v>
      </c>
      <c r="B188" s="33" t="s">
        <v>115</v>
      </c>
      <c r="C188" s="57" t="s">
        <v>485</v>
      </c>
      <c r="D188" s="55" cm="1">
        <f t="array" ref="D18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57</v>
      </c>
      <c r="E188" s="55" t="str" cm="1">
        <f t="array" ref="E18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88" s="43">
        <v>1</v>
      </c>
      <c r="H188" s="11" t="str">
        <f>IFERROR(VLOOKUP(tbl_product_scores[[#This Row],[product_key]],tbl_products[[product_key]:[group_display_key]],2,FALSE),"")</f>
        <v>FRUITS</v>
      </c>
    </row>
    <row r="189" spans="1:8" x14ac:dyDescent="0.2">
      <c r="A189" s="33" t="s">
        <v>920</v>
      </c>
      <c r="B189" s="33" t="s">
        <v>115</v>
      </c>
      <c r="C189" s="58" t="s">
        <v>486</v>
      </c>
      <c r="D189" s="55" cm="1">
        <f t="array" ref="D18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53</v>
      </c>
      <c r="E189" s="55" t="str" cm="1">
        <f t="array" ref="E18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89" s="43">
        <v>1</v>
      </c>
      <c r="H189" s="11" t="str">
        <f>IFERROR(VLOOKUP(tbl_product_scores[[#This Row],[product_key]],tbl_products[[product_key]:[group_display_key]],2,FALSE),"")</f>
        <v>FRUITS</v>
      </c>
    </row>
    <row r="190" spans="1:8" x14ac:dyDescent="0.2">
      <c r="A190" s="33" t="s">
        <v>920</v>
      </c>
      <c r="B190" s="33" t="s">
        <v>115</v>
      </c>
      <c r="C190" s="59" t="s">
        <v>487</v>
      </c>
      <c r="D190" s="55" cm="1">
        <f t="array" ref="D19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39</v>
      </c>
      <c r="E190" s="55" t="str" cm="1">
        <f t="array" ref="E19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190" s="43">
        <v>1</v>
      </c>
      <c r="H190" s="11" t="str">
        <f>IFERROR(VLOOKUP(tbl_product_scores[[#This Row],[product_key]],tbl_products[[product_key]:[group_display_key]],2,FALSE),"")</f>
        <v>FRUITS</v>
      </c>
    </row>
    <row r="191" spans="1:8" x14ac:dyDescent="0.2">
      <c r="A191" s="33" t="s">
        <v>634</v>
      </c>
      <c r="B191" s="33" t="s">
        <v>115</v>
      </c>
      <c r="C191" s="60" t="s">
        <v>485</v>
      </c>
      <c r="D191" s="55" cm="1">
        <f t="array" ref="D19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60</v>
      </c>
      <c r="E191" s="55" t="str" cm="1">
        <f t="array" ref="E19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91" s="43">
        <v>1</v>
      </c>
      <c r="H191" s="11" t="str">
        <f>IFERROR(VLOOKUP(tbl_product_scores[[#This Row],[product_key]],tbl_products[[product_key]:[group_display_key]],2,FALSE),"")</f>
        <v>FRUITS</v>
      </c>
    </row>
    <row r="192" spans="1:8" x14ac:dyDescent="0.2">
      <c r="A192" s="33" t="s">
        <v>634</v>
      </c>
      <c r="B192" s="33" t="s">
        <v>115</v>
      </c>
      <c r="C192" s="59" t="s">
        <v>486</v>
      </c>
      <c r="D192" s="55" cm="1">
        <f t="array" ref="D19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56</v>
      </c>
      <c r="E192" s="55" t="str" cm="1">
        <f t="array" ref="E19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92" s="43">
        <v>1</v>
      </c>
      <c r="H192" s="11" t="str">
        <f>IFERROR(VLOOKUP(tbl_product_scores[[#This Row],[product_key]],tbl_products[[product_key]:[group_display_key]],2,FALSE),"")</f>
        <v>FRUITS</v>
      </c>
    </row>
    <row r="193" spans="1:8" x14ac:dyDescent="0.2">
      <c r="A193" s="33" t="s">
        <v>634</v>
      </c>
      <c r="B193" s="33" t="s">
        <v>115</v>
      </c>
      <c r="C193" s="60" t="s">
        <v>487</v>
      </c>
      <c r="D193" s="55" cm="1">
        <f t="array" ref="D19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50</v>
      </c>
      <c r="E193" s="55" t="str" cm="1">
        <f t="array" ref="E19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93" s="43">
        <v>1</v>
      </c>
      <c r="H193" s="11" t="str">
        <f>IFERROR(VLOOKUP(tbl_product_scores[[#This Row],[product_key]],tbl_products[[product_key]:[group_display_key]],2,FALSE),"")</f>
        <v>FRUITS</v>
      </c>
    </row>
    <row r="194" spans="1:8" x14ac:dyDescent="0.2">
      <c r="A194" s="33" t="s">
        <v>636</v>
      </c>
      <c r="B194" s="33" t="s">
        <v>115</v>
      </c>
      <c r="C194" s="57" t="s">
        <v>485</v>
      </c>
      <c r="D194" s="55" cm="1">
        <f t="array" ref="D19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61</v>
      </c>
      <c r="E194" s="55" t="str" cm="1">
        <f t="array" ref="E19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94" s="43">
        <v>1</v>
      </c>
      <c r="H194" s="11" t="str">
        <f>IFERROR(VLOOKUP(tbl_product_scores[[#This Row],[product_key]],tbl_products[[product_key]:[group_display_key]],2,FALSE),"")</f>
        <v>FRUITS</v>
      </c>
    </row>
    <row r="195" spans="1:8" x14ac:dyDescent="0.2">
      <c r="A195" s="33" t="s">
        <v>636</v>
      </c>
      <c r="B195" s="33" t="s">
        <v>115</v>
      </c>
      <c r="C195" s="58" t="s">
        <v>486</v>
      </c>
      <c r="D195" s="55" cm="1">
        <f t="array" ref="D19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57</v>
      </c>
      <c r="E195" s="55" t="str" cm="1">
        <f t="array" ref="E19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95" s="43">
        <v>1</v>
      </c>
      <c r="H195" s="11" t="str">
        <f>IFERROR(VLOOKUP(tbl_product_scores[[#This Row],[product_key]],tbl_products[[product_key]:[group_display_key]],2,FALSE),"")</f>
        <v>FRUITS</v>
      </c>
    </row>
    <row r="196" spans="1:8" x14ac:dyDescent="0.2">
      <c r="A196" s="33" t="s">
        <v>636</v>
      </c>
      <c r="B196" s="33" t="s">
        <v>115</v>
      </c>
      <c r="C196" s="59" t="s">
        <v>487</v>
      </c>
      <c r="D196" s="55" cm="1">
        <f t="array" ref="D19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49</v>
      </c>
      <c r="E196" s="55" t="str" cm="1">
        <f t="array" ref="E19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196" s="43">
        <v>1</v>
      </c>
      <c r="H196" s="11" t="str">
        <f>IFERROR(VLOOKUP(tbl_product_scores[[#This Row],[product_key]],tbl_products[[product_key]:[group_display_key]],2,FALSE),"")</f>
        <v>FRUITS</v>
      </c>
    </row>
    <row r="197" spans="1:8" x14ac:dyDescent="0.2">
      <c r="A197" s="33" t="s">
        <v>637</v>
      </c>
      <c r="B197" s="33" t="s">
        <v>115</v>
      </c>
      <c r="C197" s="60" t="s">
        <v>485</v>
      </c>
      <c r="D197" s="55" cm="1">
        <f t="array" ref="D19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59</v>
      </c>
      <c r="E197" s="55" t="str" cm="1">
        <f t="array" ref="E19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97" s="43">
        <v>1</v>
      </c>
      <c r="H197" s="11" t="str">
        <f>IFERROR(VLOOKUP(tbl_product_scores[[#This Row],[product_key]],tbl_products[[product_key]:[group_display_key]],2,FALSE),"")</f>
        <v>FRUITS</v>
      </c>
    </row>
    <row r="198" spans="1:8" x14ac:dyDescent="0.2">
      <c r="A198" s="33" t="s">
        <v>637</v>
      </c>
      <c r="B198" s="33" t="s">
        <v>115</v>
      </c>
      <c r="C198" s="59" t="s">
        <v>486</v>
      </c>
      <c r="D198" s="55" cm="1">
        <f t="array" ref="D19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55</v>
      </c>
      <c r="E198" s="55" t="str" cm="1">
        <f t="array" ref="E19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198" s="43">
        <v>1</v>
      </c>
      <c r="H198" s="11" t="str">
        <f>IFERROR(VLOOKUP(tbl_product_scores[[#This Row],[product_key]],tbl_products[[product_key]:[group_display_key]],2,FALSE),"")</f>
        <v>FRUITS</v>
      </c>
    </row>
    <row r="199" spans="1:8" x14ac:dyDescent="0.2">
      <c r="A199" s="33" t="s">
        <v>637</v>
      </c>
      <c r="B199" s="33" t="s">
        <v>115</v>
      </c>
      <c r="C199" s="60" t="s">
        <v>487</v>
      </c>
      <c r="D199" s="55" cm="1">
        <f t="array" ref="D19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49</v>
      </c>
      <c r="E199" s="55" t="str" cm="1">
        <f t="array" ref="E19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199" s="43">
        <v>1</v>
      </c>
      <c r="H199" s="11" t="str">
        <f>IFERROR(VLOOKUP(tbl_product_scores[[#This Row],[product_key]],tbl_products[[product_key]:[group_display_key]],2,FALSE),"")</f>
        <v>FRUITS</v>
      </c>
    </row>
    <row r="200" spans="1:8" x14ac:dyDescent="0.2">
      <c r="A200" s="33" t="s">
        <v>540</v>
      </c>
      <c r="B200" s="33" t="s">
        <v>115</v>
      </c>
      <c r="C200" s="57" t="s">
        <v>485</v>
      </c>
      <c r="D200" s="55" cm="1">
        <f t="array" ref="D20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46</v>
      </c>
      <c r="E200" s="55" t="str" cm="1">
        <f t="array" ref="E20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200" s="43">
        <v>1</v>
      </c>
      <c r="H200" s="11" t="str">
        <f>IFERROR(VLOOKUP(tbl_product_scores[[#This Row],[product_key]],tbl_products[[product_key]:[group_display_key]],2,FALSE),"")</f>
        <v>GRAINS</v>
      </c>
    </row>
    <row r="201" spans="1:8" x14ac:dyDescent="0.2">
      <c r="A201" s="33" t="s">
        <v>540</v>
      </c>
      <c r="B201" s="33" t="s">
        <v>115</v>
      </c>
      <c r="C201" s="58" t="s">
        <v>486</v>
      </c>
      <c r="D201" s="55" cm="1">
        <f t="array" ref="D20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68</v>
      </c>
      <c r="E201" s="55" t="str" cm="1">
        <f t="array" ref="E20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201" s="43">
        <v>1</v>
      </c>
      <c r="H201" s="11" t="str">
        <f>IFERROR(VLOOKUP(tbl_product_scores[[#This Row],[product_key]],tbl_products[[product_key]:[group_display_key]],2,FALSE),"")</f>
        <v>GRAINS</v>
      </c>
    </row>
    <row r="202" spans="1:8" x14ac:dyDescent="0.2">
      <c r="A202" s="33" t="s">
        <v>540</v>
      </c>
      <c r="B202" s="33" t="s">
        <v>115</v>
      </c>
      <c r="C202" s="59" t="s">
        <v>487</v>
      </c>
      <c r="D202" s="55" cm="1">
        <f t="array" ref="D20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66</v>
      </c>
      <c r="E202" s="55" t="str" cm="1">
        <f t="array" ref="E20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202" s="43">
        <v>1</v>
      </c>
      <c r="H202" s="11" t="str">
        <f>IFERROR(VLOOKUP(tbl_product_scores[[#This Row],[product_key]],tbl_products[[product_key]:[group_display_key]],2,FALSE),"")</f>
        <v>GRAINS</v>
      </c>
    </row>
    <row r="203" spans="1:8" x14ac:dyDescent="0.2">
      <c r="A203" s="33" t="s">
        <v>791</v>
      </c>
      <c r="B203" s="33" t="s">
        <v>115</v>
      </c>
      <c r="C203" s="60" t="s">
        <v>485</v>
      </c>
      <c r="D203" s="55" cm="1">
        <f t="array" ref="D20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65</v>
      </c>
      <c r="E203" s="55" t="str" cm="1">
        <f t="array" ref="E20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203" s="43">
        <v>1</v>
      </c>
      <c r="H203" s="11" t="str">
        <f>IFERROR(VLOOKUP(tbl_product_scores[[#This Row],[product_key]],tbl_products[[product_key]:[group_display_key]],2,FALSE),"")</f>
        <v>FRUITS</v>
      </c>
    </row>
    <row r="204" spans="1:8" x14ac:dyDescent="0.2">
      <c r="A204" s="33" t="s">
        <v>791</v>
      </c>
      <c r="B204" s="33" t="s">
        <v>115</v>
      </c>
      <c r="C204" s="59" t="s">
        <v>486</v>
      </c>
      <c r="D204" s="55" cm="1">
        <f t="array" ref="D20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59</v>
      </c>
      <c r="E204" s="55" t="str" cm="1">
        <f t="array" ref="E20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04" s="43">
        <v>1</v>
      </c>
      <c r="H204" s="11" t="str">
        <f>IFERROR(VLOOKUP(tbl_product_scores[[#This Row],[product_key]],tbl_products[[product_key]:[group_display_key]],2,FALSE),"")</f>
        <v>FRUITS</v>
      </c>
    </row>
    <row r="205" spans="1:8" x14ac:dyDescent="0.2">
      <c r="A205" s="33" t="s">
        <v>791</v>
      </c>
      <c r="B205" s="33" t="s">
        <v>115</v>
      </c>
      <c r="C205" s="60" t="s">
        <v>487</v>
      </c>
      <c r="D205" s="55" cm="1">
        <f t="array" ref="D20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48</v>
      </c>
      <c r="E205" s="55" t="str" cm="1">
        <f t="array" ref="E20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205" s="43">
        <v>1</v>
      </c>
      <c r="H205" s="11" t="str">
        <f>IFERROR(VLOOKUP(tbl_product_scores[[#This Row],[product_key]],tbl_products[[product_key]:[group_display_key]],2,FALSE),"")</f>
        <v>FRUITS</v>
      </c>
    </row>
    <row r="206" spans="1:8" x14ac:dyDescent="0.2">
      <c r="A206" s="33" t="s">
        <v>793</v>
      </c>
      <c r="B206" s="33" t="s">
        <v>115</v>
      </c>
      <c r="C206" s="57" t="s">
        <v>485</v>
      </c>
      <c r="D206" s="55" cm="1">
        <f t="array" ref="D20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65</v>
      </c>
      <c r="E206" s="55" t="str" cm="1">
        <f t="array" ref="E20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206" s="43">
        <v>1</v>
      </c>
      <c r="H206" s="11" t="str">
        <f>IFERROR(VLOOKUP(tbl_product_scores[[#This Row],[product_key]],tbl_products[[product_key]:[group_display_key]],2,FALSE),"")</f>
        <v>FRUITS</v>
      </c>
    </row>
    <row r="207" spans="1:8" x14ac:dyDescent="0.2">
      <c r="A207" s="33" t="s">
        <v>793</v>
      </c>
      <c r="B207" s="33" t="s">
        <v>115</v>
      </c>
      <c r="C207" s="58" t="s">
        <v>486</v>
      </c>
      <c r="D207" s="55" cm="1">
        <f t="array" ref="D20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59</v>
      </c>
      <c r="E207" s="55" t="str" cm="1">
        <f t="array" ref="E20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07" s="43">
        <v>1</v>
      </c>
      <c r="H207" s="11" t="str">
        <f>IFERROR(VLOOKUP(tbl_product_scores[[#This Row],[product_key]],tbl_products[[product_key]:[group_display_key]],2,FALSE),"")</f>
        <v>FRUITS</v>
      </c>
    </row>
    <row r="208" spans="1:8" x14ac:dyDescent="0.2">
      <c r="A208" s="33" t="s">
        <v>793</v>
      </c>
      <c r="B208" s="33" t="s">
        <v>115</v>
      </c>
      <c r="C208" s="59" t="s">
        <v>487</v>
      </c>
      <c r="D208" s="55" cm="1">
        <f t="array" ref="D20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47</v>
      </c>
      <c r="E208" s="55" t="str" cm="1">
        <f t="array" ref="E20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208" s="43">
        <v>1</v>
      </c>
      <c r="H208" s="11" t="str">
        <f>IFERROR(VLOOKUP(tbl_product_scores[[#This Row],[product_key]],tbl_products[[product_key]:[group_display_key]],2,FALSE),"")</f>
        <v>FRUITS</v>
      </c>
    </row>
    <row r="209" spans="1:8" x14ac:dyDescent="0.2">
      <c r="A209" s="33" t="s">
        <v>794</v>
      </c>
      <c r="B209" s="33" t="s">
        <v>115</v>
      </c>
      <c r="C209" s="60" t="s">
        <v>485</v>
      </c>
      <c r="D209" s="55" cm="1">
        <f t="array" ref="D20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62</v>
      </c>
      <c r="E209" s="55" t="str" cm="1">
        <f t="array" ref="E20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09" s="43">
        <v>1</v>
      </c>
      <c r="H209" s="11" t="str">
        <f>IFERROR(VLOOKUP(tbl_product_scores[[#This Row],[product_key]],tbl_products[[product_key]:[group_display_key]],2,FALSE),"")</f>
        <v>FRUITS</v>
      </c>
    </row>
    <row r="210" spans="1:8" x14ac:dyDescent="0.2">
      <c r="A210" s="33" t="s">
        <v>794</v>
      </c>
      <c r="B210" s="33" t="s">
        <v>115</v>
      </c>
      <c r="C210" s="59" t="s">
        <v>486</v>
      </c>
      <c r="D210" s="55" cm="1">
        <f t="array" ref="D21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57</v>
      </c>
      <c r="E210" s="55" t="str" cm="1">
        <f t="array" ref="E21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10" s="43">
        <v>1</v>
      </c>
      <c r="H210" s="11" t="str">
        <f>IFERROR(VLOOKUP(tbl_product_scores[[#This Row],[product_key]],tbl_products[[product_key]:[group_display_key]],2,FALSE),"")</f>
        <v>FRUITS</v>
      </c>
    </row>
    <row r="211" spans="1:8" x14ac:dyDescent="0.2">
      <c r="A211" s="33" t="s">
        <v>794</v>
      </c>
      <c r="B211" s="33" t="s">
        <v>115</v>
      </c>
      <c r="C211" s="60" t="s">
        <v>487</v>
      </c>
      <c r="D211" s="55" cm="1">
        <f t="array" ref="D21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47</v>
      </c>
      <c r="E211" s="55" t="str" cm="1">
        <f t="array" ref="E21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211" s="43">
        <v>1</v>
      </c>
      <c r="H211" s="11" t="str">
        <f>IFERROR(VLOOKUP(tbl_product_scores[[#This Row],[product_key]],tbl_products[[product_key]:[group_display_key]],2,FALSE),"")</f>
        <v>FRUITS</v>
      </c>
    </row>
    <row r="212" spans="1:8" x14ac:dyDescent="0.2">
      <c r="A212" s="33" t="s">
        <v>906</v>
      </c>
      <c r="B212" s="33" t="s">
        <v>115</v>
      </c>
      <c r="C212" s="57" t="s">
        <v>485</v>
      </c>
      <c r="D212" s="55" cm="1">
        <f t="array" ref="D21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60</v>
      </c>
      <c r="E212" s="55" t="str" cm="1">
        <f t="array" ref="E21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12" s="43">
        <v>1</v>
      </c>
      <c r="H212" s="11" t="str">
        <f>IFERROR(VLOOKUP(tbl_product_scores[[#This Row],[product_key]],tbl_products[[product_key]:[group_display_key]],2,FALSE),"")</f>
        <v>FRUITS</v>
      </c>
    </row>
    <row r="213" spans="1:8" x14ac:dyDescent="0.2">
      <c r="A213" s="33" t="s">
        <v>906</v>
      </c>
      <c r="B213" s="33" t="s">
        <v>115</v>
      </c>
      <c r="C213" s="58" t="s">
        <v>486</v>
      </c>
      <c r="D213" s="55" cm="1">
        <f t="array" ref="D21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57</v>
      </c>
      <c r="E213" s="55" t="str" cm="1">
        <f t="array" ref="E21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13" s="43">
        <v>1</v>
      </c>
      <c r="H213" s="11" t="str">
        <f>IFERROR(VLOOKUP(tbl_product_scores[[#This Row],[product_key]],tbl_products[[product_key]:[group_display_key]],2,FALSE),"")</f>
        <v>FRUITS</v>
      </c>
    </row>
    <row r="214" spans="1:8" x14ac:dyDescent="0.2">
      <c r="A214" s="33" t="s">
        <v>906</v>
      </c>
      <c r="B214" s="33" t="s">
        <v>115</v>
      </c>
      <c r="C214" s="59" t="s">
        <v>487</v>
      </c>
      <c r="D214" s="55" cm="1">
        <f t="array" ref="D21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41</v>
      </c>
      <c r="E214" s="55" t="str" cm="1">
        <f t="array" ref="E21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214" s="43">
        <v>1</v>
      </c>
      <c r="H214" s="11" t="str">
        <f>IFERROR(VLOOKUP(tbl_product_scores[[#This Row],[product_key]],tbl_products[[product_key]:[group_display_key]],2,FALSE),"")</f>
        <v>FRUITS</v>
      </c>
    </row>
    <row r="215" spans="1:8" x14ac:dyDescent="0.2">
      <c r="A215" s="33" t="s">
        <v>913</v>
      </c>
      <c r="B215" s="33" t="s">
        <v>115</v>
      </c>
      <c r="C215" s="60" t="s">
        <v>485</v>
      </c>
      <c r="D215" s="55" cm="1">
        <f t="array" ref="D21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64</v>
      </c>
      <c r="E215" s="55" t="str" cm="1">
        <f t="array" ref="E21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15" s="43">
        <v>1</v>
      </c>
      <c r="H215" s="11" t="str">
        <f>IFERROR(VLOOKUP(tbl_product_scores[[#This Row],[product_key]],tbl_products[[product_key]:[group_display_key]],2,FALSE),"")</f>
        <v>FRUITS</v>
      </c>
    </row>
    <row r="216" spans="1:8" x14ac:dyDescent="0.2">
      <c r="A216" s="33" t="s">
        <v>913</v>
      </c>
      <c r="B216" s="33" t="s">
        <v>115</v>
      </c>
      <c r="C216" s="59" t="s">
        <v>486</v>
      </c>
      <c r="D216" s="55" cm="1">
        <f t="array" ref="D21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59</v>
      </c>
      <c r="E216" s="55" t="str" cm="1">
        <f t="array" ref="E21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16" s="43">
        <v>1</v>
      </c>
      <c r="H216" s="11" t="str">
        <f>IFERROR(VLOOKUP(tbl_product_scores[[#This Row],[product_key]],tbl_products[[product_key]:[group_display_key]],2,FALSE),"")</f>
        <v>FRUITS</v>
      </c>
    </row>
    <row r="217" spans="1:8" x14ac:dyDescent="0.2">
      <c r="A217" s="33" t="s">
        <v>913</v>
      </c>
      <c r="B217" s="33" t="s">
        <v>115</v>
      </c>
      <c r="C217" s="60" t="s">
        <v>487</v>
      </c>
      <c r="D217" s="55" cm="1">
        <f t="array" ref="D21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42</v>
      </c>
      <c r="E217" s="55" t="str" cm="1">
        <f t="array" ref="E21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217" s="43">
        <v>1</v>
      </c>
      <c r="H217" s="11" t="str">
        <f>IFERROR(VLOOKUP(tbl_product_scores[[#This Row],[product_key]],tbl_products[[product_key]:[group_display_key]],2,FALSE),"")</f>
        <v>FRUITS</v>
      </c>
    </row>
    <row r="218" spans="1:8" x14ac:dyDescent="0.2">
      <c r="A218" s="33" t="s">
        <v>628</v>
      </c>
      <c r="B218" s="33" t="s">
        <v>115</v>
      </c>
      <c r="C218" s="57" t="s">
        <v>485</v>
      </c>
      <c r="D218" s="55" cm="1">
        <f t="array" ref="D21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57</v>
      </c>
      <c r="E218" s="55" t="str" cm="1">
        <f t="array" ref="E21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18" s="43">
        <v>1</v>
      </c>
      <c r="H218" s="11" t="str">
        <f>IFERROR(VLOOKUP(tbl_product_scores[[#This Row],[product_key]],tbl_products[[product_key]:[group_display_key]],2,FALSE),"")</f>
        <v>FRUITS</v>
      </c>
    </row>
    <row r="219" spans="1:8" x14ac:dyDescent="0.2">
      <c r="A219" s="33" t="s">
        <v>628</v>
      </c>
      <c r="B219" s="33" t="s">
        <v>115</v>
      </c>
      <c r="C219" s="58" t="s">
        <v>486</v>
      </c>
      <c r="D219" s="55" cm="1">
        <f t="array" ref="D21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53</v>
      </c>
      <c r="E219" s="55" t="str" cm="1">
        <f t="array" ref="E21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19" s="43">
        <v>1</v>
      </c>
      <c r="H219" s="11" t="str">
        <f>IFERROR(VLOOKUP(tbl_product_scores[[#This Row],[product_key]],tbl_products[[product_key]:[group_display_key]],2,FALSE),"")</f>
        <v>FRUITS</v>
      </c>
    </row>
    <row r="220" spans="1:8" x14ac:dyDescent="0.2">
      <c r="A220" s="33" t="s">
        <v>628</v>
      </c>
      <c r="B220" s="33" t="s">
        <v>115</v>
      </c>
      <c r="C220" s="59" t="s">
        <v>487</v>
      </c>
      <c r="D220" s="55" cm="1">
        <f t="array" ref="D22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39</v>
      </c>
      <c r="E220" s="55" t="str" cm="1">
        <f t="array" ref="E22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220" s="43">
        <v>1</v>
      </c>
      <c r="H220" s="11" t="str">
        <f>IFERROR(VLOOKUP(tbl_product_scores[[#This Row],[product_key]],tbl_products[[product_key]:[group_display_key]],2,FALSE),"")</f>
        <v>FRUITS</v>
      </c>
    </row>
    <row r="221" spans="1:8" x14ac:dyDescent="0.2">
      <c r="A221" s="33" t="s">
        <v>780</v>
      </c>
      <c r="B221" s="33" t="s">
        <v>115</v>
      </c>
      <c r="C221" s="60" t="s">
        <v>485</v>
      </c>
      <c r="D221" s="55" cm="1">
        <f t="array" ref="D22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61</v>
      </c>
      <c r="E221" s="55" t="str" cm="1">
        <f t="array" ref="E22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21" s="43">
        <v>1</v>
      </c>
      <c r="H221" s="11" t="str">
        <f>IFERROR(VLOOKUP(tbl_product_scores[[#This Row],[product_key]],tbl_products[[product_key]:[group_display_key]],2,FALSE),"")</f>
        <v>FRUITS</v>
      </c>
    </row>
    <row r="222" spans="1:8" x14ac:dyDescent="0.2">
      <c r="A222" s="33" t="s">
        <v>780</v>
      </c>
      <c r="B222" s="33" t="s">
        <v>115</v>
      </c>
      <c r="C222" s="59" t="s">
        <v>486</v>
      </c>
      <c r="D222" s="55" cm="1">
        <f t="array" ref="D22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55</v>
      </c>
      <c r="E222" s="55" t="str" cm="1">
        <f t="array" ref="E22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22" s="43">
        <v>1</v>
      </c>
      <c r="H222" s="11" t="str">
        <f>IFERROR(VLOOKUP(tbl_product_scores[[#This Row],[product_key]],tbl_products[[product_key]:[group_display_key]],2,FALSE),"")</f>
        <v>FRUITS</v>
      </c>
    </row>
    <row r="223" spans="1:8" x14ac:dyDescent="0.2">
      <c r="A223" s="33" t="s">
        <v>780</v>
      </c>
      <c r="B223" s="33" t="s">
        <v>115</v>
      </c>
      <c r="C223" s="60" t="s">
        <v>487</v>
      </c>
      <c r="D223" s="55" cm="1">
        <f t="array" ref="D22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44</v>
      </c>
      <c r="E223" s="55" t="str" cm="1">
        <f t="array" ref="E22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223" s="43">
        <v>1</v>
      </c>
      <c r="H223" s="11" t="str">
        <f>IFERROR(VLOOKUP(tbl_product_scores[[#This Row],[product_key]],tbl_products[[product_key]:[group_display_key]],2,FALSE),"")</f>
        <v>FRUITS</v>
      </c>
    </row>
    <row r="224" spans="1:8" x14ac:dyDescent="0.2">
      <c r="A224" s="33" t="s">
        <v>739</v>
      </c>
      <c r="B224" s="33" t="s">
        <v>115</v>
      </c>
      <c r="C224" s="57" t="s">
        <v>485</v>
      </c>
      <c r="D224" s="55" cm="1">
        <f t="array" ref="D22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49</v>
      </c>
      <c r="E224" s="55" t="str" cm="1">
        <f t="array" ref="E22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224" s="43">
        <v>1</v>
      </c>
      <c r="H224" s="11" t="str">
        <f>IFERROR(VLOOKUP(tbl_product_scores[[#This Row],[product_key]],tbl_products[[product_key]:[group_display_key]],2,FALSE),"")</f>
        <v>FRUITS</v>
      </c>
    </row>
    <row r="225" spans="1:8" x14ac:dyDescent="0.2">
      <c r="A225" s="33" t="s">
        <v>739</v>
      </c>
      <c r="B225" s="33" t="s">
        <v>115</v>
      </c>
      <c r="C225" s="58" t="s">
        <v>486</v>
      </c>
      <c r="D225" s="55" cm="1">
        <f t="array" ref="D22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47</v>
      </c>
      <c r="E225" s="55" t="str" cm="1">
        <f t="array" ref="E22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225" s="43">
        <v>1</v>
      </c>
      <c r="H225" s="11" t="str">
        <f>IFERROR(VLOOKUP(tbl_product_scores[[#This Row],[product_key]],tbl_products[[product_key]:[group_display_key]],2,FALSE),"")</f>
        <v>FRUITS</v>
      </c>
    </row>
    <row r="226" spans="1:8" x14ac:dyDescent="0.2">
      <c r="A226" s="33" t="s">
        <v>739</v>
      </c>
      <c r="B226" s="33" t="s">
        <v>115</v>
      </c>
      <c r="C226" s="59" t="s">
        <v>487</v>
      </c>
      <c r="D226" s="55" cm="1">
        <f t="array" ref="D22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32</v>
      </c>
      <c r="E226" s="55" t="str" cm="1">
        <f t="array" ref="E22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226" s="43">
        <v>1</v>
      </c>
      <c r="H226" s="11" t="str">
        <f>IFERROR(VLOOKUP(tbl_product_scores[[#This Row],[product_key]],tbl_products[[product_key]:[group_display_key]],2,FALSE),"")</f>
        <v>FRUITS</v>
      </c>
    </row>
    <row r="227" spans="1:8" x14ac:dyDescent="0.2">
      <c r="A227" s="33" t="s">
        <v>738</v>
      </c>
      <c r="B227" s="33" t="s">
        <v>115</v>
      </c>
      <c r="C227" s="60" t="s">
        <v>485</v>
      </c>
      <c r="D227" s="55" cm="1">
        <f t="array" ref="D22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54</v>
      </c>
      <c r="E227" s="55" t="str" cm="1">
        <f t="array" ref="E22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27" s="43">
        <v>1</v>
      </c>
      <c r="H227" s="11" t="str">
        <f>IFERROR(VLOOKUP(tbl_product_scores[[#This Row],[product_key]],tbl_products[[product_key]:[group_display_key]],2,FALSE),"")</f>
        <v>FRUITS</v>
      </c>
    </row>
    <row r="228" spans="1:8" x14ac:dyDescent="0.2">
      <c r="A228" s="33" t="s">
        <v>738</v>
      </c>
      <c r="B228" s="33" t="s">
        <v>115</v>
      </c>
      <c r="C228" s="59" t="s">
        <v>486</v>
      </c>
      <c r="D228" s="55" cm="1">
        <f t="array" ref="D22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51</v>
      </c>
      <c r="E228" s="55" t="str" cm="1">
        <f t="array" ref="E22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28" s="43">
        <v>1</v>
      </c>
      <c r="H228" s="11" t="str">
        <f>IFERROR(VLOOKUP(tbl_product_scores[[#This Row],[product_key]],tbl_products[[product_key]:[group_display_key]],2,FALSE),"")</f>
        <v>FRUITS</v>
      </c>
    </row>
    <row r="229" spans="1:8" x14ac:dyDescent="0.2">
      <c r="A229" s="33" t="s">
        <v>738</v>
      </c>
      <c r="B229" s="33" t="s">
        <v>115</v>
      </c>
      <c r="C229" s="60" t="s">
        <v>487</v>
      </c>
      <c r="D229" s="55" cm="1">
        <f t="array" ref="D22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37</v>
      </c>
      <c r="E229" s="55" t="str" cm="1">
        <f t="array" ref="E22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229" s="43">
        <v>1</v>
      </c>
      <c r="H229" s="11" t="str">
        <f>IFERROR(VLOOKUP(tbl_product_scores[[#This Row],[product_key]],tbl_products[[product_key]:[group_display_key]],2,FALSE),"")</f>
        <v>FRUITS</v>
      </c>
    </row>
    <row r="230" spans="1:8" x14ac:dyDescent="0.2">
      <c r="A230" s="33" t="s">
        <v>742</v>
      </c>
      <c r="B230" s="33" t="s">
        <v>115</v>
      </c>
      <c r="C230" s="57" t="s">
        <v>485</v>
      </c>
      <c r="D230" s="55" cm="1">
        <f t="array" ref="D23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51</v>
      </c>
      <c r="E230" s="55" t="str" cm="1">
        <f t="array" ref="E23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30" s="43">
        <v>1</v>
      </c>
      <c r="H230" s="11" t="str">
        <f>IFERROR(VLOOKUP(tbl_product_scores[[#This Row],[product_key]],tbl_products[[product_key]:[group_display_key]],2,FALSE),"")</f>
        <v>FRUITS</v>
      </c>
    </row>
    <row r="231" spans="1:8" x14ac:dyDescent="0.2">
      <c r="A231" s="33" t="s">
        <v>742</v>
      </c>
      <c r="B231" s="33" t="s">
        <v>115</v>
      </c>
      <c r="C231" s="58" t="s">
        <v>486</v>
      </c>
      <c r="D231" s="55" cm="1">
        <f t="array" ref="D23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48</v>
      </c>
      <c r="E231" s="55" t="str" cm="1">
        <f t="array" ref="E23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231" s="43">
        <v>1</v>
      </c>
      <c r="H231" s="11" t="str">
        <f>IFERROR(VLOOKUP(tbl_product_scores[[#This Row],[product_key]],tbl_products[[product_key]:[group_display_key]],2,FALSE),"")</f>
        <v>FRUITS</v>
      </c>
    </row>
    <row r="232" spans="1:8" x14ac:dyDescent="0.2">
      <c r="A232" s="33" t="s">
        <v>742</v>
      </c>
      <c r="B232" s="33" t="s">
        <v>115</v>
      </c>
      <c r="C232" s="59" t="s">
        <v>487</v>
      </c>
      <c r="D232" s="55" cm="1">
        <f t="array" ref="D23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33</v>
      </c>
      <c r="E232" s="55" t="str" cm="1">
        <f t="array" ref="E23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232" s="43">
        <v>1</v>
      </c>
      <c r="H232" s="11" t="str">
        <f>IFERROR(VLOOKUP(tbl_product_scores[[#This Row],[product_key]],tbl_products[[product_key]:[group_display_key]],2,FALSE),"")</f>
        <v>FRUITS</v>
      </c>
    </row>
    <row r="233" spans="1:8" x14ac:dyDescent="0.2">
      <c r="A233" s="33" t="s">
        <v>279</v>
      </c>
      <c r="B233" s="33" t="s">
        <v>115</v>
      </c>
      <c r="C233" s="60" t="s">
        <v>485</v>
      </c>
      <c r="D233" s="55" cm="1">
        <f t="array" ref="D23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62</v>
      </c>
      <c r="E233" s="55" t="str" cm="1">
        <f t="array" ref="E23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33" s="43">
        <v>1</v>
      </c>
      <c r="H233" s="11" t="str">
        <f>IFERROR(VLOOKUP(tbl_product_scores[[#This Row],[product_key]],tbl_products[[product_key]:[group_display_key]],2,FALSE),"")</f>
        <v>DAIRY</v>
      </c>
    </row>
    <row r="234" spans="1:8" x14ac:dyDescent="0.2">
      <c r="A234" s="33" t="s">
        <v>279</v>
      </c>
      <c r="B234" s="33" t="s">
        <v>115</v>
      </c>
      <c r="C234" s="59" t="s">
        <v>486</v>
      </c>
      <c r="D234" s="55" cm="1">
        <f t="array" ref="D23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64</v>
      </c>
      <c r="E234" s="55" t="str" cm="1">
        <f t="array" ref="E23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34" s="43">
        <v>1</v>
      </c>
      <c r="H234" s="11" t="str">
        <f>IFERROR(VLOOKUP(tbl_product_scores[[#This Row],[product_key]],tbl_products[[product_key]:[group_display_key]],2,FALSE),"")</f>
        <v>DAIRY</v>
      </c>
    </row>
    <row r="235" spans="1:8" x14ac:dyDescent="0.2">
      <c r="A235" s="33" t="s">
        <v>279</v>
      </c>
      <c r="B235" s="33" t="s">
        <v>115</v>
      </c>
      <c r="C235" s="60" t="s">
        <v>487</v>
      </c>
      <c r="D235" s="55" cm="1">
        <f t="array" ref="D23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60</v>
      </c>
      <c r="E235" s="55" t="str" cm="1">
        <f t="array" ref="E23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35" s="43">
        <v>1</v>
      </c>
      <c r="H235" s="11" t="str">
        <f>IFERROR(VLOOKUP(tbl_product_scores[[#This Row],[product_key]],tbl_products[[product_key]:[group_display_key]],2,FALSE),"")</f>
        <v>DAIRY</v>
      </c>
    </row>
    <row r="236" spans="1:8" x14ac:dyDescent="0.2">
      <c r="A236" s="33" t="s">
        <v>271</v>
      </c>
      <c r="B236" s="33" t="s">
        <v>115</v>
      </c>
      <c r="C236" s="57" t="s">
        <v>485</v>
      </c>
      <c r="D236" s="55" cm="1">
        <f t="array" ref="D23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65</v>
      </c>
      <c r="E236" s="55" t="str" cm="1">
        <f t="array" ref="E23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236" s="43">
        <v>1</v>
      </c>
      <c r="H236" s="11" t="str">
        <f>IFERROR(VLOOKUP(tbl_product_scores[[#This Row],[product_key]],tbl_products[[product_key]:[group_display_key]],2,FALSE),"")</f>
        <v>DAIRY</v>
      </c>
    </row>
    <row r="237" spans="1:8" x14ac:dyDescent="0.2">
      <c r="A237" s="33" t="s">
        <v>271</v>
      </c>
      <c r="B237" s="33" t="s">
        <v>115</v>
      </c>
      <c r="C237" s="58" t="s">
        <v>486</v>
      </c>
      <c r="D237" s="55" cm="1">
        <f t="array" ref="D23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63</v>
      </c>
      <c r="E237" s="55" t="str" cm="1">
        <f t="array" ref="E23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37" s="43">
        <v>1</v>
      </c>
      <c r="H237" s="11" t="str">
        <f>IFERROR(VLOOKUP(tbl_product_scores[[#This Row],[product_key]],tbl_products[[product_key]:[group_display_key]],2,FALSE),"")</f>
        <v>DAIRY</v>
      </c>
    </row>
    <row r="238" spans="1:8" x14ac:dyDescent="0.2">
      <c r="A238" s="33" t="s">
        <v>271</v>
      </c>
      <c r="B238" s="33" t="s">
        <v>115</v>
      </c>
      <c r="C238" s="59" t="s">
        <v>487</v>
      </c>
      <c r="D238" s="55" cm="1">
        <f t="array" ref="D23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60</v>
      </c>
      <c r="E238" s="55" t="str" cm="1">
        <f t="array" ref="E23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38" s="43">
        <v>1</v>
      </c>
      <c r="H238" s="11" t="str">
        <f>IFERROR(VLOOKUP(tbl_product_scores[[#This Row],[product_key]],tbl_products[[product_key]:[group_display_key]],2,FALSE),"")</f>
        <v>DAIRY</v>
      </c>
    </row>
    <row r="239" spans="1:8" x14ac:dyDescent="0.2">
      <c r="A239" s="33" t="s">
        <v>836</v>
      </c>
      <c r="B239" s="33" t="s">
        <v>115</v>
      </c>
      <c r="C239" s="60" t="s">
        <v>485</v>
      </c>
      <c r="D239" s="55" cm="1">
        <f t="array" ref="D23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56</v>
      </c>
      <c r="E239" s="55" t="str" cm="1">
        <f t="array" ref="E23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39" s="43">
        <v>1</v>
      </c>
      <c r="H239" s="11" t="str">
        <f>IFERROR(VLOOKUP(tbl_product_scores[[#This Row],[product_key]],tbl_products[[product_key]:[group_display_key]],2,FALSE),"")</f>
        <v>FRUITS</v>
      </c>
    </row>
    <row r="240" spans="1:8" x14ac:dyDescent="0.2">
      <c r="A240" s="33" t="s">
        <v>836</v>
      </c>
      <c r="B240" s="33" t="s">
        <v>115</v>
      </c>
      <c r="C240" s="59" t="s">
        <v>486</v>
      </c>
      <c r="D240" s="55" cm="1">
        <f t="array" ref="D24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54</v>
      </c>
      <c r="E240" s="55" t="str" cm="1">
        <f t="array" ref="E24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40" s="43">
        <v>1</v>
      </c>
      <c r="H240" s="11" t="str">
        <f>IFERROR(VLOOKUP(tbl_product_scores[[#This Row],[product_key]],tbl_products[[product_key]:[group_display_key]],2,FALSE),"")</f>
        <v>FRUITS</v>
      </c>
    </row>
    <row r="241" spans="1:8" x14ac:dyDescent="0.2">
      <c r="A241" s="33" t="s">
        <v>836</v>
      </c>
      <c r="B241" s="33" t="s">
        <v>115</v>
      </c>
      <c r="C241" s="60" t="s">
        <v>487</v>
      </c>
      <c r="D241" s="55" cm="1">
        <f t="array" ref="D24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39</v>
      </c>
      <c r="E241" s="55" t="str" cm="1">
        <f t="array" ref="E24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241" s="43">
        <v>1</v>
      </c>
      <c r="H241" s="11" t="str">
        <f>IFERROR(VLOOKUP(tbl_product_scores[[#This Row],[product_key]],tbl_products[[product_key]:[group_display_key]],2,FALSE),"")</f>
        <v>FRUITS</v>
      </c>
    </row>
    <row r="242" spans="1:8" x14ac:dyDescent="0.2">
      <c r="A242" s="33" t="s">
        <v>623</v>
      </c>
      <c r="B242" s="33" t="s">
        <v>115</v>
      </c>
      <c r="C242" s="57" t="s">
        <v>485</v>
      </c>
      <c r="D242" s="55" cm="1">
        <f t="array" ref="D24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62</v>
      </c>
      <c r="E242" s="55" t="str" cm="1">
        <f t="array" ref="E24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42" s="43">
        <v>1</v>
      </c>
      <c r="H242" s="11" t="str">
        <f>IFERROR(VLOOKUP(tbl_product_scores[[#This Row],[product_key]],tbl_products[[product_key]:[group_display_key]],2,FALSE),"")</f>
        <v>FRUITS</v>
      </c>
    </row>
    <row r="243" spans="1:8" x14ac:dyDescent="0.2">
      <c r="A243" s="33" t="s">
        <v>623</v>
      </c>
      <c r="B243" s="33" t="s">
        <v>115</v>
      </c>
      <c r="C243" s="58" t="s">
        <v>486</v>
      </c>
      <c r="D243" s="55" cm="1">
        <f t="array" ref="D24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57</v>
      </c>
      <c r="E243" s="55" t="str" cm="1">
        <f t="array" ref="E24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43" s="43">
        <v>1</v>
      </c>
      <c r="H243" s="11" t="str">
        <f>IFERROR(VLOOKUP(tbl_product_scores[[#This Row],[product_key]],tbl_products[[product_key]:[group_display_key]],2,FALSE),"")</f>
        <v>FRUITS</v>
      </c>
    </row>
    <row r="244" spans="1:8" x14ac:dyDescent="0.2">
      <c r="A244" s="33" t="s">
        <v>623</v>
      </c>
      <c r="B244" s="33" t="s">
        <v>115</v>
      </c>
      <c r="C244" s="59" t="s">
        <v>487</v>
      </c>
      <c r="D244" s="55" cm="1">
        <f t="array" ref="D24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41</v>
      </c>
      <c r="E244" s="55" t="str" cm="1">
        <f t="array" ref="E24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244" s="43">
        <v>1</v>
      </c>
      <c r="H244" s="11" t="str">
        <f>IFERROR(VLOOKUP(tbl_product_scores[[#This Row],[product_key]],tbl_products[[product_key]:[group_display_key]],2,FALSE),"")</f>
        <v>FRUITS</v>
      </c>
    </row>
    <row r="245" spans="1:8" x14ac:dyDescent="0.2">
      <c r="A245" s="33" t="s">
        <v>340</v>
      </c>
      <c r="B245" s="33" t="s">
        <v>115</v>
      </c>
      <c r="C245" s="60" t="s">
        <v>485</v>
      </c>
      <c r="D245" s="55" cm="1">
        <f t="array" ref="D24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22</v>
      </c>
      <c r="E245" s="55" t="str" cm="1">
        <f t="array" ref="E24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E</v>
      </c>
      <c r="F245" s="43">
        <v>1</v>
      </c>
      <c r="H245" s="11" t="str">
        <f>IFERROR(VLOOKUP(tbl_product_scores[[#This Row],[product_key]],tbl_products[[product_key]:[group_display_key]],2,FALSE),"")</f>
        <v>BEVERAGES</v>
      </c>
    </row>
    <row r="246" spans="1:8" x14ac:dyDescent="0.2">
      <c r="A246" s="33" t="s">
        <v>340</v>
      </c>
      <c r="B246" s="33" t="s">
        <v>115</v>
      </c>
      <c r="C246" s="59" t="s">
        <v>486</v>
      </c>
      <c r="D246" s="55" cm="1">
        <f t="array" ref="D24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39</v>
      </c>
      <c r="E246" s="55" t="str" cm="1">
        <f t="array" ref="E24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246" s="43">
        <v>1</v>
      </c>
      <c r="H246" s="11" t="str">
        <f>IFERROR(VLOOKUP(tbl_product_scores[[#This Row],[product_key]],tbl_products[[product_key]:[group_display_key]],2,FALSE),"")</f>
        <v>BEVERAGES</v>
      </c>
    </row>
    <row r="247" spans="1:8" x14ac:dyDescent="0.2">
      <c r="A247" s="33" t="s">
        <v>340</v>
      </c>
      <c r="B247" s="33" t="s">
        <v>115</v>
      </c>
      <c r="C247" s="60" t="s">
        <v>487</v>
      </c>
      <c r="D247" s="55" cm="1">
        <f t="array" ref="D24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50</v>
      </c>
      <c r="E247" s="55" t="str" cm="1">
        <f t="array" ref="E24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47" s="43">
        <v>1</v>
      </c>
      <c r="H247" s="11" t="str">
        <f>IFERROR(VLOOKUP(tbl_product_scores[[#This Row],[product_key]],tbl_products[[product_key]:[group_display_key]],2,FALSE),"")</f>
        <v>BEVERAGES</v>
      </c>
    </row>
    <row r="248" spans="1:8" x14ac:dyDescent="0.2">
      <c r="A248" s="33" t="s">
        <v>434</v>
      </c>
      <c r="B248" s="33" t="s">
        <v>115</v>
      </c>
      <c r="C248" s="57" t="s">
        <v>485</v>
      </c>
      <c r="D248" s="55" cm="1">
        <f t="array" ref="D24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45</v>
      </c>
      <c r="E248" s="55" t="str" cm="1">
        <f t="array" ref="E24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248" s="43">
        <v>1</v>
      </c>
      <c r="H248" s="11" t="str">
        <f>IFERROR(VLOOKUP(tbl_product_scores[[#This Row],[product_key]],tbl_products[[product_key]:[group_display_key]],2,FALSE),"")</f>
        <v>NUTS_SEEDS</v>
      </c>
    </row>
    <row r="249" spans="1:8" x14ac:dyDescent="0.2">
      <c r="A249" s="33" t="s">
        <v>434</v>
      </c>
      <c r="B249" s="33" t="s">
        <v>115</v>
      </c>
      <c r="C249" s="58" t="s">
        <v>486</v>
      </c>
      <c r="D249" s="55" cm="1">
        <f t="array" ref="D24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42</v>
      </c>
      <c r="E249" s="55" t="str" cm="1">
        <f t="array" ref="E24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249" s="43">
        <v>1</v>
      </c>
      <c r="H249" s="11" t="str">
        <f>IFERROR(VLOOKUP(tbl_product_scores[[#This Row],[product_key]],tbl_products[[product_key]:[group_display_key]],2,FALSE),"")</f>
        <v>NUTS_SEEDS</v>
      </c>
    </row>
    <row r="250" spans="1:8" x14ac:dyDescent="0.2">
      <c r="A250" s="33" t="s">
        <v>434</v>
      </c>
      <c r="B250" s="33" t="s">
        <v>115</v>
      </c>
      <c r="C250" s="59" t="s">
        <v>487</v>
      </c>
      <c r="D250" s="55" cm="1">
        <f t="array" ref="D25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78</v>
      </c>
      <c r="E250" s="55" t="str" cm="1">
        <f t="array" ref="E25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250" s="43">
        <v>1</v>
      </c>
      <c r="H250" s="11" t="str">
        <f>IFERROR(VLOOKUP(tbl_product_scores[[#This Row],[product_key]],tbl_products[[product_key]:[group_display_key]],2,FALSE),"")</f>
        <v>NUTS_SEEDS</v>
      </c>
    </row>
    <row r="251" spans="1:8" x14ac:dyDescent="0.2">
      <c r="A251" s="33" t="s">
        <v>925</v>
      </c>
      <c r="B251" s="33" t="s">
        <v>115</v>
      </c>
      <c r="C251" s="60" t="s">
        <v>485</v>
      </c>
      <c r="D251" s="55" cm="1">
        <f t="array" ref="D25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55</v>
      </c>
      <c r="E251" s="55" t="str" cm="1">
        <f t="array" ref="E25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51" s="43">
        <v>1</v>
      </c>
      <c r="H251" s="11" t="str">
        <f>IFERROR(VLOOKUP(tbl_product_scores[[#This Row],[product_key]],tbl_products[[product_key]:[group_display_key]],2,FALSE),"")</f>
        <v>FRUITS</v>
      </c>
    </row>
    <row r="252" spans="1:8" x14ac:dyDescent="0.2">
      <c r="A252" s="33" t="s">
        <v>925</v>
      </c>
      <c r="B252" s="33" t="s">
        <v>115</v>
      </c>
      <c r="C252" s="59" t="s">
        <v>486</v>
      </c>
      <c r="D252" s="55" cm="1">
        <f t="array" ref="D25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51</v>
      </c>
      <c r="E252" s="55" t="str" cm="1">
        <f t="array" ref="E25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52" s="43">
        <v>1</v>
      </c>
      <c r="H252" s="11" t="str">
        <f>IFERROR(VLOOKUP(tbl_product_scores[[#This Row],[product_key]],tbl_products[[product_key]:[group_display_key]],2,FALSE),"")</f>
        <v>FRUITS</v>
      </c>
    </row>
    <row r="253" spans="1:8" x14ac:dyDescent="0.2">
      <c r="A253" s="33" t="s">
        <v>925</v>
      </c>
      <c r="B253" s="33" t="s">
        <v>115</v>
      </c>
      <c r="C253" s="60" t="s">
        <v>487</v>
      </c>
      <c r="D253" s="55" cm="1">
        <f t="array" ref="D25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35</v>
      </c>
      <c r="E253" s="55" t="str" cm="1">
        <f t="array" ref="E25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253" s="43">
        <v>1</v>
      </c>
      <c r="H253" s="11" t="str">
        <f>IFERROR(VLOOKUP(tbl_product_scores[[#This Row],[product_key]],tbl_products[[product_key]:[group_display_key]],2,FALSE),"")</f>
        <v>FRUITS</v>
      </c>
    </row>
    <row r="254" spans="1:8" x14ac:dyDescent="0.2">
      <c r="A254" s="33" t="s">
        <v>930</v>
      </c>
      <c r="B254" s="33" t="s">
        <v>115</v>
      </c>
      <c r="C254" s="57" t="s">
        <v>485</v>
      </c>
      <c r="D254" s="55" cm="1">
        <f t="array" ref="D25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75</v>
      </c>
      <c r="E254" s="55" t="str" cm="1">
        <f t="array" ref="E25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254" s="43">
        <v>1</v>
      </c>
      <c r="H254" s="11" t="str">
        <f>IFERROR(VLOOKUP(tbl_product_scores[[#This Row],[product_key]],tbl_products[[product_key]:[group_display_key]],2,FALSE),"")</f>
        <v>FRUITS</v>
      </c>
    </row>
    <row r="255" spans="1:8" x14ac:dyDescent="0.2">
      <c r="A255" s="33" t="s">
        <v>930</v>
      </c>
      <c r="B255" s="33" t="s">
        <v>115</v>
      </c>
      <c r="C255" s="58" t="s">
        <v>486</v>
      </c>
      <c r="D255" s="55" cm="1">
        <f t="array" ref="D25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71</v>
      </c>
      <c r="E255" s="55" t="str" cm="1">
        <f t="array" ref="E25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255" s="43">
        <v>1</v>
      </c>
      <c r="H255" s="11" t="str">
        <f>IFERROR(VLOOKUP(tbl_product_scores[[#This Row],[product_key]],tbl_products[[product_key]:[group_display_key]],2,FALSE),"")</f>
        <v>FRUITS</v>
      </c>
    </row>
    <row r="256" spans="1:8" x14ac:dyDescent="0.2">
      <c r="A256" s="33" t="s">
        <v>930</v>
      </c>
      <c r="B256" s="33" t="s">
        <v>115</v>
      </c>
      <c r="C256" s="59" t="s">
        <v>487</v>
      </c>
      <c r="D256" s="55" cm="1">
        <f t="array" ref="D25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57</v>
      </c>
      <c r="E256" s="55" t="str" cm="1">
        <f t="array" ref="E25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56" s="43">
        <v>1</v>
      </c>
      <c r="H256" s="11" t="str">
        <f>IFERROR(VLOOKUP(tbl_product_scores[[#This Row],[product_key]],tbl_products[[product_key]:[group_display_key]],2,FALSE),"")</f>
        <v>FRUITS</v>
      </c>
    </row>
    <row r="257" spans="1:8" x14ac:dyDescent="0.2">
      <c r="A257" s="33" t="s">
        <v>828</v>
      </c>
      <c r="B257" s="33" t="s">
        <v>579</v>
      </c>
      <c r="C257" s="60" t="s">
        <v>485</v>
      </c>
      <c r="D257" s="55" cm="1">
        <f t="array" ref="D25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60</v>
      </c>
      <c r="E257" s="55" t="str" cm="1">
        <f t="array" ref="E25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57" s="43">
        <v>1</v>
      </c>
      <c r="H257" s="11" t="str">
        <f>IFERROR(VLOOKUP(tbl_product_scores[[#This Row],[product_key]],tbl_products[[product_key]:[group_display_key]],2,FALSE),"")</f>
        <v>FRUITS</v>
      </c>
    </row>
    <row r="258" spans="1:8" x14ac:dyDescent="0.2">
      <c r="A258" s="33" t="s">
        <v>828</v>
      </c>
      <c r="B258" s="33" t="s">
        <v>579</v>
      </c>
      <c r="C258" s="59" t="s">
        <v>486</v>
      </c>
      <c r="D258" s="55" cm="1">
        <f t="array" ref="D25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56</v>
      </c>
      <c r="E258" s="55" t="str" cm="1">
        <f t="array" ref="E25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58" s="43">
        <v>1</v>
      </c>
      <c r="H258" s="11" t="str">
        <f>IFERROR(VLOOKUP(tbl_product_scores[[#This Row],[product_key]],tbl_products[[product_key]:[group_display_key]],2,FALSE),"")</f>
        <v>FRUITS</v>
      </c>
    </row>
    <row r="259" spans="1:8" x14ac:dyDescent="0.2">
      <c r="A259" s="33" t="s">
        <v>828</v>
      </c>
      <c r="B259" s="33" t="s">
        <v>579</v>
      </c>
      <c r="C259" s="60" t="s">
        <v>487</v>
      </c>
      <c r="D259" s="55" cm="1">
        <f t="array" ref="D25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40</v>
      </c>
      <c r="E259" s="55" t="str" cm="1">
        <f t="array" ref="E25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259" s="43">
        <v>1</v>
      </c>
      <c r="H259" s="11" t="str">
        <f>IFERROR(VLOOKUP(tbl_product_scores[[#This Row],[product_key]],tbl_products[[product_key]:[group_display_key]],2,FALSE),"")</f>
        <v>FRUITS</v>
      </c>
    </row>
    <row r="260" spans="1:8" x14ac:dyDescent="0.2">
      <c r="A260" s="33" t="s">
        <v>828</v>
      </c>
      <c r="B260" s="33" t="s">
        <v>581</v>
      </c>
      <c r="C260" s="57" t="s">
        <v>485</v>
      </c>
      <c r="D260" s="55" cm="1">
        <f t="array" ref="D26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58</v>
      </c>
      <c r="E260" s="55" t="str" cm="1">
        <f t="array" ref="E26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60" s="43">
        <v>1</v>
      </c>
      <c r="H260" s="11" t="str">
        <f>IFERROR(VLOOKUP(tbl_product_scores[[#This Row],[product_key]],tbl_products[[product_key]:[group_display_key]],2,FALSE),"")</f>
        <v>FRUITS</v>
      </c>
    </row>
    <row r="261" spans="1:8" x14ac:dyDescent="0.2">
      <c r="A261" s="33" t="s">
        <v>828</v>
      </c>
      <c r="B261" s="33" t="s">
        <v>581</v>
      </c>
      <c r="C261" s="58" t="s">
        <v>486</v>
      </c>
      <c r="D261" s="55" cm="1">
        <f t="array" ref="D26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54</v>
      </c>
      <c r="E261" s="55" t="str" cm="1">
        <f t="array" ref="E26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61" s="43">
        <v>1</v>
      </c>
      <c r="H261" s="11" t="str">
        <f>IFERROR(VLOOKUP(tbl_product_scores[[#This Row],[product_key]],tbl_products[[product_key]:[group_display_key]],2,FALSE),"")</f>
        <v>FRUITS</v>
      </c>
    </row>
    <row r="262" spans="1:8" x14ac:dyDescent="0.2">
      <c r="A262" s="33" t="s">
        <v>828</v>
      </c>
      <c r="B262" s="33" t="s">
        <v>581</v>
      </c>
      <c r="C262" s="59" t="s">
        <v>487</v>
      </c>
      <c r="D262" s="55" cm="1">
        <f t="array" ref="D26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40</v>
      </c>
      <c r="E262" s="55" t="str" cm="1">
        <f t="array" ref="E26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262" s="43">
        <v>1</v>
      </c>
      <c r="H262" s="11" t="str">
        <f>IFERROR(VLOOKUP(tbl_product_scores[[#This Row],[product_key]],tbl_products[[product_key]:[group_display_key]],2,FALSE),"")</f>
        <v>FRUITS</v>
      </c>
    </row>
    <row r="263" spans="1:8" x14ac:dyDescent="0.2">
      <c r="A263" s="33" t="s">
        <v>573</v>
      </c>
      <c r="B263" s="33" t="s">
        <v>579</v>
      </c>
      <c r="C263" s="60" t="s">
        <v>485</v>
      </c>
      <c r="D263" s="55" cm="1">
        <f t="array" ref="D26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69</v>
      </c>
      <c r="E263" s="55" t="str" cm="1">
        <f t="array" ref="E26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263" s="43">
        <v>1</v>
      </c>
      <c r="H263" s="11" t="str">
        <f>IFERROR(VLOOKUP(tbl_product_scores[[#This Row],[product_key]],tbl_products[[product_key]:[group_display_key]],2,FALSE),"")</f>
        <v>FRUITS</v>
      </c>
    </row>
    <row r="264" spans="1:8" x14ac:dyDescent="0.2">
      <c r="A264" s="33" t="s">
        <v>573</v>
      </c>
      <c r="B264" s="33" t="s">
        <v>579</v>
      </c>
      <c r="C264" s="59" t="s">
        <v>486</v>
      </c>
      <c r="D264" s="55" cm="1">
        <f t="array" ref="D26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63</v>
      </c>
      <c r="E264" s="55" t="str" cm="1">
        <f t="array" ref="E26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64" s="43">
        <v>1</v>
      </c>
      <c r="H264" s="11" t="str">
        <f>IFERROR(VLOOKUP(tbl_product_scores[[#This Row],[product_key]],tbl_products[[product_key]:[group_display_key]],2,FALSE),"")</f>
        <v>FRUITS</v>
      </c>
    </row>
    <row r="265" spans="1:8" x14ac:dyDescent="0.2">
      <c r="A265" s="33" t="s">
        <v>573</v>
      </c>
      <c r="B265" s="33" t="s">
        <v>579</v>
      </c>
      <c r="C265" s="60" t="s">
        <v>487</v>
      </c>
      <c r="D265" s="55" cm="1">
        <f t="array" ref="D26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48</v>
      </c>
      <c r="E265" s="55" t="str" cm="1">
        <f t="array" ref="E26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265" s="43">
        <v>1</v>
      </c>
      <c r="H265" s="11" t="str">
        <f>IFERROR(VLOOKUP(tbl_product_scores[[#This Row],[product_key]],tbl_products[[product_key]:[group_display_key]],2,FALSE),"")</f>
        <v>FRUITS</v>
      </c>
    </row>
    <row r="266" spans="1:8" x14ac:dyDescent="0.2">
      <c r="A266" s="33" t="s">
        <v>573</v>
      </c>
      <c r="B266" s="33" t="s">
        <v>581</v>
      </c>
      <c r="C266" s="57" t="s">
        <v>485</v>
      </c>
      <c r="D266" s="55" cm="1">
        <f t="array" ref="D26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67</v>
      </c>
      <c r="E266" s="55" t="str" cm="1">
        <f t="array" ref="E26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266" s="43">
        <v>1</v>
      </c>
      <c r="H266" s="11" t="str">
        <f>IFERROR(VLOOKUP(tbl_product_scores[[#This Row],[product_key]],tbl_products[[product_key]:[group_display_key]],2,FALSE),"")</f>
        <v>FRUITS</v>
      </c>
    </row>
    <row r="267" spans="1:8" x14ac:dyDescent="0.2">
      <c r="A267" s="33" t="s">
        <v>573</v>
      </c>
      <c r="B267" s="33" t="s">
        <v>581</v>
      </c>
      <c r="C267" s="58" t="s">
        <v>486</v>
      </c>
      <c r="D267" s="55" cm="1">
        <f t="array" ref="D26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61</v>
      </c>
      <c r="E267" s="55" t="str" cm="1">
        <f t="array" ref="E26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67" s="43">
        <v>1</v>
      </c>
      <c r="H267" s="11" t="str">
        <f>IFERROR(VLOOKUP(tbl_product_scores[[#This Row],[product_key]],tbl_products[[product_key]:[group_display_key]],2,FALSE),"")</f>
        <v>FRUITS</v>
      </c>
    </row>
    <row r="268" spans="1:8" x14ac:dyDescent="0.2">
      <c r="A268" s="33" t="s">
        <v>573</v>
      </c>
      <c r="B268" s="33" t="s">
        <v>581</v>
      </c>
      <c r="C268" s="59" t="s">
        <v>487</v>
      </c>
      <c r="D268" s="55" cm="1">
        <f t="array" ref="D26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46</v>
      </c>
      <c r="E268" s="55" t="str" cm="1">
        <f t="array" ref="E26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268" s="43">
        <v>1</v>
      </c>
      <c r="H268" s="11" t="str">
        <f>IFERROR(VLOOKUP(tbl_product_scores[[#This Row],[product_key]],tbl_products[[product_key]:[group_display_key]],2,FALSE),"")</f>
        <v>FRUITS</v>
      </c>
    </row>
    <row r="269" spans="1:8" x14ac:dyDescent="0.2">
      <c r="A269" s="33" t="s">
        <v>756</v>
      </c>
      <c r="B269" s="33" t="s">
        <v>115</v>
      </c>
      <c r="C269" s="60" t="s">
        <v>485</v>
      </c>
      <c r="D269" s="55" cm="1">
        <f t="array" ref="D26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59</v>
      </c>
      <c r="E269" s="55" t="str" cm="1">
        <f t="array" ref="E26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69" s="43">
        <v>1</v>
      </c>
      <c r="H269" s="11" t="str">
        <f>IFERROR(VLOOKUP(tbl_product_scores[[#This Row],[product_key]],tbl_products[[product_key]:[group_display_key]],2,FALSE),"")</f>
        <v>FRUITS</v>
      </c>
    </row>
    <row r="270" spans="1:8" x14ac:dyDescent="0.2">
      <c r="A270" s="33" t="s">
        <v>756</v>
      </c>
      <c r="B270" s="33" t="s">
        <v>115</v>
      </c>
      <c r="C270" s="59" t="s">
        <v>486</v>
      </c>
      <c r="D270" s="55" cm="1">
        <f t="array" ref="D27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53</v>
      </c>
      <c r="E270" s="55" t="str" cm="1">
        <f t="array" ref="E27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70" s="43">
        <v>1</v>
      </c>
      <c r="H270" s="11" t="str">
        <f>IFERROR(VLOOKUP(tbl_product_scores[[#This Row],[product_key]],tbl_products[[product_key]:[group_display_key]],2,FALSE),"")</f>
        <v>FRUITS</v>
      </c>
    </row>
    <row r="271" spans="1:8" x14ac:dyDescent="0.2">
      <c r="A271" s="33" t="s">
        <v>756</v>
      </c>
      <c r="B271" s="33" t="s">
        <v>115</v>
      </c>
      <c r="C271" s="60" t="s">
        <v>487</v>
      </c>
      <c r="D271" s="55" cm="1">
        <f t="array" ref="D27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39</v>
      </c>
      <c r="E271" s="55" t="str" cm="1">
        <f t="array" ref="E27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271" s="43">
        <v>1</v>
      </c>
      <c r="H271" s="11" t="str">
        <f>IFERROR(VLOOKUP(tbl_product_scores[[#This Row],[product_key]],tbl_products[[product_key]:[group_display_key]],2,FALSE),"")</f>
        <v>FRUITS</v>
      </c>
    </row>
    <row r="272" spans="1:8" x14ac:dyDescent="0.2">
      <c r="A272" s="33" t="s">
        <v>841</v>
      </c>
      <c r="B272" s="33" t="s">
        <v>115</v>
      </c>
      <c r="C272" s="57" t="s">
        <v>485</v>
      </c>
      <c r="D272" s="55" cm="1">
        <f t="array" ref="D27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59</v>
      </c>
      <c r="E272" s="55" t="str" cm="1">
        <f t="array" ref="E27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72" s="43">
        <v>1</v>
      </c>
      <c r="H272" s="11" t="str">
        <f>IFERROR(VLOOKUP(tbl_product_scores[[#This Row],[product_key]],tbl_products[[product_key]:[group_display_key]],2,FALSE),"")</f>
        <v>FRUITS</v>
      </c>
    </row>
    <row r="273" spans="1:8" x14ac:dyDescent="0.2">
      <c r="A273" s="33" t="s">
        <v>841</v>
      </c>
      <c r="B273" s="33" t="s">
        <v>115</v>
      </c>
      <c r="C273" s="58" t="s">
        <v>486</v>
      </c>
      <c r="D273" s="55" cm="1">
        <f t="array" ref="D27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54</v>
      </c>
      <c r="E273" s="55" t="str" cm="1">
        <f t="array" ref="E27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73" s="43">
        <v>1</v>
      </c>
      <c r="H273" s="11" t="str">
        <f>IFERROR(VLOOKUP(tbl_product_scores[[#This Row],[product_key]],tbl_products[[product_key]:[group_display_key]],2,FALSE),"")</f>
        <v>FRUITS</v>
      </c>
    </row>
    <row r="274" spans="1:8" x14ac:dyDescent="0.2">
      <c r="A274" s="33" t="s">
        <v>841</v>
      </c>
      <c r="B274" s="33" t="s">
        <v>115</v>
      </c>
      <c r="C274" s="59" t="s">
        <v>487</v>
      </c>
      <c r="D274" s="55" cm="1">
        <f t="array" ref="D27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39</v>
      </c>
      <c r="E274" s="55" t="str" cm="1">
        <f t="array" ref="E27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274" s="43">
        <v>1</v>
      </c>
      <c r="H274" s="11" t="str">
        <f>IFERROR(VLOOKUP(tbl_product_scores[[#This Row],[product_key]],tbl_products[[product_key]:[group_display_key]],2,FALSE),"")</f>
        <v>FRUITS</v>
      </c>
    </row>
    <row r="275" spans="1:8" x14ac:dyDescent="0.2">
      <c r="A275" s="33" t="s">
        <v>937</v>
      </c>
      <c r="B275" s="33" t="s">
        <v>115</v>
      </c>
      <c r="C275" s="60" t="s">
        <v>485</v>
      </c>
      <c r="D275" s="55" cm="1">
        <f t="array" ref="D27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68</v>
      </c>
      <c r="E275" s="55" t="str" cm="1">
        <f t="array" ref="E27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275" s="43">
        <v>1</v>
      </c>
      <c r="H275" s="11" t="str">
        <f>IFERROR(VLOOKUP(tbl_product_scores[[#This Row],[product_key]],tbl_products[[product_key]:[group_display_key]],2,FALSE),"")</f>
        <v>FRUITS</v>
      </c>
    </row>
    <row r="276" spans="1:8" x14ac:dyDescent="0.2">
      <c r="A276" s="31" t="s">
        <v>937</v>
      </c>
      <c r="B276" s="33" t="s">
        <v>115</v>
      </c>
      <c r="C276" s="59" t="s">
        <v>486</v>
      </c>
      <c r="D276" s="55" cm="1">
        <f t="array" ref="D27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68</v>
      </c>
      <c r="E276" s="55" t="str" cm="1">
        <f t="array" ref="E27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276" s="43">
        <v>1</v>
      </c>
      <c r="H276" s="11" t="str">
        <f>IFERROR(VLOOKUP(tbl_product_scores[[#This Row],[product_key]],tbl_products[[product_key]:[group_display_key]],2,FALSE),"")</f>
        <v>FRUITS</v>
      </c>
    </row>
    <row r="277" spans="1:8" x14ac:dyDescent="0.2">
      <c r="A277" s="33" t="s">
        <v>937</v>
      </c>
      <c r="B277" s="33" t="s">
        <v>115</v>
      </c>
      <c r="C277" s="60" t="s">
        <v>487</v>
      </c>
      <c r="D277" s="55" cm="1">
        <f t="array" ref="D27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67</v>
      </c>
      <c r="E277" s="55" t="str" cm="1">
        <f t="array" ref="E27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277" s="43">
        <v>1</v>
      </c>
      <c r="H277" s="11" t="str">
        <f>IFERROR(VLOOKUP(tbl_product_scores[[#This Row],[product_key]],tbl_products[[product_key]:[group_display_key]],2,FALSE),"")</f>
        <v>FRUITS</v>
      </c>
    </row>
    <row r="278" spans="1:8" x14ac:dyDescent="0.2">
      <c r="A278" s="33" t="s">
        <v>701</v>
      </c>
      <c r="B278" s="33" t="s">
        <v>115</v>
      </c>
      <c r="C278" s="57" t="s">
        <v>485</v>
      </c>
      <c r="D278" s="55" cm="1">
        <f t="array" ref="D27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63</v>
      </c>
      <c r="E278" s="55" t="str" cm="1">
        <f t="array" ref="E27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78" s="43">
        <v>1</v>
      </c>
      <c r="H278" s="11" t="str">
        <f>IFERROR(VLOOKUP(tbl_product_scores[[#This Row],[product_key]],tbl_products[[product_key]:[group_display_key]],2,FALSE),"")</f>
        <v>FRUITS</v>
      </c>
    </row>
    <row r="279" spans="1:8" x14ac:dyDescent="0.2">
      <c r="A279" s="33" t="s">
        <v>701</v>
      </c>
      <c r="B279" s="33" t="s">
        <v>115</v>
      </c>
      <c r="C279" s="58" t="s">
        <v>486</v>
      </c>
      <c r="D279" s="55" cm="1">
        <f t="array" ref="D27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61</v>
      </c>
      <c r="E279" s="55" t="str" cm="1">
        <f t="array" ref="E27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79" s="43">
        <v>1</v>
      </c>
      <c r="H279" s="11" t="str">
        <f>IFERROR(VLOOKUP(tbl_product_scores[[#This Row],[product_key]],tbl_products[[product_key]:[group_display_key]],2,FALSE),"")</f>
        <v>FRUITS</v>
      </c>
    </row>
    <row r="280" spans="1:8" x14ac:dyDescent="0.2">
      <c r="A280" s="33" t="s">
        <v>701</v>
      </c>
      <c r="B280" s="33" t="s">
        <v>115</v>
      </c>
      <c r="C280" s="59" t="s">
        <v>487</v>
      </c>
      <c r="D280" s="55" cm="1">
        <f t="array" ref="D28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46</v>
      </c>
      <c r="E280" s="55" t="str" cm="1">
        <f t="array" ref="E28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280" s="43">
        <v>1</v>
      </c>
      <c r="H280" s="11" t="str">
        <f>IFERROR(VLOOKUP(tbl_product_scores[[#This Row],[product_key]],tbl_products[[product_key]:[group_display_key]],2,FALSE),"")</f>
        <v>FRUITS</v>
      </c>
    </row>
    <row r="281" spans="1:8" x14ac:dyDescent="0.2">
      <c r="A281" s="33" t="s">
        <v>467</v>
      </c>
      <c r="B281" s="33" t="s">
        <v>115</v>
      </c>
      <c r="C281" s="60" t="s">
        <v>485</v>
      </c>
      <c r="D281" s="55" cm="1">
        <f t="array" ref="D28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41</v>
      </c>
      <c r="E281" s="55" t="str" cm="1">
        <f t="array" ref="E28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281" s="43">
        <v>1</v>
      </c>
      <c r="H281" s="11" t="str">
        <f>IFERROR(VLOOKUP(tbl_product_scores[[#This Row],[product_key]],tbl_products[[product_key]:[group_display_key]],2,FALSE),"")</f>
        <v>READY_MEALS</v>
      </c>
    </row>
    <row r="282" spans="1:8" x14ac:dyDescent="0.2">
      <c r="A282" s="33" t="s">
        <v>467</v>
      </c>
      <c r="B282" s="33" t="s">
        <v>115</v>
      </c>
      <c r="C282" s="59" t="s">
        <v>486</v>
      </c>
      <c r="D282" s="55" cm="1">
        <f t="array" ref="D28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45</v>
      </c>
      <c r="E282" s="55" t="str" cm="1">
        <f t="array" ref="E28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282" s="43">
        <v>1</v>
      </c>
      <c r="H282" s="11" t="str">
        <f>IFERROR(VLOOKUP(tbl_product_scores[[#This Row],[product_key]],tbl_products[[product_key]:[group_display_key]],2,FALSE),"")</f>
        <v>READY_MEALS</v>
      </c>
    </row>
    <row r="283" spans="1:8" x14ac:dyDescent="0.2">
      <c r="A283" s="33" t="s">
        <v>467</v>
      </c>
      <c r="B283" s="33" t="s">
        <v>115</v>
      </c>
      <c r="C283" s="60" t="s">
        <v>487</v>
      </c>
      <c r="D283" s="55" cm="1">
        <f t="array" ref="D28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69</v>
      </c>
      <c r="E283" s="55" t="str" cm="1">
        <f t="array" ref="E28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283" s="43">
        <v>1</v>
      </c>
      <c r="H283" s="11" t="str">
        <f>IFERROR(VLOOKUP(tbl_product_scores[[#This Row],[product_key]],tbl_products[[product_key]:[group_display_key]],2,FALSE),"")</f>
        <v>READY_MEALS</v>
      </c>
    </row>
    <row r="284" spans="1:8" x14ac:dyDescent="0.2">
      <c r="A284" s="33" t="s">
        <v>687</v>
      </c>
      <c r="B284" s="33" t="s">
        <v>115</v>
      </c>
      <c r="C284" s="57" t="s">
        <v>485</v>
      </c>
      <c r="D284" s="55" cm="1">
        <f t="array" ref="D28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52</v>
      </c>
      <c r="E284" s="55" t="str" cm="1">
        <f t="array" ref="E28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84" s="43">
        <v>1</v>
      </c>
      <c r="H284" s="11" t="str">
        <f>IFERROR(VLOOKUP(tbl_product_scores[[#This Row],[product_key]],tbl_products[[product_key]:[group_display_key]],2,FALSE),"")</f>
        <v>FRUITS</v>
      </c>
    </row>
    <row r="285" spans="1:8" x14ac:dyDescent="0.2">
      <c r="A285" s="33" t="s">
        <v>687</v>
      </c>
      <c r="B285" s="33" t="s">
        <v>115</v>
      </c>
      <c r="C285" s="58" t="s">
        <v>486</v>
      </c>
      <c r="D285" s="55" cm="1">
        <f t="array" ref="D28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50</v>
      </c>
      <c r="E285" s="55" t="str" cm="1">
        <f t="array" ref="E28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85" s="43">
        <v>1</v>
      </c>
      <c r="H285" s="11" t="str">
        <f>IFERROR(VLOOKUP(tbl_product_scores[[#This Row],[product_key]],tbl_products[[product_key]:[group_display_key]],2,FALSE),"")</f>
        <v>FRUITS</v>
      </c>
    </row>
    <row r="286" spans="1:8" x14ac:dyDescent="0.2">
      <c r="A286" s="33" t="s">
        <v>687</v>
      </c>
      <c r="B286" s="33" t="s">
        <v>115</v>
      </c>
      <c r="C286" s="59" t="s">
        <v>487</v>
      </c>
      <c r="D286" s="55" cm="1">
        <f t="array" ref="D28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36</v>
      </c>
      <c r="E286" s="55" t="str" cm="1">
        <f t="array" ref="E28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286" s="43">
        <v>1</v>
      </c>
      <c r="H286" s="11" t="str">
        <f>IFERROR(VLOOKUP(tbl_product_scores[[#This Row],[product_key]],tbl_products[[product_key]:[group_display_key]],2,FALSE),"")</f>
        <v>FRUITS</v>
      </c>
    </row>
    <row r="287" spans="1:8" x14ac:dyDescent="0.2">
      <c r="A287" s="33" t="s">
        <v>117</v>
      </c>
      <c r="B287" s="33" t="s">
        <v>115</v>
      </c>
      <c r="C287" s="60" t="s">
        <v>485</v>
      </c>
      <c r="D287" s="55" cm="1">
        <f t="array" ref="D28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64</v>
      </c>
      <c r="E287" s="55" t="str" cm="1">
        <f t="array" ref="E28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87" s="43">
        <v>1</v>
      </c>
      <c r="H287" s="11" t="str">
        <f>IFERROR(VLOOKUP(tbl_product_scores[[#This Row],[product_key]],tbl_products[[product_key]:[group_display_key]],2,FALSE),"")</f>
        <v>BEVERAGES</v>
      </c>
    </row>
    <row r="288" spans="1:8" x14ac:dyDescent="0.2">
      <c r="A288" s="33" t="s">
        <v>117</v>
      </c>
      <c r="B288" s="33" t="s">
        <v>115</v>
      </c>
      <c r="C288" s="59" t="s">
        <v>486</v>
      </c>
      <c r="D288" s="55" cm="1">
        <f t="array" ref="D28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64</v>
      </c>
      <c r="E288" s="55" t="str" cm="1">
        <f t="array" ref="E28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88" s="43">
        <v>1</v>
      </c>
      <c r="H288" s="11" t="str">
        <f>IFERROR(VLOOKUP(tbl_product_scores[[#This Row],[product_key]],tbl_products[[product_key]:[group_display_key]],2,FALSE),"")</f>
        <v>BEVERAGES</v>
      </c>
    </row>
    <row r="289" spans="1:8" x14ac:dyDescent="0.2">
      <c r="A289" s="33" t="s">
        <v>117</v>
      </c>
      <c r="B289" s="33" t="s">
        <v>115</v>
      </c>
      <c r="C289" s="60" t="s">
        <v>487</v>
      </c>
      <c r="D289" s="55" cm="1">
        <f t="array" ref="D28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54</v>
      </c>
      <c r="E289" s="55" t="str" cm="1">
        <f t="array" ref="E28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89" s="43">
        <v>1</v>
      </c>
      <c r="H289" s="11" t="str">
        <f>IFERROR(VLOOKUP(tbl_product_scores[[#This Row],[product_key]],tbl_products[[product_key]:[group_display_key]],2,FALSE),"")</f>
        <v>BEVERAGES</v>
      </c>
    </row>
    <row r="290" spans="1:8" x14ac:dyDescent="0.2">
      <c r="A290" s="33" t="s">
        <v>117</v>
      </c>
      <c r="B290" s="33" t="s">
        <v>211</v>
      </c>
      <c r="C290" s="57" t="s">
        <v>485</v>
      </c>
      <c r="D290" s="55" cm="1">
        <f t="array" ref="D29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57</v>
      </c>
      <c r="E290" s="55" t="str" cm="1">
        <f t="array" ref="E29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90" s="43">
        <v>1</v>
      </c>
      <c r="H290" s="11" t="str">
        <f>IFERROR(VLOOKUP(tbl_product_scores[[#This Row],[product_key]],tbl_products[[product_key]:[group_display_key]],2,FALSE),"")</f>
        <v>BEVERAGES</v>
      </c>
    </row>
    <row r="291" spans="1:8" x14ac:dyDescent="0.2">
      <c r="A291" s="33" t="s">
        <v>117</v>
      </c>
      <c r="B291" s="33" t="s">
        <v>211</v>
      </c>
      <c r="C291" s="58" t="s">
        <v>486</v>
      </c>
      <c r="D291" s="55" cm="1">
        <f t="array" ref="D29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58</v>
      </c>
      <c r="E291" s="55" t="str" cm="1">
        <f t="array" ref="E29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91" s="43">
        <v>1</v>
      </c>
      <c r="H291" s="11" t="str">
        <f>IFERROR(VLOOKUP(tbl_product_scores[[#This Row],[product_key]],tbl_products[[product_key]:[group_display_key]],2,FALSE),"")</f>
        <v>BEVERAGES</v>
      </c>
    </row>
    <row r="292" spans="1:8" x14ac:dyDescent="0.2">
      <c r="A292" s="33" t="s">
        <v>117</v>
      </c>
      <c r="B292" s="33" t="s">
        <v>211</v>
      </c>
      <c r="C292" s="59" t="s">
        <v>487</v>
      </c>
      <c r="D292" s="55" cm="1">
        <f t="array" ref="D29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48</v>
      </c>
      <c r="E292" s="55" t="str" cm="1">
        <f t="array" ref="E29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292" s="43">
        <v>1</v>
      </c>
      <c r="H292" s="11" t="str">
        <f>IFERROR(VLOOKUP(tbl_product_scores[[#This Row],[product_key]],tbl_products[[product_key]:[group_display_key]],2,FALSE),"")</f>
        <v>BEVERAGES</v>
      </c>
    </row>
    <row r="293" spans="1:8" x14ac:dyDescent="0.2">
      <c r="A293" s="33" t="s">
        <v>117</v>
      </c>
      <c r="B293" s="33" t="s">
        <v>217</v>
      </c>
      <c r="C293" s="60" t="s">
        <v>485</v>
      </c>
      <c r="D293" s="55" cm="1">
        <f t="array" ref="D29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56</v>
      </c>
      <c r="E293" s="55" t="str" cm="1">
        <f t="array" ref="E29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93" s="43">
        <v>1</v>
      </c>
      <c r="H293" s="11" t="str">
        <f>IFERROR(VLOOKUP(tbl_product_scores[[#This Row],[product_key]],tbl_products[[product_key]:[group_display_key]],2,FALSE),"")</f>
        <v>BEVERAGES</v>
      </c>
    </row>
    <row r="294" spans="1:8" x14ac:dyDescent="0.2">
      <c r="A294" s="33" t="s">
        <v>117</v>
      </c>
      <c r="B294" s="33" t="s">
        <v>217</v>
      </c>
      <c r="C294" s="59" t="s">
        <v>486</v>
      </c>
      <c r="D294" s="55" cm="1">
        <f t="array" ref="D29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59</v>
      </c>
      <c r="E294" s="55" t="str" cm="1">
        <f t="array" ref="E29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94" s="43">
        <v>1</v>
      </c>
      <c r="H294" s="11" t="str">
        <f>IFERROR(VLOOKUP(tbl_product_scores[[#This Row],[product_key]],tbl_products[[product_key]:[group_display_key]],2,FALSE),"")</f>
        <v>BEVERAGES</v>
      </c>
    </row>
    <row r="295" spans="1:8" x14ac:dyDescent="0.2">
      <c r="A295" s="33" t="s">
        <v>117</v>
      </c>
      <c r="B295" s="33" t="s">
        <v>217</v>
      </c>
      <c r="C295" s="60" t="s">
        <v>487</v>
      </c>
      <c r="D295" s="55" cm="1">
        <f t="array" ref="D29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50</v>
      </c>
      <c r="E295" s="55" t="str" cm="1">
        <f t="array" ref="E29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95" s="43">
        <v>1</v>
      </c>
      <c r="H295" s="11" t="str">
        <f>IFERROR(VLOOKUP(tbl_product_scores[[#This Row],[product_key]],tbl_products[[product_key]:[group_display_key]],2,FALSE),"")</f>
        <v>BEVERAGES</v>
      </c>
    </row>
    <row r="296" spans="1:8" x14ac:dyDescent="0.2">
      <c r="A296" s="33" t="s">
        <v>117</v>
      </c>
      <c r="B296" s="33" t="s">
        <v>215</v>
      </c>
      <c r="C296" s="57" t="s">
        <v>485</v>
      </c>
      <c r="D296" s="55" cm="1">
        <f t="array" ref="D29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73</v>
      </c>
      <c r="E296" s="55" t="str" cm="1">
        <f t="array" ref="E29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296" s="43">
        <v>1</v>
      </c>
      <c r="H296" s="11" t="str">
        <f>IFERROR(VLOOKUP(tbl_product_scores[[#This Row],[product_key]],tbl_products[[product_key]:[group_display_key]],2,FALSE),"")</f>
        <v>BEVERAGES</v>
      </c>
    </row>
    <row r="297" spans="1:8" x14ac:dyDescent="0.2">
      <c r="A297" s="33" t="s">
        <v>117</v>
      </c>
      <c r="B297" s="33" t="s">
        <v>215</v>
      </c>
      <c r="C297" s="58" t="s">
        <v>486</v>
      </c>
      <c r="D297" s="55" cm="1">
        <f t="array" ref="D29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78</v>
      </c>
      <c r="E297" s="55" t="str" cm="1">
        <f t="array" ref="E29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297" s="43">
        <v>1</v>
      </c>
      <c r="H297" s="11" t="str">
        <f>IFERROR(VLOOKUP(tbl_product_scores[[#This Row],[product_key]],tbl_products[[product_key]:[group_display_key]],2,FALSE),"")</f>
        <v>BEVERAGES</v>
      </c>
    </row>
    <row r="298" spans="1:8" x14ac:dyDescent="0.2">
      <c r="A298" s="33" t="s">
        <v>117</v>
      </c>
      <c r="B298" s="33" t="s">
        <v>215</v>
      </c>
      <c r="C298" s="59" t="s">
        <v>487</v>
      </c>
      <c r="D298" s="55" cm="1">
        <f t="array" ref="D29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72</v>
      </c>
      <c r="E298" s="55" t="str" cm="1">
        <f t="array" ref="E29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298" s="43">
        <v>1</v>
      </c>
      <c r="H298" s="11" t="str">
        <f>IFERROR(VLOOKUP(tbl_product_scores[[#This Row],[product_key]],tbl_products[[product_key]:[group_display_key]],2,FALSE),"")</f>
        <v>BEVERAGES</v>
      </c>
    </row>
    <row r="299" spans="1:8" x14ac:dyDescent="0.2">
      <c r="A299" s="33" t="s">
        <v>117</v>
      </c>
      <c r="B299" s="33" t="s">
        <v>213</v>
      </c>
      <c r="C299" s="60" t="s">
        <v>485</v>
      </c>
      <c r="D299" s="55" cm="1">
        <f t="array" ref="D29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54</v>
      </c>
      <c r="E299" s="55" t="str" cm="1">
        <f t="array" ref="E29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299" s="43">
        <v>1</v>
      </c>
      <c r="H299" s="11" t="str">
        <f>IFERROR(VLOOKUP(tbl_product_scores[[#This Row],[product_key]],tbl_products[[product_key]:[group_display_key]],2,FALSE),"")</f>
        <v>BEVERAGES</v>
      </c>
    </row>
    <row r="300" spans="1:8" x14ac:dyDescent="0.2">
      <c r="A300" s="33" t="s">
        <v>117</v>
      </c>
      <c r="B300" s="33" t="s">
        <v>213</v>
      </c>
      <c r="C300" s="59" t="s">
        <v>486</v>
      </c>
      <c r="D300" s="55" cm="1">
        <f t="array" ref="D30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56</v>
      </c>
      <c r="E300" s="55" t="str" cm="1">
        <f t="array" ref="E30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300" s="43">
        <v>1</v>
      </c>
      <c r="H300" s="11" t="str">
        <f>IFERROR(VLOOKUP(tbl_product_scores[[#This Row],[product_key]],tbl_products[[product_key]:[group_display_key]],2,FALSE),"")</f>
        <v>BEVERAGES</v>
      </c>
    </row>
    <row r="301" spans="1:8" x14ac:dyDescent="0.2">
      <c r="A301" s="33" t="s">
        <v>117</v>
      </c>
      <c r="B301" s="33" t="s">
        <v>213</v>
      </c>
      <c r="C301" s="60" t="s">
        <v>487</v>
      </c>
      <c r="D301" s="55" cm="1">
        <f t="array" ref="D30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46</v>
      </c>
      <c r="E301" s="55" t="str" cm="1">
        <f t="array" ref="E30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D</v>
      </c>
      <c r="F301" s="43">
        <v>1</v>
      </c>
      <c r="H301" s="11" t="str">
        <f>IFERROR(VLOOKUP(tbl_product_scores[[#This Row],[product_key]],tbl_products[[product_key]:[group_display_key]],2,FALSE),"")</f>
        <v>BEVERAGES</v>
      </c>
    </row>
    <row r="302" spans="1:8" x14ac:dyDescent="0.2">
      <c r="A302" s="33" t="s">
        <v>7</v>
      </c>
      <c r="B302" s="33" t="s">
        <v>115</v>
      </c>
      <c r="C302" s="57" t="s">
        <v>485</v>
      </c>
      <c r="D302" s="55" cm="1">
        <f t="array" ref="D30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65</v>
      </c>
      <c r="E302" s="55" t="str" cm="1">
        <f t="array" ref="E30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302" s="43">
        <v>1</v>
      </c>
      <c r="H302" s="11" t="str">
        <f>IFERROR(VLOOKUP(tbl_product_scores[[#This Row],[product_key]],tbl_products[[product_key]:[group_display_key]],2,FALSE),"")</f>
        <v>BEVERAGES</v>
      </c>
    </row>
    <row r="303" spans="1:8" x14ac:dyDescent="0.2">
      <c r="A303" s="33" t="s">
        <v>7</v>
      </c>
      <c r="B303" s="33" t="s">
        <v>115</v>
      </c>
      <c r="C303" s="58" t="s">
        <v>486</v>
      </c>
      <c r="D303" s="55" cm="1">
        <f t="array" ref="D30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65</v>
      </c>
      <c r="E303" s="55" t="str" cm="1">
        <f t="array" ref="E30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B</v>
      </c>
      <c r="F303" s="43">
        <v>1</v>
      </c>
      <c r="H303" s="11" t="str">
        <f>IFERROR(VLOOKUP(tbl_product_scores[[#This Row],[product_key]],tbl_products[[product_key]:[group_display_key]],2,FALSE),"")</f>
        <v>BEVERAGES</v>
      </c>
    </row>
    <row r="304" spans="1:8" x14ac:dyDescent="0.2">
      <c r="A304" s="33" t="s">
        <v>7</v>
      </c>
      <c r="B304" s="33" t="s">
        <v>115</v>
      </c>
      <c r="C304" s="59" t="s">
        <v>487</v>
      </c>
      <c r="D304" s="55" cm="1">
        <f t="array" ref="D30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55</v>
      </c>
      <c r="E304" s="55" t="str" cm="1">
        <f t="array" ref="E30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C</v>
      </c>
      <c r="F304" s="43">
        <v>1</v>
      </c>
      <c r="H304" s="11" t="str">
        <f>IFERROR(VLOOKUP(tbl_product_scores[[#This Row],[product_key]],tbl_products[[product_key]:[group_display_key]],2,FALSE),"")</f>
        <v>BEVERAGES</v>
      </c>
    </row>
    <row r="305" spans="1:8" x14ac:dyDescent="0.2">
      <c r="A305" s="33" t="s">
        <v>346</v>
      </c>
      <c r="B305" s="33" t="s">
        <v>115</v>
      </c>
      <c r="C305" s="60" t="s">
        <v>485</v>
      </c>
      <c r="D305" s="55" cm="1">
        <f t="array" ref="D30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9</v>
      </c>
      <c r="E305" s="55" t="str" cm="1">
        <f t="array" ref="E30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E</v>
      </c>
      <c r="F305" s="43">
        <v>1</v>
      </c>
      <c r="H305" s="11" t="str">
        <f>IFERROR(VLOOKUP(tbl_product_scores[[#This Row],[product_key]],tbl_products[[product_key]:[group_display_key]],2,FALSE),"")</f>
        <v>BEVERAGES</v>
      </c>
    </row>
    <row r="306" spans="1:8" x14ac:dyDescent="0.2">
      <c r="A306" s="33" t="s">
        <v>346</v>
      </c>
      <c r="B306" s="33" t="s">
        <v>115</v>
      </c>
      <c r="C306" s="59" t="s">
        <v>486</v>
      </c>
      <c r="D306" s="55" cm="1">
        <f t="array" ref="D30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20</v>
      </c>
      <c r="E306" s="55" t="str" cm="1">
        <f t="array" ref="E30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E</v>
      </c>
      <c r="F306" s="43">
        <v>1</v>
      </c>
      <c r="H306" s="11" t="str">
        <f>IFERROR(VLOOKUP(tbl_product_scores[[#This Row],[product_key]],tbl_products[[product_key]:[group_display_key]],2,FALSE),"")</f>
        <v>BEVERAGES</v>
      </c>
    </row>
    <row r="307" spans="1:8" x14ac:dyDescent="0.2">
      <c r="A307" s="33" t="s">
        <v>346</v>
      </c>
      <c r="B307" s="33" t="s">
        <v>115</v>
      </c>
      <c r="C307" s="60" t="s">
        <v>487</v>
      </c>
      <c r="D307" s="55" cm="1">
        <f t="array" ref="D30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23</v>
      </c>
      <c r="E307" s="55" t="str" cm="1">
        <f t="array" ref="E307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E</v>
      </c>
      <c r="F307" s="43">
        <v>1</v>
      </c>
      <c r="H307" s="11" t="str">
        <f>IFERROR(VLOOKUP(tbl_product_scores[[#This Row],[product_key]],tbl_products[[product_key]:[group_display_key]],2,FALSE),"")</f>
        <v>BEVERAGES</v>
      </c>
    </row>
    <row r="308" spans="1:8" x14ac:dyDescent="0.2">
      <c r="A308" s="33" t="s">
        <v>354</v>
      </c>
      <c r="B308" s="33" t="s">
        <v>115</v>
      </c>
      <c r="C308" s="57" t="s">
        <v>485</v>
      </c>
      <c r="D308" s="55" cm="1">
        <f t="array" ref="D30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7</v>
      </c>
      <c r="E308" s="55" t="str" cm="1">
        <f t="array" ref="E308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E</v>
      </c>
      <c r="F308" s="43">
        <v>1</v>
      </c>
      <c r="H308" s="11" t="str">
        <f>IFERROR(VLOOKUP(tbl_product_scores[[#This Row],[product_key]],tbl_products[[product_key]:[group_display_key]],2,FALSE),"")</f>
        <v>BEVERAGES</v>
      </c>
    </row>
    <row r="309" spans="1:8" x14ac:dyDescent="0.2">
      <c r="A309" s="33" t="s">
        <v>354</v>
      </c>
      <c r="B309" s="33" t="s">
        <v>115</v>
      </c>
      <c r="C309" s="58" t="s">
        <v>486</v>
      </c>
      <c r="D309" s="55" cm="1">
        <f t="array" ref="D30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21</v>
      </c>
      <c r="E309" s="55" t="str" cm="1">
        <f t="array" ref="E309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E</v>
      </c>
      <c r="F309" s="43">
        <v>1</v>
      </c>
      <c r="H309" s="11" t="str">
        <f>IFERROR(VLOOKUP(tbl_product_scores[[#This Row],[product_key]],tbl_products[[product_key]:[group_display_key]],2,FALSE),"")</f>
        <v>BEVERAGES</v>
      </c>
    </row>
    <row r="310" spans="1:8" x14ac:dyDescent="0.2">
      <c r="A310" s="33" t="s">
        <v>354</v>
      </c>
      <c r="B310" s="33" t="s">
        <v>115</v>
      </c>
      <c r="C310" s="59" t="s">
        <v>487</v>
      </c>
      <c r="D310" s="55" cm="1">
        <f t="array" ref="D31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24</v>
      </c>
      <c r="E310" s="55" t="str" cm="1">
        <f t="array" ref="E310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E</v>
      </c>
      <c r="F310" s="43">
        <v>1</v>
      </c>
      <c r="H310" s="11" t="str">
        <f>IFERROR(VLOOKUP(tbl_product_scores[[#This Row],[product_key]],tbl_products[[product_key]:[group_display_key]],2,FALSE),"")</f>
        <v>BEVERAGES</v>
      </c>
    </row>
    <row r="311" spans="1:8" x14ac:dyDescent="0.2">
      <c r="A311" s="33" t="s">
        <v>350</v>
      </c>
      <c r="B311" s="33" t="s">
        <v>115</v>
      </c>
      <c r="C311" s="60" t="s">
        <v>485</v>
      </c>
      <c r="D311" s="55" cm="1">
        <f t="array" ref="D31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8</v>
      </c>
      <c r="E311" s="55" t="str" cm="1">
        <f t="array" ref="E311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E</v>
      </c>
      <c r="F311" s="43">
        <v>1</v>
      </c>
      <c r="H311" s="11" t="str">
        <f>IFERROR(VLOOKUP(tbl_product_scores[[#This Row],[product_key]],tbl_products[[product_key]:[group_display_key]],2,FALSE),"")</f>
        <v>BEVERAGES</v>
      </c>
    </row>
    <row r="312" spans="1:8" x14ac:dyDescent="0.2">
      <c r="A312" s="33" t="s">
        <v>350</v>
      </c>
      <c r="B312" s="33" t="s">
        <v>115</v>
      </c>
      <c r="C312" s="59" t="s">
        <v>486</v>
      </c>
      <c r="D312" s="55" cm="1">
        <f t="array" ref="D31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24</v>
      </c>
      <c r="E312" s="55" t="str" cm="1">
        <f t="array" ref="E312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E</v>
      </c>
      <c r="F312" s="43">
        <v>1</v>
      </c>
      <c r="H312" s="11" t="str">
        <f>IFERROR(VLOOKUP(tbl_product_scores[[#This Row],[product_key]],tbl_products[[product_key]:[group_display_key]],2,FALSE),"")</f>
        <v>BEVERAGES</v>
      </c>
    </row>
    <row r="313" spans="1:8" x14ac:dyDescent="0.2">
      <c r="A313" s="33" t="s">
        <v>350</v>
      </c>
      <c r="B313" s="33" t="s">
        <v>115</v>
      </c>
      <c r="C313" s="60" t="s">
        <v>487</v>
      </c>
      <c r="D313" s="55" cm="1">
        <f t="array" ref="D31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27</v>
      </c>
      <c r="E313" s="55" t="str" cm="1">
        <f t="array" ref="E313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E</v>
      </c>
      <c r="F313" s="43">
        <v>1</v>
      </c>
      <c r="H313" s="11" t="str">
        <f>IFERROR(VLOOKUP(tbl_product_scores[[#This Row],[product_key]],tbl_products[[product_key]:[group_display_key]],2,FALSE),"")</f>
        <v>BEVERAGES</v>
      </c>
    </row>
    <row r="314" spans="1:8" x14ac:dyDescent="0.2">
      <c r="A314" s="33" t="s">
        <v>351</v>
      </c>
      <c r="B314" s="33" t="s">
        <v>115</v>
      </c>
      <c r="C314" s="57" t="s">
        <v>485</v>
      </c>
      <c r="D314" s="55" cm="1">
        <f t="array" ref="D31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4</v>
      </c>
      <c r="E314" s="55" t="str" cm="1">
        <f t="array" ref="E314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E</v>
      </c>
      <c r="F314" s="43">
        <v>1</v>
      </c>
      <c r="H314" s="11" t="str">
        <f>IFERROR(VLOOKUP(tbl_product_scores[[#This Row],[product_key]],tbl_products[[product_key]:[group_display_key]],2,FALSE),"")</f>
        <v>BEVERAGES</v>
      </c>
    </row>
    <row r="315" spans="1:8" x14ac:dyDescent="0.2">
      <c r="A315" s="33" t="s">
        <v>351</v>
      </c>
      <c r="B315" s="33" t="s">
        <v>115</v>
      </c>
      <c r="C315" s="58" t="s">
        <v>486</v>
      </c>
      <c r="D315" s="55" cm="1">
        <f t="array" ref="D31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14</v>
      </c>
      <c r="E315" s="55" t="str" cm="1">
        <f t="array" ref="E315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E</v>
      </c>
      <c r="F315" s="43">
        <v>1</v>
      </c>
      <c r="H315" s="11" t="str">
        <f>IFERROR(VLOOKUP(tbl_product_scores[[#This Row],[product_key]],tbl_products[[product_key]:[group_display_key]],2,FALSE),"")</f>
        <v>BEVERAGES</v>
      </c>
    </row>
    <row r="316" spans="1:8" x14ac:dyDescent="0.2">
      <c r="A316" s="33" t="s">
        <v>351</v>
      </c>
      <c r="B316" s="33" t="s">
        <v>115</v>
      </c>
      <c r="C316" s="59" t="s">
        <v>487</v>
      </c>
      <c r="D316" s="55" cm="1">
        <f t="array" ref="D31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tbl_product_preparations[score_lose_weight]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tbl_product_preparations[score_maintain]
   ),
   _xlfn.XLOOKUP(1,
      (tbl_product_preparations[product_key]=tbl_product_scores[[#This Row],[product_key]])*
      (tbl_product_preparations[preparation_key]=tbl_product_scores[[#This Row],[preparation_key]]),
      tbl_product_preparations[score_gain_weight]
   )
))</f>
        <v>10</v>
      </c>
      <c r="E316" s="55" t="str" cm="1">
        <f t="array" ref="E316">IF(tbl_product_scores[[#This Row],[goal_key]]="LOSE",
   _xlfn.XLOOKUP(1,
      (tbl_product_preparations[product_key]=tbl_product_scores[[#This Row],[product_key]])*
      (tbl_product_preparations[preparation_key]=tbl_product_scores[[#This Row],[preparation_key]]),
      tbl_product_preparations[label_lose]
   ),
IF(tbl_product_scores[[#This Row],[goal_key]]="MAINTAIN",
   _xlfn.XLOOKUP(1,
      (tbl_product_preparations[product_key]=tbl_product_scores[[#This Row],[product_key]])*
      (tbl_product_preparations[preparation_key]=tbl_product_scores[[#This Row],[preparation_key]]),
      tbl_product_preparations[label_maintain]
   ),
   _xlfn.XLOOKUP(1,
      (tbl_product_preparations[product_key]=tbl_product_scores[[#This Row],[product_key]])*
      (tbl_product_preparations[preparation_key]=tbl_product_scores[[#This Row],[preparation_key]]),
      tbl_product_preparations[label_gain]
   )
))</f>
        <v>E</v>
      </c>
      <c r="F316" s="43">
        <v>1</v>
      </c>
      <c r="H316" s="11" t="str">
        <f>IFERROR(VLOOKUP(tbl_product_scores[[#This Row],[product_key]],tbl_products[[product_key]:[group_display_key]],2,FALSE),"")</f>
        <v>BEVERAGES</v>
      </c>
    </row>
    <row r="317" spans="1:8" x14ac:dyDescent="0.2">
      <c r="H317" s="11" t="str">
        <f>IFERROR(VLOOKUP(tbl_product_scores[[#This Row],[product_key]],tbl_products[[product_key]:[group_display_key]],2,FALSE),"")</f>
        <v/>
      </c>
    </row>
    <row r="318" spans="1:8" x14ac:dyDescent="0.2">
      <c r="H318" s="11" t="str">
        <f>IFERROR(VLOOKUP(tbl_product_scores[[#This Row],[product_key]],tbl_products[[product_key]:[group_display_key]],2,FALSE),"")</f>
        <v/>
      </c>
    </row>
    <row r="319" spans="1:8" x14ac:dyDescent="0.2">
      <c r="H319" s="11" t="str">
        <f>IFERROR(VLOOKUP(tbl_product_scores[[#This Row],[product_key]],tbl_products[[product_key]:[group_display_key]],2,FALSE),"")</f>
        <v/>
      </c>
    </row>
    <row r="320" spans="1:8" x14ac:dyDescent="0.2">
      <c r="H320" s="11" t="str">
        <f>IFERROR(VLOOKUP(tbl_product_scores[[#This Row],[product_key]],tbl_products[[product_key]:[group_display_key]],2,FALSE),"")</f>
        <v/>
      </c>
    </row>
    <row r="321" spans="8:8" x14ac:dyDescent="0.2">
      <c r="H321" s="11" t="str">
        <f>IFERROR(VLOOKUP(tbl_product_scores[[#This Row],[product_key]],tbl_products[[product_key]:[group_display_key]],2,FALSE),"")</f>
        <v/>
      </c>
    </row>
    <row r="322" spans="8:8" x14ac:dyDescent="0.2">
      <c r="H322" s="11" t="str">
        <f>IFERROR(VLOOKUP(tbl_product_scores[[#This Row],[product_key]],tbl_products[[product_key]:[group_display_key]],2,FALSE),"")</f>
        <v/>
      </c>
    </row>
    <row r="323" spans="8:8" x14ac:dyDescent="0.2">
      <c r="H323" s="11" t="str">
        <f>IFERROR(VLOOKUP(tbl_product_scores[[#This Row],[product_key]],tbl_products[[product_key]:[group_display_key]],2,FALSE),"")</f>
        <v/>
      </c>
    </row>
    <row r="324" spans="8:8" x14ac:dyDescent="0.2">
      <c r="H324" s="11" t="str">
        <f>IFERROR(VLOOKUP(tbl_product_scores[[#This Row],[product_key]],tbl_products[[product_key]:[group_display_key]],2,FALSE),"")</f>
        <v/>
      </c>
    </row>
    <row r="325" spans="8:8" x14ac:dyDescent="0.2">
      <c r="H325" s="11" t="str">
        <f>IFERROR(VLOOKUP(tbl_product_scores[[#This Row],[product_key]],tbl_products[[product_key]:[group_display_key]],2,FALSE),"")</f>
        <v/>
      </c>
    </row>
    <row r="326" spans="8:8" x14ac:dyDescent="0.2">
      <c r="H326" s="11" t="str">
        <f>IFERROR(VLOOKUP(tbl_product_scores[[#This Row],[product_key]],tbl_products[[product_key]:[group_display_key]],2,FALSE),"")</f>
        <v/>
      </c>
    </row>
    <row r="327" spans="8:8" x14ac:dyDescent="0.2">
      <c r="H327" s="11" t="str">
        <f>IFERROR(VLOOKUP(tbl_product_scores[[#This Row],[product_key]],tbl_products[[product_key]:[group_display_key]],2,FALSE),"")</f>
        <v/>
      </c>
    </row>
    <row r="328" spans="8:8" x14ac:dyDescent="0.2">
      <c r="H328" s="11" t="str">
        <f>IFERROR(VLOOKUP(tbl_product_scores[[#This Row],[product_key]],tbl_products[[product_key]:[group_display_key]],2,FALSE),"")</f>
        <v/>
      </c>
    </row>
    <row r="329" spans="8:8" x14ac:dyDescent="0.2">
      <c r="H329" s="11" t="str">
        <f>IFERROR(VLOOKUP(tbl_product_scores[[#This Row],[product_key]],tbl_products[[product_key]:[group_display_key]],2,FALSE),"")</f>
        <v/>
      </c>
    </row>
    <row r="330" spans="8:8" x14ac:dyDescent="0.2">
      <c r="H330" s="11" t="str">
        <f>IFERROR(VLOOKUP(tbl_product_scores[[#This Row],[product_key]],tbl_products[[product_key]:[group_display_key]],2,FALSE),"")</f>
        <v/>
      </c>
    </row>
    <row r="331" spans="8:8" x14ac:dyDescent="0.2">
      <c r="H331" s="11" t="str">
        <f>IFERROR(VLOOKUP(tbl_product_scores[[#This Row],[product_key]],tbl_products[[product_key]:[group_display_key]],2,FALSE),"")</f>
        <v/>
      </c>
    </row>
    <row r="332" spans="8:8" x14ac:dyDescent="0.2">
      <c r="H332" s="11" t="str">
        <f>IFERROR(VLOOKUP(tbl_product_scores[[#This Row],[product_key]],tbl_products[[product_key]:[group_display_key]],2,FALSE),"")</f>
        <v/>
      </c>
    </row>
    <row r="333" spans="8:8" x14ac:dyDescent="0.2">
      <c r="H333" s="11" t="str">
        <f>IFERROR(VLOOKUP(tbl_product_scores[[#This Row],[product_key]],tbl_products[[product_key]:[group_display_key]],2,FALSE),"")</f>
        <v/>
      </c>
    </row>
    <row r="334" spans="8:8" x14ac:dyDescent="0.2">
      <c r="H334" s="11" t="str">
        <f>IFERROR(VLOOKUP(tbl_product_scores[[#This Row],[product_key]],tbl_products[[product_key]:[group_display_key]],2,FALSE),"")</f>
        <v/>
      </c>
    </row>
    <row r="335" spans="8:8" x14ac:dyDescent="0.2">
      <c r="H335" s="11" t="str">
        <f>IFERROR(VLOOKUP(tbl_product_scores[[#This Row],[product_key]],tbl_products[[product_key]:[group_display_key]],2,FALSE),"")</f>
        <v/>
      </c>
    </row>
    <row r="336" spans="8:8" x14ac:dyDescent="0.2">
      <c r="H336" s="11" t="str">
        <f>IFERROR(VLOOKUP(tbl_product_scores[[#This Row],[product_key]],tbl_products[[product_key]:[group_display_key]],2,FALSE),"")</f>
        <v/>
      </c>
    </row>
    <row r="337" spans="8:8" x14ac:dyDescent="0.2">
      <c r="H337" s="11" t="str">
        <f>IFERROR(VLOOKUP(tbl_product_scores[[#This Row],[product_key]],tbl_products[[product_key]:[group_display_key]],2,FALSE),"")</f>
        <v/>
      </c>
    </row>
    <row r="338" spans="8:8" x14ac:dyDescent="0.2">
      <c r="H338" s="11" t="str">
        <f>IFERROR(VLOOKUP(tbl_product_scores[[#This Row],[product_key]],tbl_products[[product_key]:[group_display_key]],2,FALSE),"")</f>
        <v/>
      </c>
    </row>
    <row r="339" spans="8:8" x14ac:dyDescent="0.2">
      <c r="H339" s="11" t="str">
        <f>IFERROR(VLOOKUP(tbl_product_scores[[#This Row],[product_key]],tbl_products[[product_key]:[group_display_key]],2,FALSE),"")</f>
        <v/>
      </c>
    </row>
    <row r="340" spans="8:8" x14ac:dyDescent="0.2">
      <c r="H340" s="11" t="str">
        <f>IFERROR(VLOOKUP(tbl_product_scores[[#This Row],[product_key]],tbl_products[[product_key]:[group_display_key]],2,FALSE),"")</f>
        <v/>
      </c>
    </row>
    <row r="341" spans="8:8" x14ac:dyDescent="0.2">
      <c r="H341" s="11" t="str">
        <f>IFERROR(VLOOKUP(tbl_product_scores[[#This Row],[product_key]],tbl_products[[product_key]:[group_display_key]],2,FALSE),"")</f>
        <v/>
      </c>
    </row>
    <row r="342" spans="8:8" x14ac:dyDescent="0.2">
      <c r="H342" s="11" t="str">
        <f>IFERROR(VLOOKUP(tbl_product_scores[[#This Row],[product_key]],tbl_products[[product_key]:[group_display_key]],2,FALSE),"")</f>
        <v/>
      </c>
    </row>
    <row r="343" spans="8:8" x14ac:dyDescent="0.2">
      <c r="H343" s="11" t="str">
        <f>IFERROR(VLOOKUP(tbl_product_scores[[#This Row],[product_key]],tbl_products[[product_key]:[group_display_key]],2,FALSE),"")</f>
        <v/>
      </c>
    </row>
    <row r="344" spans="8:8" x14ac:dyDescent="0.2">
      <c r="H344" s="11" t="str">
        <f>IFERROR(VLOOKUP(tbl_product_scores[[#This Row],[product_key]],tbl_products[[product_key]:[group_display_key]],2,FALSE),"")</f>
        <v/>
      </c>
    </row>
    <row r="345" spans="8:8" x14ac:dyDescent="0.2">
      <c r="H345" s="11" t="str">
        <f>IFERROR(VLOOKUP(tbl_product_scores[[#This Row],[product_key]],tbl_products[[product_key]:[group_display_key]],2,FALSE),"")</f>
        <v/>
      </c>
    </row>
    <row r="346" spans="8:8" x14ac:dyDescent="0.2">
      <c r="H346" s="11" t="str">
        <f>IFERROR(VLOOKUP(tbl_product_scores[[#This Row],[product_key]],tbl_products[[product_key]:[group_display_key]],2,FALSE),"")</f>
        <v/>
      </c>
    </row>
    <row r="347" spans="8:8" x14ac:dyDescent="0.2">
      <c r="H347" s="11" t="str">
        <f>IFERROR(VLOOKUP(tbl_product_scores[[#This Row],[product_key]],tbl_products[[product_key]:[group_display_key]],2,FALSE),"")</f>
        <v/>
      </c>
    </row>
    <row r="348" spans="8:8" x14ac:dyDescent="0.2">
      <c r="H348" s="11" t="str">
        <f>IFERROR(VLOOKUP(tbl_product_scores[[#This Row],[product_key]],tbl_products[[product_key]:[group_display_key]],2,FALSE),"")</f>
        <v/>
      </c>
    </row>
    <row r="349" spans="8:8" x14ac:dyDescent="0.2">
      <c r="H349" s="11" t="str">
        <f>IFERROR(VLOOKUP(tbl_product_scores[[#This Row],[product_key]],tbl_products[[product_key]:[group_display_key]],2,FALSE),"")</f>
        <v/>
      </c>
    </row>
    <row r="350" spans="8:8" x14ac:dyDescent="0.2">
      <c r="H350" s="11" t="str">
        <f>IFERROR(VLOOKUP(tbl_product_scores[[#This Row],[product_key]],tbl_products[[product_key]:[group_display_key]],2,FALSE),"")</f>
        <v/>
      </c>
    </row>
    <row r="351" spans="8:8" x14ac:dyDescent="0.2">
      <c r="H351" s="11" t="str">
        <f>IFERROR(VLOOKUP(tbl_product_scores[[#This Row],[product_key]],tbl_products[[product_key]:[group_display_key]],2,FALSE),"")</f>
        <v/>
      </c>
    </row>
    <row r="352" spans="8:8" x14ac:dyDescent="0.2">
      <c r="H352" s="11" t="str">
        <f>IFERROR(VLOOKUP(tbl_product_scores[[#This Row],[product_key]],tbl_products[[product_key]:[group_display_key]],2,FALSE),"")</f>
        <v/>
      </c>
    </row>
    <row r="353" spans="8:8" x14ac:dyDescent="0.2">
      <c r="H353" s="11" t="str">
        <f>IFERROR(VLOOKUP(tbl_product_scores[[#This Row],[product_key]],tbl_products[[product_key]:[group_display_key]],2,FALSE),"")</f>
        <v/>
      </c>
    </row>
    <row r="354" spans="8:8" x14ac:dyDescent="0.2">
      <c r="H354" s="11" t="str">
        <f>IFERROR(VLOOKUP(tbl_product_scores[[#This Row],[product_key]],tbl_products[[product_key]:[group_display_key]],2,FALSE),"")</f>
        <v/>
      </c>
    </row>
    <row r="355" spans="8:8" x14ac:dyDescent="0.2">
      <c r="H355" s="11" t="str">
        <f>IFERROR(VLOOKUP(tbl_product_scores[[#This Row],[product_key]],tbl_products[[product_key]:[group_display_key]],2,FALSE),"")</f>
        <v/>
      </c>
    </row>
    <row r="356" spans="8:8" x14ac:dyDescent="0.2">
      <c r="H356" s="11" t="str">
        <f>IFERROR(VLOOKUP(tbl_product_scores[[#This Row],[product_key]],tbl_products[[product_key]:[group_display_key]],2,FALSE),"")</f>
        <v/>
      </c>
    </row>
    <row r="357" spans="8:8" x14ac:dyDescent="0.2">
      <c r="H357" s="11" t="str">
        <f>IFERROR(VLOOKUP(tbl_product_scores[[#This Row],[product_key]],tbl_products[[product_key]:[group_display_key]],2,FALSE),"")</f>
        <v/>
      </c>
    </row>
    <row r="358" spans="8:8" x14ac:dyDescent="0.2">
      <c r="H358" s="11" t="str">
        <f>IFERROR(VLOOKUP(tbl_product_scores[[#This Row],[product_key]],tbl_products[[product_key]:[group_display_key]],2,FALSE),"")</f>
        <v/>
      </c>
    </row>
    <row r="359" spans="8:8" x14ac:dyDescent="0.2">
      <c r="H359" s="11" t="str">
        <f>IFERROR(VLOOKUP(tbl_product_scores[[#This Row],[product_key]],tbl_products[[product_key]:[group_display_key]],2,FALSE),"")</f>
        <v/>
      </c>
    </row>
    <row r="360" spans="8:8" x14ac:dyDescent="0.2">
      <c r="H360" s="11" t="str">
        <f>IFERROR(VLOOKUP(tbl_product_scores[[#This Row],[product_key]],tbl_products[[product_key]:[group_display_key]],2,FALSE),"")</f>
        <v/>
      </c>
    </row>
    <row r="361" spans="8:8" x14ac:dyDescent="0.2">
      <c r="H361" s="11" t="str">
        <f>IFERROR(VLOOKUP(tbl_product_scores[[#This Row],[product_key]],tbl_products[[product_key]:[group_display_key]],2,FALSE),"")</f>
        <v/>
      </c>
    </row>
    <row r="362" spans="8:8" x14ac:dyDescent="0.2">
      <c r="H362" s="11" t="str">
        <f>IFERROR(VLOOKUP(tbl_product_scores[[#This Row],[product_key]],tbl_products[[product_key]:[group_display_key]],2,FALSE),"")</f>
        <v/>
      </c>
    </row>
    <row r="363" spans="8:8" x14ac:dyDescent="0.2">
      <c r="H363" s="11" t="str">
        <f>IFERROR(VLOOKUP(tbl_product_scores[[#This Row],[product_key]],tbl_products[[product_key]:[group_display_key]],2,FALSE),"")</f>
        <v/>
      </c>
    </row>
    <row r="364" spans="8:8" x14ac:dyDescent="0.2">
      <c r="H364" s="11" t="str">
        <f>IFERROR(VLOOKUP(tbl_product_scores[[#This Row],[product_key]],tbl_products[[product_key]:[group_display_key]],2,FALSE),"")</f>
        <v/>
      </c>
    </row>
    <row r="365" spans="8:8" x14ac:dyDescent="0.2">
      <c r="H365" s="11" t="str">
        <f>IFERROR(VLOOKUP(tbl_product_scores[[#This Row],[product_key]],tbl_products[[product_key]:[group_display_key]],2,FALSE),"")</f>
        <v/>
      </c>
    </row>
    <row r="366" spans="8:8" x14ac:dyDescent="0.2">
      <c r="H366" s="11" t="str">
        <f>IFERROR(VLOOKUP(tbl_product_scores[[#This Row],[product_key]],tbl_products[[product_key]:[group_display_key]],2,FALSE),"")</f>
        <v/>
      </c>
    </row>
    <row r="367" spans="8:8" x14ac:dyDescent="0.2">
      <c r="H367" s="11" t="str">
        <f>IFERROR(VLOOKUP(tbl_product_scores[[#This Row],[product_key]],tbl_products[[product_key]:[group_display_key]],2,FALSE),"")</f>
        <v/>
      </c>
    </row>
    <row r="368" spans="8:8" x14ac:dyDescent="0.2">
      <c r="H368" s="11" t="str">
        <f>IFERROR(VLOOKUP(tbl_product_scores[[#This Row],[product_key]],tbl_products[[product_key]:[group_display_key]],2,FALSE),"")</f>
        <v/>
      </c>
    </row>
    <row r="369" spans="8:8" x14ac:dyDescent="0.2">
      <c r="H369" s="11" t="str">
        <f>IFERROR(VLOOKUP(tbl_product_scores[[#This Row],[product_key]],tbl_products[[product_key]:[group_display_key]],2,FALSE),"")</f>
        <v/>
      </c>
    </row>
    <row r="370" spans="8:8" x14ac:dyDescent="0.2">
      <c r="H370" s="11" t="str">
        <f>IFERROR(VLOOKUP(tbl_product_scores[[#This Row],[product_key]],tbl_products[[product_key]:[group_display_key]],2,FALSE),"")</f>
        <v/>
      </c>
    </row>
    <row r="371" spans="8:8" x14ac:dyDescent="0.2">
      <c r="H371" s="11" t="str">
        <f>IFERROR(VLOOKUP(tbl_product_scores[[#This Row],[product_key]],tbl_products[[product_key]:[group_display_key]],2,FALSE),"")</f>
        <v/>
      </c>
    </row>
    <row r="372" spans="8:8" x14ac:dyDescent="0.2">
      <c r="H372" s="11" t="str">
        <f>IFERROR(VLOOKUP(tbl_product_scores[[#This Row],[product_key]],tbl_products[[product_key]:[group_display_key]],2,FALSE),"")</f>
        <v/>
      </c>
    </row>
    <row r="373" spans="8:8" x14ac:dyDescent="0.2">
      <c r="H373" s="11" t="str">
        <f>IFERROR(VLOOKUP(tbl_product_scores[[#This Row],[product_key]],tbl_products[[product_key]:[group_display_key]],2,FALSE),"")</f>
        <v/>
      </c>
    </row>
    <row r="374" spans="8:8" x14ac:dyDescent="0.2">
      <c r="H374" s="11" t="str">
        <f>IFERROR(VLOOKUP(tbl_product_scores[[#This Row],[product_key]],tbl_products[[product_key]:[group_display_key]],2,FALSE),"")</f>
        <v/>
      </c>
    </row>
    <row r="375" spans="8:8" x14ac:dyDescent="0.2">
      <c r="H375" s="11" t="str">
        <f>IFERROR(VLOOKUP(tbl_product_scores[[#This Row],[product_key]],tbl_products[[product_key]:[group_display_key]],2,FALSE),"")</f>
        <v/>
      </c>
    </row>
    <row r="376" spans="8:8" x14ac:dyDescent="0.2">
      <c r="H376" s="11" t="str">
        <f>IFERROR(VLOOKUP(tbl_product_scores[[#This Row],[product_key]],tbl_products[[product_key]:[group_display_key]],2,FALSE),"")</f>
        <v/>
      </c>
    </row>
    <row r="377" spans="8:8" x14ac:dyDescent="0.2">
      <c r="H377" s="11" t="str">
        <f>IFERROR(VLOOKUP(tbl_product_scores[[#This Row],[product_key]],tbl_products[[product_key]:[group_display_key]],2,FALSE),"")</f>
        <v/>
      </c>
    </row>
    <row r="378" spans="8:8" x14ac:dyDescent="0.2">
      <c r="H378" s="11" t="str">
        <f>IFERROR(VLOOKUP(tbl_product_scores[[#This Row],[product_key]],tbl_products[[product_key]:[group_display_key]],2,FALSE),"")</f>
        <v/>
      </c>
    </row>
    <row r="379" spans="8:8" x14ac:dyDescent="0.2">
      <c r="H379" s="11" t="str">
        <f>IFERROR(VLOOKUP(tbl_product_scores[[#This Row],[product_key]],tbl_products[[product_key]:[group_display_key]],2,FALSE),"")</f>
        <v/>
      </c>
    </row>
    <row r="380" spans="8:8" x14ac:dyDescent="0.2">
      <c r="H380" s="11" t="str">
        <f>IFERROR(VLOOKUP(tbl_product_scores[[#This Row],[product_key]],tbl_products[[product_key]:[group_display_key]],2,FALSE),"")</f>
        <v/>
      </c>
    </row>
    <row r="381" spans="8:8" x14ac:dyDescent="0.2">
      <c r="H381" s="11" t="str">
        <f>IFERROR(VLOOKUP(tbl_product_scores[[#This Row],[product_key]],tbl_products[[product_key]:[group_display_key]],2,FALSE),"")</f>
        <v/>
      </c>
    </row>
    <row r="382" spans="8:8" x14ac:dyDescent="0.2">
      <c r="H382" s="11" t="str">
        <f>IFERROR(VLOOKUP(tbl_product_scores[[#This Row],[product_key]],tbl_products[[product_key]:[group_display_key]],2,FALSE),"")</f>
        <v/>
      </c>
    </row>
    <row r="383" spans="8:8" x14ac:dyDescent="0.2">
      <c r="H383" s="11" t="str">
        <f>IFERROR(VLOOKUP(tbl_product_scores[[#This Row],[product_key]],tbl_products[[product_key]:[group_display_key]],2,FALSE),"")</f>
        <v/>
      </c>
    </row>
    <row r="384" spans="8:8" x14ac:dyDescent="0.2">
      <c r="H384" s="11" t="str">
        <f>IFERROR(VLOOKUP(tbl_product_scores[[#This Row],[product_key]],tbl_products[[product_key]:[group_display_key]],2,FALSE),"")</f>
        <v/>
      </c>
    </row>
    <row r="385" spans="8:8" x14ac:dyDescent="0.2">
      <c r="H385" s="11" t="str">
        <f>IFERROR(VLOOKUP(tbl_product_scores[[#This Row],[product_key]],tbl_products[[product_key]:[group_display_key]],2,FALSE),"")</f>
        <v/>
      </c>
    </row>
    <row r="386" spans="8:8" x14ac:dyDescent="0.2">
      <c r="H386" s="11" t="str">
        <f>IFERROR(VLOOKUP(tbl_product_scores[[#This Row],[product_key]],tbl_products[[product_key]:[group_display_key]],2,FALSE),"")</f>
        <v/>
      </c>
    </row>
    <row r="387" spans="8:8" x14ac:dyDescent="0.2">
      <c r="H387" s="11" t="str">
        <f>IFERROR(VLOOKUP(tbl_product_scores[[#This Row],[product_key]],tbl_products[[product_key]:[group_display_key]],2,FALSE),"")</f>
        <v/>
      </c>
    </row>
    <row r="388" spans="8:8" x14ac:dyDescent="0.2">
      <c r="H388" s="11" t="str">
        <f>IFERROR(VLOOKUP(tbl_product_scores[[#This Row],[product_key]],tbl_products[[product_key]:[group_display_key]],2,FALSE),"")</f>
        <v/>
      </c>
    </row>
    <row r="389" spans="8:8" x14ac:dyDescent="0.2">
      <c r="H389" s="11" t="str">
        <f>IFERROR(VLOOKUP(tbl_product_scores[[#This Row],[product_key]],tbl_products[[product_key]:[group_display_key]],2,FALSE),"")</f>
        <v/>
      </c>
    </row>
    <row r="390" spans="8:8" x14ac:dyDescent="0.2">
      <c r="H390" s="11" t="str">
        <f>IFERROR(VLOOKUP(tbl_product_scores[[#This Row],[product_key]],tbl_products[[product_key]:[group_display_key]],2,FALSE),"")</f>
        <v/>
      </c>
    </row>
    <row r="391" spans="8:8" x14ac:dyDescent="0.2">
      <c r="H391" s="11" t="str">
        <f>IFERROR(VLOOKUP(tbl_product_scores[[#This Row],[product_key]],tbl_products[[product_key]:[group_display_key]],2,FALSE),"")</f>
        <v/>
      </c>
    </row>
    <row r="392" spans="8:8" x14ac:dyDescent="0.2">
      <c r="H392" s="11" t="str">
        <f>IFERROR(VLOOKUP(tbl_product_scores[[#This Row],[product_key]],tbl_products[[product_key]:[group_display_key]],2,FALSE),"")</f>
        <v/>
      </c>
    </row>
    <row r="393" spans="8:8" x14ac:dyDescent="0.2">
      <c r="H393" s="11" t="str">
        <f>IFERROR(VLOOKUP(tbl_product_scores[[#This Row],[product_key]],tbl_products[[product_key]:[group_display_key]],2,FALSE),"")</f>
        <v/>
      </c>
    </row>
    <row r="394" spans="8:8" x14ac:dyDescent="0.2">
      <c r="H394" s="11" t="str">
        <f>IFERROR(VLOOKUP(tbl_product_scores[[#This Row],[product_key]],tbl_products[[product_key]:[group_display_key]],2,FALSE),"")</f>
        <v/>
      </c>
    </row>
    <row r="395" spans="8:8" x14ac:dyDescent="0.2">
      <c r="H395" s="11" t="str">
        <f>IFERROR(VLOOKUP(tbl_product_scores[[#This Row],[product_key]],tbl_products[[product_key]:[group_display_key]],2,FALSE),"")</f>
        <v/>
      </c>
    </row>
    <row r="396" spans="8:8" x14ac:dyDescent="0.2">
      <c r="H396" s="11" t="str">
        <f>IFERROR(VLOOKUP(tbl_product_scores[[#This Row],[product_key]],tbl_products[[product_key]:[group_display_key]],2,FALSE),"")</f>
        <v/>
      </c>
    </row>
    <row r="397" spans="8:8" x14ac:dyDescent="0.2">
      <c r="H397" s="11" t="str">
        <f>IFERROR(VLOOKUP(tbl_product_scores[[#This Row],[product_key]],tbl_products[[product_key]:[group_display_key]],2,FALSE),"")</f>
        <v/>
      </c>
    </row>
    <row r="398" spans="8:8" x14ac:dyDescent="0.2">
      <c r="H398" s="11" t="str">
        <f>IFERROR(VLOOKUP(tbl_product_scores[[#This Row],[product_key]],tbl_products[[product_key]:[group_display_key]],2,FALSE),"")</f>
        <v/>
      </c>
    </row>
    <row r="399" spans="8:8" x14ac:dyDescent="0.2">
      <c r="H399" s="11" t="str">
        <f>IFERROR(VLOOKUP(tbl_product_scores[[#This Row],[product_key]],tbl_products[[product_key]:[group_display_key]],2,FALSE),"")</f>
        <v/>
      </c>
    </row>
    <row r="400" spans="8:8" x14ac:dyDescent="0.2">
      <c r="H400" s="11" t="str">
        <f>IFERROR(VLOOKUP(tbl_product_scores[[#This Row],[product_key]],tbl_products[[product_key]:[group_display_key]],2,FALSE),"")</f>
        <v/>
      </c>
    </row>
    <row r="401" spans="8:8" x14ac:dyDescent="0.2">
      <c r="H401" s="11" t="str">
        <f>IFERROR(VLOOKUP(tbl_product_scores[[#This Row],[product_key]],tbl_products[[product_key]:[group_display_key]],2,FALSE),"")</f>
        <v/>
      </c>
    </row>
    <row r="402" spans="8:8" x14ac:dyDescent="0.2">
      <c r="H402" s="11" t="str">
        <f>IFERROR(VLOOKUP(tbl_product_scores[[#This Row],[product_key]],tbl_products[[product_key]:[group_display_key]],2,FALSE),"")</f>
        <v/>
      </c>
    </row>
    <row r="403" spans="8:8" x14ac:dyDescent="0.2">
      <c r="H403" s="11" t="str">
        <f>IFERROR(VLOOKUP(tbl_product_scores[[#This Row],[product_key]],tbl_products[[product_key]:[group_display_key]],2,FALSE),"")</f>
        <v/>
      </c>
    </row>
    <row r="404" spans="8:8" x14ac:dyDescent="0.2">
      <c r="H404" s="11" t="str">
        <f>IFERROR(VLOOKUP(tbl_product_scores[[#This Row],[product_key]],tbl_products[[product_key]:[group_display_key]],2,FALSE),"")</f>
        <v/>
      </c>
    </row>
    <row r="405" spans="8:8" x14ac:dyDescent="0.2">
      <c r="H405" s="11" t="str">
        <f>IFERROR(VLOOKUP(tbl_product_scores[[#This Row],[product_key]],tbl_products[[product_key]:[group_display_key]],2,FALSE),"")</f>
        <v/>
      </c>
    </row>
    <row r="406" spans="8:8" x14ac:dyDescent="0.2">
      <c r="H406" s="11" t="str">
        <f>IFERROR(VLOOKUP(tbl_product_scores[[#This Row],[product_key]],tbl_products[[product_key]:[group_display_key]],2,FALSE),"")</f>
        <v/>
      </c>
    </row>
    <row r="407" spans="8:8" x14ac:dyDescent="0.2">
      <c r="H407" s="11" t="str">
        <f>IFERROR(VLOOKUP(tbl_product_scores[[#This Row],[product_key]],tbl_products[[product_key]:[group_display_key]],2,FALSE),"")</f>
        <v/>
      </c>
    </row>
    <row r="408" spans="8:8" x14ac:dyDescent="0.2">
      <c r="H408" s="11" t="str">
        <f>IFERROR(VLOOKUP(tbl_product_scores[[#This Row],[product_key]],tbl_products[[product_key]:[group_display_key]],2,FALSE),"")</f>
        <v/>
      </c>
    </row>
    <row r="409" spans="8:8" x14ac:dyDescent="0.2">
      <c r="H409" s="11" t="str">
        <f>IFERROR(VLOOKUP(tbl_product_scores[[#This Row],[product_key]],tbl_products[[product_key]:[group_display_key]],2,FALSE),"")</f>
        <v/>
      </c>
    </row>
    <row r="410" spans="8:8" x14ac:dyDescent="0.2">
      <c r="H410" s="11" t="str">
        <f>IFERROR(VLOOKUP(tbl_product_scores[[#This Row],[product_key]],tbl_products[[product_key]:[group_display_key]],2,FALSE),"")</f>
        <v/>
      </c>
    </row>
    <row r="411" spans="8:8" x14ac:dyDescent="0.2">
      <c r="H411" s="11" t="str">
        <f>IFERROR(VLOOKUP(tbl_product_scores[[#This Row],[product_key]],tbl_products[[product_key]:[group_display_key]],2,FALSE),"")</f>
        <v/>
      </c>
    </row>
    <row r="412" spans="8:8" x14ac:dyDescent="0.2">
      <c r="H412" s="11" t="str">
        <f>IFERROR(VLOOKUP(tbl_product_scores[[#This Row],[product_key]],tbl_products[[product_key]:[group_display_key]],2,FALSE),"")</f>
        <v/>
      </c>
    </row>
    <row r="413" spans="8:8" x14ac:dyDescent="0.2">
      <c r="H413" s="11" t="str">
        <f>IFERROR(VLOOKUP(tbl_product_scores[[#This Row],[product_key]],tbl_products[[product_key]:[group_display_key]],2,FALSE),"")</f>
        <v/>
      </c>
    </row>
    <row r="414" spans="8:8" x14ac:dyDescent="0.2">
      <c r="H414" s="11" t="str">
        <f>IFERROR(VLOOKUP(tbl_product_scores[[#This Row],[product_key]],tbl_products[[product_key]:[group_display_key]],2,FALSE),"")</f>
        <v/>
      </c>
    </row>
    <row r="415" spans="8:8" x14ac:dyDescent="0.2">
      <c r="H415" s="11" t="str">
        <f>IFERROR(VLOOKUP(tbl_product_scores[[#This Row],[product_key]],tbl_products[[product_key]:[group_display_key]],2,FALSE),"")</f>
        <v/>
      </c>
    </row>
    <row r="416" spans="8:8" x14ac:dyDescent="0.2">
      <c r="H416" s="11" t="str">
        <f>IFERROR(VLOOKUP(tbl_product_scores[[#This Row],[product_key]],tbl_products[[product_key]:[group_display_key]],2,FALSE),"")</f>
        <v/>
      </c>
    </row>
    <row r="417" spans="8:8" x14ac:dyDescent="0.2">
      <c r="H417" s="11" t="str">
        <f>IFERROR(VLOOKUP(tbl_product_scores[[#This Row],[product_key]],tbl_products[[product_key]:[group_display_key]],2,FALSE),"")</f>
        <v/>
      </c>
    </row>
    <row r="418" spans="8:8" x14ac:dyDescent="0.2">
      <c r="H418" s="11" t="str">
        <f>IFERROR(VLOOKUP(tbl_product_scores[[#This Row],[product_key]],tbl_products[[product_key]:[group_display_key]],2,FALSE),"")</f>
        <v/>
      </c>
    </row>
    <row r="419" spans="8:8" x14ac:dyDescent="0.2">
      <c r="H419" s="11" t="str">
        <f>IFERROR(VLOOKUP(tbl_product_scores[[#This Row],[product_key]],tbl_products[[product_key]:[group_display_key]],2,FALSE),"")</f>
        <v/>
      </c>
    </row>
    <row r="420" spans="8:8" x14ac:dyDescent="0.2">
      <c r="H420" s="11" t="str">
        <f>IFERROR(VLOOKUP(tbl_product_scores[[#This Row],[product_key]],tbl_products[[product_key]:[group_display_key]],2,FALSE),"")</f>
        <v/>
      </c>
    </row>
    <row r="421" spans="8:8" x14ac:dyDescent="0.2">
      <c r="H421" s="11" t="str">
        <f>IFERROR(VLOOKUP(tbl_product_scores[[#This Row],[product_key]],tbl_products[[product_key]:[group_display_key]],2,FALSE),"")</f>
        <v/>
      </c>
    </row>
    <row r="422" spans="8:8" x14ac:dyDescent="0.2">
      <c r="H422" s="11" t="str">
        <f>IFERROR(VLOOKUP(tbl_product_scores[[#This Row],[product_key]],tbl_products[[product_key]:[group_display_key]],2,FALSE),"")</f>
        <v/>
      </c>
    </row>
    <row r="423" spans="8:8" x14ac:dyDescent="0.2">
      <c r="H423" s="11" t="str">
        <f>IFERROR(VLOOKUP(tbl_product_scores[[#This Row],[product_key]],tbl_products[[product_key]:[group_display_key]],2,FALSE),"")</f>
        <v/>
      </c>
    </row>
    <row r="424" spans="8:8" x14ac:dyDescent="0.2">
      <c r="H424" s="11" t="str">
        <f>IFERROR(VLOOKUP(tbl_product_scores[[#This Row],[product_key]],tbl_products[[product_key]:[group_display_key]],2,FALSE),"")</f>
        <v/>
      </c>
    </row>
    <row r="425" spans="8:8" x14ac:dyDescent="0.2">
      <c r="H425" s="11" t="str">
        <f>IFERROR(VLOOKUP(tbl_product_scores[[#This Row],[product_key]],tbl_products[[product_key]:[group_display_key]],2,FALSE),"")</f>
        <v/>
      </c>
    </row>
    <row r="426" spans="8:8" x14ac:dyDescent="0.2">
      <c r="H426" s="11" t="str">
        <f>IFERROR(VLOOKUP(tbl_product_scores[[#This Row],[product_key]],tbl_products[[product_key]:[group_display_key]],2,FALSE),"")</f>
        <v/>
      </c>
    </row>
    <row r="427" spans="8:8" x14ac:dyDescent="0.2">
      <c r="H427" s="11" t="str">
        <f>IFERROR(VLOOKUP(tbl_product_scores[[#This Row],[product_key]],tbl_products[[product_key]:[group_display_key]],2,FALSE),"")</f>
        <v/>
      </c>
    </row>
    <row r="428" spans="8:8" x14ac:dyDescent="0.2">
      <c r="H428" s="11" t="str">
        <f>IFERROR(VLOOKUP(tbl_product_scores[[#This Row],[product_key]],tbl_products[[product_key]:[group_display_key]],2,FALSE),"")</f>
        <v/>
      </c>
    </row>
    <row r="429" spans="8:8" x14ac:dyDescent="0.2">
      <c r="H429" s="11" t="str">
        <f>IFERROR(VLOOKUP(tbl_product_scores[[#This Row],[product_key]],tbl_products[[product_key]:[group_display_key]],2,FALSE),"")</f>
        <v/>
      </c>
    </row>
    <row r="430" spans="8:8" x14ac:dyDescent="0.2">
      <c r="H430" s="11" t="str">
        <f>IFERROR(VLOOKUP(tbl_product_scores[[#This Row],[product_key]],tbl_products[[product_key]:[group_display_key]],2,FALSE),"")</f>
        <v/>
      </c>
    </row>
    <row r="431" spans="8:8" x14ac:dyDescent="0.2">
      <c r="H431" s="11" t="str">
        <f>IFERROR(VLOOKUP(tbl_product_scores[[#This Row],[product_key]],tbl_products[[product_key]:[group_display_key]],2,FALSE),"")</f>
        <v/>
      </c>
    </row>
    <row r="432" spans="8:8" x14ac:dyDescent="0.2">
      <c r="H432" s="11" t="str">
        <f>IFERROR(VLOOKUP(tbl_product_scores[[#This Row],[product_key]],tbl_products[[product_key]:[group_display_key]],2,FALSE),"")</f>
        <v/>
      </c>
    </row>
    <row r="433" spans="8:8" x14ac:dyDescent="0.2">
      <c r="H433" s="11" t="str">
        <f>IFERROR(VLOOKUP(tbl_product_scores[[#This Row],[product_key]],tbl_products[[product_key]:[group_display_key]],2,FALSE),"")</f>
        <v/>
      </c>
    </row>
    <row r="434" spans="8:8" x14ac:dyDescent="0.2">
      <c r="H434" s="11" t="str">
        <f>IFERROR(VLOOKUP(tbl_product_scores[[#This Row],[product_key]],tbl_products[[product_key]:[group_display_key]],2,FALSE),"")</f>
        <v/>
      </c>
    </row>
    <row r="435" spans="8:8" x14ac:dyDescent="0.2">
      <c r="H435" s="11" t="str">
        <f>IFERROR(VLOOKUP(tbl_product_scores[[#This Row],[product_key]],tbl_products[[product_key]:[group_display_key]],2,FALSE),"")</f>
        <v/>
      </c>
    </row>
    <row r="436" spans="8:8" x14ac:dyDescent="0.2">
      <c r="H436" s="11" t="str">
        <f>IFERROR(VLOOKUP(tbl_product_scores[[#This Row],[product_key]],tbl_products[[product_key]:[group_display_key]],2,FALSE),"")</f>
        <v/>
      </c>
    </row>
    <row r="437" spans="8:8" x14ac:dyDescent="0.2">
      <c r="H437" s="11" t="str">
        <f>IFERROR(VLOOKUP(tbl_product_scores[[#This Row],[product_key]],tbl_products[[product_key]:[group_display_key]],2,FALSE),"")</f>
        <v/>
      </c>
    </row>
    <row r="438" spans="8:8" x14ac:dyDescent="0.2">
      <c r="H438" s="11" t="str">
        <f>IFERROR(VLOOKUP(tbl_product_scores[[#This Row],[product_key]],tbl_products[[product_key]:[group_display_key]],2,FALSE),"")</f>
        <v/>
      </c>
    </row>
    <row r="439" spans="8:8" x14ac:dyDescent="0.2">
      <c r="H439" s="11" t="str">
        <f>IFERROR(VLOOKUP(tbl_product_scores[[#This Row],[product_key]],tbl_products[[product_key]:[group_display_key]],2,FALSE),"")</f>
        <v/>
      </c>
    </row>
    <row r="440" spans="8:8" x14ac:dyDescent="0.2">
      <c r="H440" s="11" t="str">
        <f>IFERROR(VLOOKUP(tbl_product_scores[[#This Row],[product_key]],tbl_products[[product_key]:[group_display_key]],2,FALSE),"")</f>
        <v/>
      </c>
    </row>
    <row r="441" spans="8:8" x14ac:dyDescent="0.2">
      <c r="H441" s="11" t="str">
        <f>IFERROR(VLOOKUP(tbl_product_scores[[#This Row],[product_key]],tbl_products[[product_key]:[group_display_key]],2,FALSE),"")</f>
        <v/>
      </c>
    </row>
    <row r="442" spans="8:8" x14ac:dyDescent="0.2">
      <c r="H442" s="11" t="str">
        <f>IFERROR(VLOOKUP(tbl_product_scores[[#This Row],[product_key]],tbl_products[[product_key]:[group_display_key]],2,FALSE),"")</f>
        <v/>
      </c>
    </row>
    <row r="443" spans="8:8" x14ac:dyDescent="0.2">
      <c r="H443" s="11" t="str">
        <f>IFERROR(VLOOKUP(tbl_product_scores[[#This Row],[product_key]],tbl_products[[product_key]:[group_display_key]],2,FALSE),"")</f>
        <v/>
      </c>
    </row>
    <row r="444" spans="8:8" x14ac:dyDescent="0.2">
      <c r="H444" s="11" t="str">
        <f>IFERROR(VLOOKUP(tbl_product_scores[[#This Row],[product_key]],tbl_products[[product_key]:[group_display_key]],2,FALSE),"")</f>
        <v/>
      </c>
    </row>
    <row r="445" spans="8:8" x14ac:dyDescent="0.2">
      <c r="H445" s="11" t="str">
        <f>IFERROR(VLOOKUP(tbl_product_scores[[#This Row],[product_key]],tbl_products[[product_key]:[group_display_key]],2,FALSE),"")</f>
        <v/>
      </c>
    </row>
    <row r="446" spans="8:8" x14ac:dyDescent="0.2">
      <c r="H446" s="11" t="str">
        <f>IFERROR(VLOOKUP(tbl_product_scores[[#This Row],[product_key]],tbl_products[[product_key]:[group_display_key]],2,FALSE),"")</f>
        <v/>
      </c>
    </row>
    <row r="447" spans="8:8" x14ac:dyDescent="0.2">
      <c r="H447" s="11" t="str">
        <f>IFERROR(VLOOKUP(tbl_product_scores[[#This Row],[product_key]],tbl_products[[product_key]:[group_display_key]],2,FALSE),"")</f>
        <v/>
      </c>
    </row>
    <row r="448" spans="8:8" x14ac:dyDescent="0.2">
      <c r="H448" s="11" t="str">
        <f>IFERROR(VLOOKUP(tbl_product_scores[[#This Row],[product_key]],tbl_products[[product_key]:[group_display_key]],2,FALSE),"")</f>
        <v/>
      </c>
    </row>
    <row r="449" spans="8:8" x14ac:dyDescent="0.2">
      <c r="H449" s="11" t="str">
        <f>IFERROR(VLOOKUP(tbl_product_scores[[#This Row],[product_key]],tbl_products[[product_key]:[group_display_key]],2,FALSE),"")</f>
        <v/>
      </c>
    </row>
    <row r="450" spans="8:8" x14ac:dyDescent="0.2">
      <c r="H450" s="11" t="str">
        <f>IFERROR(VLOOKUP(tbl_product_scores[[#This Row],[product_key]],tbl_products[[product_key]:[group_display_key]],2,FALSE),"")</f>
        <v/>
      </c>
    </row>
    <row r="451" spans="8:8" x14ac:dyDescent="0.2">
      <c r="H451" s="11" t="str">
        <f>IFERROR(VLOOKUP(tbl_product_scores[[#This Row],[product_key]],tbl_products[[product_key]:[group_display_key]],2,FALSE),"")</f>
        <v/>
      </c>
    </row>
    <row r="452" spans="8:8" x14ac:dyDescent="0.2">
      <c r="H452" s="11" t="str">
        <f>IFERROR(VLOOKUP(tbl_product_scores[[#This Row],[product_key]],tbl_products[[product_key]:[group_display_key]],2,FALSE),"")</f>
        <v/>
      </c>
    </row>
    <row r="453" spans="8:8" x14ac:dyDescent="0.2">
      <c r="H453" s="11" t="str">
        <f>IFERROR(VLOOKUP(tbl_product_scores[[#This Row],[product_key]],tbl_products[[product_key]:[group_display_key]],2,FALSE),"")</f>
        <v/>
      </c>
    </row>
    <row r="454" spans="8:8" x14ac:dyDescent="0.2">
      <c r="H454" s="11" t="str">
        <f>IFERROR(VLOOKUP(tbl_product_scores[[#This Row],[product_key]],tbl_products[[product_key]:[group_display_key]],2,FALSE),"")</f>
        <v/>
      </c>
    </row>
    <row r="455" spans="8:8" x14ac:dyDescent="0.2">
      <c r="H455" s="11" t="str">
        <f>IFERROR(VLOOKUP(tbl_product_scores[[#This Row],[product_key]],tbl_products[[product_key]:[group_display_key]],2,FALSE),"")</f>
        <v/>
      </c>
    </row>
    <row r="456" spans="8:8" x14ac:dyDescent="0.2">
      <c r="H456" s="11" t="str">
        <f>IFERROR(VLOOKUP(tbl_product_scores[[#This Row],[product_key]],tbl_products[[product_key]:[group_display_key]],2,FALSE),"")</f>
        <v/>
      </c>
    </row>
    <row r="457" spans="8:8" x14ac:dyDescent="0.2">
      <c r="H457" s="11" t="str">
        <f>IFERROR(VLOOKUP(tbl_product_scores[[#This Row],[product_key]],tbl_products[[product_key]:[group_display_key]],2,FALSE),"")</f>
        <v/>
      </c>
    </row>
    <row r="458" spans="8:8" x14ac:dyDescent="0.2">
      <c r="H458" s="11" t="str">
        <f>IFERROR(VLOOKUP(tbl_product_scores[[#This Row],[product_key]],tbl_products[[product_key]:[group_display_key]],2,FALSE),"")</f>
        <v/>
      </c>
    </row>
    <row r="459" spans="8:8" x14ac:dyDescent="0.2">
      <c r="H459" s="11" t="str">
        <f>IFERROR(VLOOKUP(tbl_product_scores[[#This Row],[product_key]],tbl_products[[product_key]:[group_display_key]],2,FALSE),"")</f>
        <v/>
      </c>
    </row>
    <row r="460" spans="8:8" x14ac:dyDescent="0.2">
      <c r="H460" s="11" t="str">
        <f>IFERROR(VLOOKUP(tbl_product_scores[[#This Row],[product_key]],tbl_products[[product_key]:[group_display_key]],2,FALSE),"")</f>
        <v/>
      </c>
    </row>
    <row r="461" spans="8:8" x14ac:dyDescent="0.2">
      <c r="H461" s="11" t="str">
        <f>IFERROR(VLOOKUP(tbl_product_scores[[#This Row],[product_key]],tbl_products[[product_key]:[group_display_key]],2,FALSE),"")</f>
        <v/>
      </c>
    </row>
    <row r="462" spans="8:8" x14ac:dyDescent="0.2">
      <c r="H462" s="11" t="str">
        <f>IFERROR(VLOOKUP(tbl_product_scores[[#This Row],[product_key]],tbl_products[[product_key]:[group_display_key]],2,FALSE),"")</f>
        <v/>
      </c>
    </row>
    <row r="463" spans="8:8" x14ac:dyDescent="0.2">
      <c r="H463" s="11" t="str">
        <f>IFERROR(VLOOKUP(tbl_product_scores[[#This Row],[product_key]],tbl_products[[product_key]:[group_display_key]],2,FALSE),"")</f>
        <v/>
      </c>
    </row>
    <row r="464" spans="8:8" x14ac:dyDescent="0.2">
      <c r="H464" s="11" t="str">
        <f>IFERROR(VLOOKUP(tbl_product_scores[[#This Row],[product_key]],tbl_products[[product_key]:[group_display_key]],2,FALSE),"")</f>
        <v/>
      </c>
    </row>
    <row r="465" spans="8:8" x14ac:dyDescent="0.2">
      <c r="H465" s="11" t="str">
        <f>IFERROR(VLOOKUP(tbl_product_scores[[#This Row],[product_key]],tbl_products[[product_key]:[group_display_key]],2,FALSE),"")</f>
        <v/>
      </c>
    </row>
    <row r="466" spans="8:8" x14ac:dyDescent="0.2">
      <c r="H466" s="11" t="str">
        <f>IFERROR(VLOOKUP(tbl_product_scores[[#This Row],[product_key]],tbl_products[[product_key]:[group_display_key]],2,FALSE),"")</f>
        <v/>
      </c>
    </row>
    <row r="467" spans="8:8" x14ac:dyDescent="0.2">
      <c r="H467" s="11" t="str">
        <f>IFERROR(VLOOKUP(tbl_product_scores[[#This Row],[product_key]],tbl_products[[product_key]:[group_display_key]],2,FALSE),"")</f>
        <v/>
      </c>
    </row>
    <row r="468" spans="8:8" x14ac:dyDescent="0.2">
      <c r="H468" s="11" t="str">
        <f>IFERROR(VLOOKUP(tbl_product_scores[[#This Row],[product_key]],tbl_products[[product_key]:[group_display_key]],2,FALSE),"")</f>
        <v/>
      </c>
    </row>
    <row r="469" spans="8:8" x14ac:dyDescent="0.2">
      <c r="H469" s="11" t="str">
        <f>IFERROR(VLOOKUP(tbl_product_scores[[#This Row],[product_key]],tbl_products[[product_key]:[group_display_key]],2,FALSE),"")</f>
        <v/>
      </c>
    </row>
    <row r="470" spans="8:8" x14ac:dyDescent="0.2">
      <c r="H470" s="11" t="str">
        <f>IFERROR(VLOOKUP(tbl_product_scores[[#This Row],[product_key]],tbl_products[[product_key]:[group_display_key]],2,FALSE),"")</f>
        <v/>
      </c>
    </row>
    <row r="471" spans="8:8" x14ac:dyDescent="0.2">
      <c r="H471" s="11" t="str">
        <f>IFERROR(VLOOKUP(tbl_product_scores[[#This Row],[product_key]],tbl_products[[product_key]:[group_display_key]],2,FALSE),"")</f>
        <v/>
      </c>
    </row>
    <row r="472" spans="8:8" x14ac:dyDescent="0.2">
      <c r="H472" s="11" t="str">
        <f>IFERROR(VLOOKUP(tbl_product_scores[[#This Row],[product_key]],tbl_products[[product_key]:[group_display_key]],2,FALSE),"")</f>
        <v/>
      </c>
    </row>
    <row r="473" spans="8:8" x14ac:dyDescent="0.2">
      <c r="H473" s="11" t="str">
        <f>IFERROR(VLOOKUP(tbl_product_scores[[#This Row],[product_key]],tbl_products[[product_key]:[group_display_key]],2,FALSE),"")</f>
        <v/>
      </c>
    </row>
    <row r="474" spans="8:8" x14ac:dyDescent="0.2">
      <c r="H474" s="11" t="str">
        <f>IFERROR(VLOOKUP(tbl_product_scores[[#This Row],[product_key]],tbl_products[[product_key]:[group_display_key]],2,FALSE),"")</f>
        <v/>
      </c>
    </row>
    <row r="475" spans="8:8" x14ac:dyDescent="0.2">
      <c r="H475" s="11" t="str">
        <f>IFERROR(VLOOKUP(tbl_product_scores[[#This Row],[product_key]],tbl_products[[product_key]:[group_display_key]],2,FALSE),"")</f>
        <v/>
      </c>
    </row>
    <row r="476" spans="8:8" x14ac:dyDescent="0.2">
      <c r="H476" s="11" t="str">
        <f>IFERROR(VLOOKUP(tbl_product_scores[[#This Row],[product_key]],tbl_products[[product_key]:[group_display_key]],2,FALSE),"")</f>
        <v/>
      </c>
    </row>
    <row r="477" spans="8:8" x14ac:dyDescent="0.2">
      <c r="H477" s="11" t="str">
        <f>IFERROR(VLOOKUP(tbl_product_scores[[#This Row],[product_key]],tbl_products[[product_key]:[group_display_key]],2,FALSE),"")</f>
        <v/>
      </c>
    </row>
    <row r="478" spans="8:8" x14ac:dyDescent="0.2">
      <c r="H478" s="11" t="str">
        <f>IFERROR(VLOOKUP(tbl_product_scores[[#This Row],[product_key]],tbl_products[[product_key]:[group_display_key]],2,FALSE),"")</f>
        <v/>
      </c>
    </row>
    <row r="479" spans="8:8" x14ac:dyDescent="0.2">
      <c r="H479" s="11" t="str">
        <f>IFERROR(VLOOKUP(tbl_product_scores[[#This Row],[product_key]],tbl_products[[product_key]:[group_display_key]],2,FALSE),"")</f>
        <v/>
      </c>
    </row>
    <row r="480" spans="8:8" x14ac:dyDescent="0.2">
      <c r="H480" s="11" t="str">
        <f>IFERROR(VLOOKUP(tbl_product_scores[[#This Row],[product_key]],tbl_products[[product_key]:[group_display_key]],2,FALSE),"")</f>
        <v/>
      </c>
    </row>
    <row r="481" spans="8:8" x14ac:dyDescent="0.2">
      <c r="H481" s="11" t="str">
        <f>IFERROR(VLOOKUP(tbl_product_scores[[#This Row],[product_key]],tbl_products[[product_key]:[group_display_key]],2,FALSE),"")</f>
        <v/>
      </c>
    </row>
    <row r="482" spans="8:8" x14ac:dyDescent="0.2">
      <c r="H482" s="11" t="str">
        <f>IFERROR(VLOOKUP(tbl_product_scores[[#This Row],[product_key]],tbl_products[[product_key]:[group_display_key]],2,FALSE),"")</f>
        <v/>
      </c>
    </row>
    <row r="483" spans="8:8" x14ac:dyDescent="0.2">
      <c r="H483" s="11" t="str">
        <f>IFERROR(VLOOKUP(tbl_product_scores[[#This Row],[product_key]],tbl_products[[product_key]:[group_display_key]],2,FALSE),"")</f>
        <v/>
      </c>
    </row>
    <row r="484" spans="8:8" x14ac:dyDescent="0.2">
      <c r="H484" s="11" t="str">
        <f>IFERROR(VLOOKUP(tbl_product_scores[[#This Row],[product_key]],tbl_products[[product_key]:[group_display_key]],2,FALSE),"")</f>
        <v/>
      </c>
    </row>
    <row r="485" spans="8:8" x14ac:dyDescent="0.2">
      <c r="H485" s="11" t="str">
        <f>IFERROR(VLOOKUP(tbl_product_scores[[#This Row],[product_key]],tbl_products[[product_key]:[group_display_key]],2,FALSE),"")</f>
        <v/>
      </c>
    </row>
    <row r="486" spans="8:8" x14ac:dyDescent="0.2">
      <c r="H486" s="11" t="str">
        <f>IFERROR(VLOOKUP(tbl_product_scores[[#This Row],[product_key]],tbl_products[[product_key]:[group_display_key]],2,FALSE),"")</f>
        <v/>
      </c>
    </row>
    <row r="487" spans="8:8" x14ac:dyDescent="0.2">
      <c r="H487" s="11" t="str">
        <f>IFERROR(VLOOKUP(tbl_product_scores[[#This Row],[product_key]],tbl_products[[product_key]:[group_display_key]],2,FALSE),"")</f>
        <v/>
      </c>
    </row>
    <row r="488" spans="8:8" x14ac:dyDescent="0.2">
      <c r="H488" s="11" t="str">
        <f>IFERROR(VLOOKUP(tbl_product_scores[[#This Row],[product_key]],tbl_products[[product_key]:[group_display_key]],2,FALSE),"")</f>
        <v/>
      </c>
    </row>
    <row r="489" spans="8:8" x14ac:dyDescent="0.2">
      <c r="H489" s="11" t="str">
        <f>IFERROR(VLOOKUP(tbl_product_scores[[#This Row],[product_key]],tbl_products[[product_key]:[group_display_key]],2,FALSE),"")</f>
        <v/>
      </c>
    </row>
    <row r="490" spans="8:8" x14ac:dyDescent="0.2">
      <c r="H490" s="11" t="str">
        <f>IFERROR(VLOOKUP(tbl_product_scores[[#This Row],[product_key]],tbl_products[[product_key]:[group_display_key]],2,FALSE),"")</f>
        <v/>
      </c>
    </row>
    <row r="491" spans="8:8" x14ac:dyDescent="0.2">
      <c r="H491" s="11" t="str">
        <f>IFERROR(VLOOKUP(tbl_product_scores[[#This Row],[product_key]],tbl_products[[product_key]:[group_display_key]],2,FALSE),"")</f>
        <v/>
      </c>
    </row>
    <row r="492" spans="8:8" x14ac:dyDescent="0.2">
      <c r="H492" s="11" t="str">
        <f>IFERROR(VLOOKUP(tbl_product_scores[[#This Row],[product_key]],tbl_products[[product_key]:[group_display_key]],2,FALSE),"")</f>
        <v/>
      </c>
    </row>
    <row r="493" spans="8:8" x14ac:dyDescent="0.2">
      <c r="H493" s="11" t="str">
        <f>IFERROR(VLOOKUP(tbl_product_scores[[#This Row],[product_key]],tbl_products[[product_key]:[group_display_key]],2,FALSE),"")</f>
        <v/>
      </c>
    </row>
    <row r="494" spans="8:8" x14ac:dyDescent="0.2">
      <c r="H494" s="11" t="str">
        <f>IFERROR(VLOOKUP(tbl_product_scores[[#This Row],[product_key]],tbl_products[[product_key]:[group_display_key]],2,FALSE),"")</f>
        <v/>
      </c>
    </row>
    <row r="495" spans="8:8" x14ac:dyDescent="0.2">
      <c r="H495" s="11" t="str">
        <f>IFERROR(VLOOKUP(tbl_product_scores[[#This Row],[product_key]],tbl_products[[product_key]:[group_display_key]],2,FALSE),"")</f>
        <v/>
      </c>
    </row>
    <row r="496" spans="8:8" x14ac:dyDescent="0.2">
      <c r="H496" s="11" t="str">
        <f>IFERROR(VLOOKUP(tbl_product_scores[[#This Row],[product_key]],tbl_products[[product_key]:[group_display_key]],2,FALSE),"")</f>
        <v/>
      </c>
    </row>
    <row r="497" spans="8:8" x14ac:dyDescent="0.2">
      <c r="H497" s="11" t="str">
        <f>IFERROR(VLOOKUP(tbl_product_scores[[#This Row],[product_key]],tbl_products[[product_key]:[group_display_key]],2,FALSE),"")</f>
        <v/>
      </c>
    </row>
    <row r="498" spans="8:8" x14ac:dyDescent="0.2">
      <c r="H498" s="11" t="str">
        <f>IFERROR(VLOOKUP(tbl_product_scores[[#This Row],[product_key]],tbl_products[[product_key]:[group_display_key]],2,FALSE),"")</f>
        <v/>
      </c>
    </row>
    <row r="499" spans="8:8" x14ac:dyDescent="0.2">
      <c r="H499" s="11" t="str">
        <f>IFERROR(VLOOKUP(tbl_product_scores[[#This Row],[product_key]],tbl_products[[product_key]:[group_display_key]],2,FALSE),"")</f>
        <v/>
      </c>
    </row>
    <row r="500" spans="8:8" x14ac:dyDescent="0.2">
      <c r="H500" s="11" t="str">
        <f>IFERROR(VLOOKUP(tbl_product_scores[[#This Row],[product_key]],tbl_products[[product_key]:[group_display_key]],2,FALSE),"")</f>
        <v/>
      </c>
    </row>
    <row r="501" spans="8:8" x14ac:dyDescent="0.2">
      <c r="H501" s="11" t="str">
        <f>IFERROR(VLOOKUP(tbl_product_scores[[#This Row],[product_key]],tbl_products[[product_key]:[group_display_key]],2,FALSE),"")</f>
        <v/>
      </c>
    </row>
    <row r="502" spans="8:8" x14ac:dyDescent="0.2">
      <c r="H502" s="11" t="str">
        <f>IFERROR(VLOOKUP(tbl_product_scores[[#This Row],[product_key]],tbl_products[[product_key]:[group_display_key]],2,FALSE),"")</f>
        <v/>
      </c>
    </row>
    <row r="503" spans="8:8" x14ac:dyDescent="0.2">
      <c r="H503" s="11" t="str">
        <f>IFERROR(VLOOKUP(tbl_product_scores[[#This Row],[product_key]],tbl_products[[product_key]:[group_display_key]],2,FALSE),"")</f>
        <v/>
      </c>
    </row>
    <row r="504" spans="8:8" x14ac:dyDescent="0.2">
      <c r="H504" s="11" t="str">
        <f>IFERROR(VLOOKUP(tbl_product_scores[[#This Row],[product_key]],tbl_products[[product_key]:[group_display_key]],2,FALSE),"")</f>
        <v/>
      </c>
    </row>
    <row r="505" spans="8:8" x14ac:dyDescent="0.2">
      <c r="H505" s="11" t="str">
        <f>IFERROR(VLOOKUP(tbl_product_scores[[#This Row],[product_key]],tbl_products[[product_key]:[group_display_key]],2,FALSE),"")</f>
        <v/>
      </c>
    </row>
    <row r="506" spans="8:8" x14ac:dyDescent="0.2">
      <c r="H506" s="11" t="str">
        <f>IFERROR(VLOOKUP(tbl_product_scores[[#This Row],[product_key]],tbl_products[[product_key]:[group_display_key]],2,FALSE),"")</f>
        <v/>
      </c>
    </row>
    <row r="507" spans="8:8" x14ac:dyDescent="0.2">
      <c r="H507" s="11" t="str">
        <f>IFERROR(VLOOKUP(tbl_product_scores[[#This Row],[product_key]],tbl_products[[product_key]:[group_display_key]],2,FALSE),"")</f>
        <v/>
      </c>
    </row>
    <row r="508" spans="8:8" x14ac:dyDescent="0.2">
      <c r="H508" s="11" t="str">
        <f>IFERROR(VLOOKUP(tbl_product_scores[[#This Row],[product_key]],tbl_products[[product_key]:[group_display_key]],2,FALSE),"")</f>
        <v/>
      </c>
    </row>
    <row r="509" spans="8:8" x14ac:dyDescent="0.2">
      <c r="H509" s="11" t="str">
        <f>IFERROR(VLOOKUP(tbl_product_scores[[#This Row],[product_key]],tbl_products[[product_key]:[group_display_key]],2,FALSE),"")</f>
        <v/>
      </c>
    </row>
    <row r="510" spans="8:8" x14ac:dyDescent="0.2">
      <c r="H510" s="11" t="str">
        <f>IFERROR(VLOOKUP(tbl_product_scores[[#This Row],[product_key]],tbl_products[[product_key]:[group_display_key]],2,FALSE),"")</f>
        <v/>
      </c>
    </row>
    <row r="511" spans="8:8" x14ac:dyDescent="0.2">
      <c r="H511" s="11" t="str">
        <f>IFERROR(VLOOKUP(tbl_product_scores[[#This Row],[product_key]],tbl_products[[product_key]:[group_display_key]],2,FALSE),"")</f>
        <v/>
      </c>
    </row>
    <row r="512" spans="8:8" x14ac:dyDescent="0.2">
      <c r="H512" s="11" t="str">
        <f>IFERROR(VLOOKUP(tbl_product_scores[[#This Row],[product_key]],tbl_products[[product_key]:[group_display_key]],2,FALSE),"")</f>
        <v/>
      </c>
    </row>
    <row r="513" spans="8:8" x14ac:dyDescent="0.2">
      <c r="H513" s="11" t="str">
        <f>IFERROR(VLOOKUP(tbl_product_scores[[#This Row],[product_key]],tbl_products[[product_key]:[group_display_key]],2,FALSE),"")</f>
        <v/>
      </c>
    </row>
    <row r="514" spans="8:8" x14ac:dyDescent="0.2">
      <c r="H514" s="11" t="str">
        <f>IFERROR(VLOOKUP(tbl_product_scores[[#This Row],[product_key]],tbl_products[[product_key]:[group_display_key]],2,FALSE),"")</f>
        <v/>
      </c>
    </row>
    <row r="515" spans="8:8" x14ac:dyDescent="0.2">
      <c r="H515" s="11" t="str">
        <f>IFERROR(VLOOKUP(tbl_product_scores[[#This Row],[product_key]],tbl_products[[product_key]:[group_display_key]],2,FALSE),"")</f>
        <v/>
      </c>
    </row>
    <row r="516" spans="8:8" x14ac:dyDescent="0.2">
      <c r="H516" s="11" t="str">
        <f>IFERROR(VLOOKUP(tbl_product_scores[[#This Row],[product_key]],tbl_products[[product_key]:[group_display_key]],2,FALSE),"")</f>
        <v/>
      </c>
    </row>
    <row r="517" spans="8:8" x14ac:dyDescent="0.2">
      <c r="H517" s="11" t="str">
        <f>IFERROR(VLOOKUP(tbl_product_scores[[#This Row],[product_key]],tbl_products[[product_key]:[group_display_key]],2,FALSE),"")</f>
        <v/>
      </c>
    </row>
    <row r="518" spans="8:8" x14ac:dyDescent="0.2">
      <c r="H518" s="11" t="str">
        <f>IFERROR(VLOOKUP(tbl_product_scores[[#This Row],[product_key]],tbl_products[[product_key]:[group_display_key]],2,FALSE),"")</f>
        <v/>
      </c>
    </row>
    <row r="519" spans="8:8" x14ac:dyDescent="0.2">
      <c r="H519" s="11" t="str">
        <f>IFERROR(VLOOKUP(tbl_product_scores[[#This Row],[product_key]],tbl_products[[product_key]:[group_display_key]],2,FALSE),"")</f>
        <v/>
      </c>
    </row>
    <row r="520" spans="8:8" x14ac:dyDescent="0.2">
      <c r="H520" s="11" t="str">
        <f>IFERROR(VLOOKUP(tbl_product_scores[[#This Row],[product_key]],tbl_products[[product_key]:[group_display_key]],2,FALSE),"")</f>
        <v/>
      </c>
    </row>
    <row r="521" spans="8:8" x14ac:dyDescent="0.2">
      <c r="H521" s="11" t="str">
        <f>IFERROR(VLOOKUP(tbl_product_scores[[#This Row],[product_key]],tbl_products[[product_key]:[group_display_key]],2,FALSE),"")</f>
        <v/>
      </c>
    </row>
    <row r="522" spans="8:8" x14ac:dyDescent="0.2">
      <c r="H522" s="11" t="str">
        <f>IFERROR(VLOOKUP(tbl_product_scores[[#This Row],[product_key]],tbl_products[[product_key]:[group_display_key]],2,FALSE),"")</f>
        <v/>
      </c>
    </row>
    <row r="523" spans="8:8" x14ac:dyDescent="0.2">
      <c r="H523" s="11" t="str">
        <f>IFERROR(VLOOKUP(tbl_product_scores[[#This Row],[product_key]],tbl_products[[product_key]:[group_display_key]],2,FALSE),"")</f>
        <v/>
      </c>
    </row>
    <row r="524" spans="8:8" x14ac:dyDescent="0.2">
      <c r="H524" s="11" t="str">
        <f>IFERROR(VLOOKUP(tbl_product_scores[[#This Row],[product_key]],tbl_products[[product_key]:[group_display_key]],2,FALSE),"")</f>
        <v/>
      </c>
    </row>
    <row r="525" spans="8:8" x14ac:dyDescent="0.2">
      <c r="H525" s="11" t="str">
        <f>IFERROR(VLOOKUP(tbl_product_scores[[#This Row],[product_key]],tbl_products[[product_key]:[group_display_key]],2,FALSE),"")</f>
        <v/>
      </c>
    </row>
    <row r="526" spans="8:8" x14ac:dyDescent="0.2">
      <c r="H526" s="11" t="str">
        <f>IFERROR(VLOOKUP(tbl_product_scores[[#This Row],[product_key]],tbl_products[[product_key]:[group_display_key]],2,FALSE),"")</f>
        <v/>
      </c>
    </row>
    <row r="527" spans="8:8" x14ac:dyDescent="0.2">
      <c r="H527" s="11" t="str">
        <f>IFERROR(VLOOKUP(tbl_product_scores[[#This Row],[product_key]],tbl_products[[product_key]:[group_display_key]],2,FALSE),"")</f>
        <v/>
      </c>
    </row>
    <row r="528" spans="8:8" x14ac:dyDescent="0.2">
      <c r="H528" s="11" t="str">
        <f>IFERROR(VLOOKUP(tbl_product_scores[[#This Row],[product_key]],tbl_products[[product_key]:[group_display_key]],2,FALSE),"")</f>
        <v/>
      </c>
    </row>
    <row r="529" spans="8:8" x14ac:dyDescent="0.2">
      <c r="H529" s="11" t="str">
        <f>IFERROR(VLOOKUP(tbl_product_scores[[#This Row],[product_key]],tbl_products[[product_key]:[group_display_key]],2,FALSE),"")</f>
        <v/>
      </c>
    </row>
    <row r="530" spans="8:8" x14ac:dyDescent="0.2">
      <c r="H530" s="11" t="str">
        <f>IFERROR(VLOOKUP(tbl_product_scores[[#This Row],[product_key]],tbl_products[[product_key]:[group_display_key]],2,FALSE),"")</f>
        <v/>
      </c>
    </row>
    <row r="531" spans="8:8" x14ac:dyDescent="0.2">
      <c r="H531" s="11" t="str">
        <f>IFERROR(VLOOKUP(tbl_product_scores[[#This Row],[product_key]],tbl_products[[product_key]:[group_display_key]],2,FALSE),"")</f>
        <v/>
      </c>
    </row>
    <row r="532" spans="8:8" x14ac:dyDescent="0.2">
      <c r="H532" s="11" t="str">
        <f>IFERROR(VLOOKUP(tbl_product_scores[[#This Row],[product_key]],tbl_products[[product_key]:[group_display_key]],2,FALSE),"")</f>
        <v/>
      </c>
    </row>
    <row r="533" spans="8:8" x14ac:dyDescent="0.2">
      <c r="H533" s="11" t="str">
        <f>IFERROR(VLOOKUP(tbl_product_scores[[#This Row],[product_key]],tbl_products[[product_key]:[group_display_key]],2,FALSE),"")</f>
        <v/>
      </c>
    </row>
    <row r="534" spans="8:8" x14ac:dyDescent="0.2">
      <c r="H534" s="11" t="str">
        <f>IFERROR(VLOOKUP(tbl_product_scores[[#This Row],[product_key]],tbl_products[[product_key]:[group_display_key]],2,FALSE),"")</f>
        <v/>
      </c>
    </row>
    <row r="535" spans="8:8" x14ac:dyDescent="0.2">
      <c r="H535" s="11" t="str">
        <f>IFERROR(VLOOKUP(tbl_product_scores[[#This Row],[product_key]],tbl_products[[product_key]:[group_display_key]],2,FALSE),"")</f>
        <v/>
      </c>
    </row>
    <row r="536" spans="8:8" x14ac:dyDescent="0.2">
      <c r="H536" s="11" t="str">
        <f>IFERROR(VLOOKUP(tbl_product_scores[[#This Row],[product_key]],tbl_products[[product_key]:[group_display_key]],2,FALSE),"")</f>
        <v/>
      </c>
    </row>
    <row r="537" spans="8:8" x14ac:dyDescent="0.2">
      <c r="H537" s="11" t="str">
        <f>IFERROR(VLOOKUP(tbl_product_scores[[#This Row],[product_key]],tbl_products[[product_key]:[group_display_key]],2,FALSE),"")</f>
        <v/>
      </c>
    </row>
    <row r="538" spans="8:8" x14ac:dyDescent="0.2">
      <c r="H538" s="11" t="str">
        <f>IFERROR(VLOOKUP(tbl_product_scores[[#This Row],[product_key]],tbl_products[[product_key]:[group_display_key]],2,FALSE),"")</f>
        <v/>
      </c>
    </row>
    <row r="539" spans="8:8" x14ac:dyDescent="0.2">
      <c r="H539" s="11" t="str">
        <f>IFERROR(VLOOKUP(tbl_product_scores[[#This Row],[product_key]],tbl_products[[product_key]:[group_display_key]],2,FALSE),"")</f>
        <v/>
      </c>
    </row>
    <row r="540" spans="8:8" x14ac:dyDescent="0.2">
      <c r="H540" s="11" t="str">
        <f>IFERROR(VLOOKUP(tbl_product_scores[[#This Row],[product_key]],tbl_products[[product_key]:[group_display_key]],2,FALSE),"")</f>
        <v/>
      </c>
    </row>
    <row r="541" spans="8:8" x14ac:dyDescent="0.2">
      <c r="H541" s="11" t="str">
        <f>IFERROR(VLOOKUP(tbl_product_scores[[#This Row],[product_key]],tbl_products[[product_key]:[group_display_key]],2,FALSE),"")</f>
        <v/>
      </c>
    </row>
    <row r="542" spans="8:8" x14ac:dyDescent="0.2">
      <c r="H542" s="11" t="str">
        <f>IFERROR(VLOOKUP(tbl_product_scores[[#This Row],[product_key]],tbl_products[[product_key]:[group_display_key]],2,FALSE),"")</f>
        <v/>
      </c>
    </row>
    <row r="543" spans="8:8" x14ac:dyDescent="0.2">
      <c r="H543" s="11" t="str">
        <f>IFERROR(VLOOKUP(tbl_product_scores[[#This Row],[product_key]],tbl_products[[product_key]:[group_display_key]],2,FALSE),"")</f>
        <v/>
      </c>
    </row>
    <row r="544" spans="8:8" x14ac:dyDescent="0.2">
      <c r="H544" s="11" t="str">
        <f>IFERROR(VLOOKUP(tbl_product_scores[[#This Row],[product_key]],tbl_products[[product_key]:[group_display_key]],2,FALSE),"")</f>
        <v/>
      </c>
    </row>
    <row r="545" spans="8:8" x14ac:dyDescent="0.2">
      <c r="H545" s="11" t="str">
        <f>IFERROR(VLOOKUP(tbl_product_scores[[#This Row],[product_key]],tbl_products[[product_key]:[group_display_key]],2,FALSE),"")</f>
        <v/>
      </c>
    </row>
    <row r="546" spans="8:8" x14ac:dyDescent="0.2">
      <c r="H546" s="11" t="str">
        <f>IFERROR(VLOOKUP(tbl_product_scores[[#This Row],[product_key]],tbl_products[[product_key]:[group_display_key]],2,FALSE),"")</f>
        <v/>
      </c>
    </row>
    <row r="547" spans="8:8" x14ac:dyDescent="0.2">
      <c r="H547" s="11" t="str">
        <f>IFERROR(VLOOKUP(tbl_product_scores[[#This Row],[product_key]],tbl_products[[product_key]:[group_display_key]],2,FALSE),"")</f>
        <v/>
      </c>
    </row>
    <row r="548" spans="8:8" x14ac:dyDescent="0.2">
      <c r="H548" s="11" t="str">
        <f>IFERROR(VLOOKUP(tbl_product_scores[[#This Row],[product_key]],tbl_products[[product_key]:[group_display_key]],2,FALSE),"")</f>
        <v/>
      </c>
    </row>
    <row r="549" spans="8:8" x14ac:dyDescent="0.2">
      <c r="H549" s="11" t="str">
        <f>IFERROR(VLOOKUP(tbl_product_scores[[#This Row],[product_key]],tbl_products[[product_key]:[group_display_key]],2,FALSE),"")</f>
        <v/>
      </c>
    </row>
    <row r="550" spans="8:8" x14ac:dyDescent="0.2">
      <c r="H550" s="11" t="str">
        <f>IFERROR(VLOOKUP(tbl_product_scores[[#This Row],[product_key]],tbl_products[[product_key]:[group_display_key]],2,FALSE),"")</f>
        <v/>
      </c>
    </row>
    <row r="551" spans="8:8" x14ac:dyDescent="0.2">
      <c r="H551" s="11" t="str">
        <f>IFERROR(VLOOKUP(tbl_product_scores[[#This Row],[product_key]],tbl_products[[product_key]:[group_display_key]],2,FALSE),"")</f>
        <v/>
      </c>
    </row>
    <row r="552" spans="8:8" x14ac:dyDescent="0.2">
      <c r="H552" s="11" t="str">
        <f>IFERROR(VLOOKUP(tbl_product_scores[[#This Row],[product_key]],tbl_products[[product_key]:[group_display_key]],2,FALSE),"")</f>
        <v/>
      </c>
    </row>
    <row r="553" spans="8:8" x14ac:dyDescent="0.2">
      <c r="H553" s="11" t="str">
        <f>IFERROR(VLOOKUP(tbl_product_scores[[#This Row],[product_key]],tbl_products[[product_key]:[group_display_key]],2,FALSE),"")</f>
        <v/>
      </c>
    </row>
    <row r="554" spans="8:8" x14ac:dyDescent="0.2">
      <c r="H554" s="11" t="str">
        <f>IFERROR(VLOOKUP(tbl_product_scores[[#This Row],[product_key]],tbl_products[[product_key]:[group_display_key]],2,FALSE),"")</f>
        <v/>
      </c>
    </row>
    <row r="555" spans="8:8" x14ac:dyDescent="0.2">
      <c r="H555" s="11" t="str">
        <f>IFERROR(VLOOKUP(tbl_product_scores[[#This Row],[product_key]],tbl_products[[product_key]:[group_display_key]],2,FALSE),"")</f>
        <v/>
      </c>
    </row>
    <row r="556" spans="8:8" x14ac:dyDescent="0.2">
      <c r="H556" s="11" t="str">
        <f>IFERROR(VLOOKUP(tbl_product_scores[[#This Row],[product_key]],tbl_products[[product_key]:[group_display_key]],2,FALSE),"")</f>
        <v/>
      </c>
    </row>
    <row r="557" spans="8:8" x14ac:dyDescent="0.2">
      <c r="H557" s="11" t="str">
        <f>IFERROR(VLOOKUP(tbl_product_scores[[#This Row],[product_key]],tbl_products[[product_key]:[group_display_key]],2,FALSE),"")</f>
        <v/>
      </c>
    </row>
    <row r="558" spans="8:8" x14ac:dyDescent="0.2">
      <c r="H558" s="11" t="str">
        <f>IFERROR(VLOOKUP(tbl_product_scores[[#This Row],[product_key]],tbl_products[[product_key]:[group_display_key]],2,FALSE),"")</f>
        <v/>
      </c>
    </row>
    <row r="559" spans="8:8" x14ac:dyDescent="0.2">
      <c r="H559" s="11" t="str">
        <f>IFERROR(VLOOKUP(tbl_product_scores[[#This Row],[product_key]],tbl_products[[product_key]:[group_display_key]],2,FALSE),"")</f>
        <v/>
      </c>
    </row>
    <row r="560" spans="8:8" x14ac:dyDescent="0.2">
      <c r="H560" s="11" t="str">
        <f>IFERROR(VLOOKUP(tbl_product_scores[[#This Row],[product_key]],tbl_products[[product_key]:[group_display_key]],2,FALSE),"")</f>
        <v/>
      </c>
    </row>
    <row r="561" spans="8:8" x14ac:dyDescent="0.2">
      <c r="H561" s="11" t="str">
        <f>IFERROR(VLOOKUP(tbl_product_scores[[#This Row],[product_key]],tbl_products[[product_key]:[group_display_key]],2,FALSE),"")</f>
        <v/>
      </c>
    </row>
    <row r="562" spans="8:8" x14ac:dyDescent="0.2">
      <c r="H562" s="11" t="str">
        <f>IFERROR(VLOOKUP(tbl_product_scores[[#This Row],[product_key]],tbl_products[[product_key]:[group_display_key]],2,FALSE),"")</f>
        <v/>
      </c>
    </row>
    <row r="563" spans="8:8" x14ac:dyDescent="0.2">
      <c r="H563" s="11" t="str">
        <f>IFERROR(VLOOKUP(tbl_product_scores[[#This Row],[product_key]],tbl_products[[product_key]:[group_display_key]],2,FALSE),"")</f>
        <v/>
      </c>
    </row>
    <row r="564" spans="8:8" x14ac:dyDescent="0.2">
      <c r="H564" s="11" t="str">
        <f>IFERROR(VLOOKUP(tbl_product_scores[[#This Row],[product_key]],tbl_products[[product_key]:[group_display_key]],2,FALSE),"")</f>
        <v/>
      </c>
    </row>
    <row r="565" spans="8:8" x14ac:dyDescent="0.2">
      <c r="H565" s="11" t="str">
        <f>IFERROR(VLOOKUP(tbl_product_scores[[#This Row],[product_key]],tbl_products[[product_key]:[group_display_key]],2,FALSE),"")</f>
        <v/>
      </c>
    </row>
    <row r="566" spans="8:8" x14ac:dyDescent="0.2">
      <c r="H566" s="11" t="str">
        <f>IFERROR(VLOOKUP(tbl_product_scores[[#This Row],[product_key]],tbl_products[[product_key]:[group_display_key]],2,FALSE),"")</f>
        <v/>
      </c>
    </row>
    <row r="567" spans="8:8" x14ac:dyDescent="0.2">
      <c r="H567" s="11" t="str">
        <f>IFERROR(VLOOKUP(tbl_product_scores[[#This Row],[product_key]],tbl_products[[product_key]:[group_display_key]],2,FALSE),"")</f>
        <v/>
      </c>
    </row>
    <row r="568" spans="8:8" x14ac:dyDescent="0.2">
      <c r="H568" s="11" t="str">
        <f>IFERROR(VLOOKUP(tbl_product_scores[[#This Row],[product_key]],tbl_products[[product_key]:[group_display_key]],2,FALSE),"")</f>
        <v/>
      </c>
    </row>
    <row r="569" spans="8:8" x14ac:dyDescent="0.2">
      <c r="H569" s="11" t="str">
        <f>IFERROR(VLOOKUP(tbl_product_scores[[#This Row],[product_key]],tbl_products[[product_key]:[group_display_key]],2,FALSE),"")</f>
        <v/>
      </c>
    </row>
    <row r="570" spans="8:8" x14ac:dyDescent="0.2">
      <c r="H570" s="11" t="str">
        <f>IFERROR(VLOOKUP(tbl_product_scores[[#This Row],[product_key]],tbl_products[[product_key]:[group_display_key]],2,FALSE),"")</f>
        <v/>
      </c>
    </row>
    <row r="571" spans="8:8" x14ac:dyDescent="0.2">
      <c r="H571" s="11" t="str">
        <f>IFERROR(VLOOKUP(tbl_product_scores[[#This Row],[product_key]],tbl_products[[product_key]:[group_display_key]],2,FALSE),"")</f>
        <v/>
      </c>
    </row>
    <row r="572" spans="8:8" x14ac:dyDescent="0.2">
      <c r="H572" s="11" t="str">
        <f>IFERROR(VLOOKUP(tbl_product_scores[[#This Row],[product_key]],tbl_products[[product_key]:[group_display_key]],2,FALSE),"")</f>
        <v/>
      </c>
    </row>
    <row r="573" spans="8:8" x14ac:dyDescent="0.2">
      <c r="H573" s="11" t="str">
        <f>IFERROR(VLOOKUP(tbl_product_scores[[#This Row],[product_key]],tbl_products[[product_key]:[group_display_key]],2,FALSE),"")</f>
        <v/>
      </c>
    </row>
    <row r="574" spans="8:8" x14ac:dyDescent="0.2">
      <c r="H574" s="11" t="str">
        <f>IFERROR(VLOOKUP(tbl_product_scores[[#This Row],[product_key]],tbl_products[[product_key]:[group_display_key]],2,FALSE),"")</f>
        <v/>
      </c>
    </row>
    <row r="575" spans="8:8" x14ac:dyDescent="0.2">
      <c r="H575" s="11" t="str">
        <f>IFERROR(VLOOKUP(tbl_product_scores[[#This Row],[product_key]],tbl_products[[product_key]:[group_display_key]],2,FALSE),"")</f>
        <v/>
      </c>
    </row>
    <row r="576" spans="8:8" x14ac:dyDescent="0.2">
      <c r="H576" s="11" t="str">
        <f>IFERROR(VLOOKUP(tbl_product_scores[[#This Row],[product_key]],tbl_products[[product_key]:[group_display_key]],2,FALSE),"")</f>
        <v/>
      </c>
    </row>
    <row r="577" spans="8:8" x14ac:dyDescent="0.2">
      <c r="H577" s="11" t="str">
        <f>IFERROR(VLOOKUP(tbl_product_scores[[#This Row],[product_key]],tbl_products[[product_key]:[group_display_key]],2,FALSE),"")</f>
        <v/>
      </c>
    </row>
    <row r="578" spans="8:8" x14ac:dyDescent="0.2">
      <c r="H578" s="11" t="str">
        <f>IFERROR(VLOOKUP(tbl_product_scores[[#This Row],[product_key]],tbl_products[[product_key]:[group_display_key]],2,FALSE),"")</f>
        <v/>
      </c>
    </row>
    <row r="579" spans="8:8" x14ac:dyDescent="0.2">
      <c r="H579" s="11" t="str">
        <f>IFERROR(VLOOKUP(tbl_product_scores[[#This Row],[product_key]],tbl_products[[product_key]:[group_display_key]],2,FALSE),"")</f>
        <v/>
      </c>
    </row>
    <row r="580" spans="8:8" x14ac:dyDescent="0.2">
      <c r="H580" s="11" t="str">
        <f>IFERROR(VLOOKUP(tbl_product_scores[[#This Row],[product_key]],tbl_products[[product_key]:[group_display_key]],2,FALSE),"")</f>
        <v/>
      </c>
    </row>
    <row r="581" spans="8:8" x14ac:dyDescent="0.2">
      <c r="H581" s="11" t="str">
        <f>IFERROR(VLOOKUP(tbl_product_scores[[#This Row],[product_key]],tbl_products[[product_key]:[group_display_key]],2,FALSE),"")</f>
        <v/>
      </c>
    </row>
    <row r="582" spans="8:8" x14ac:dyDescent="0.2">
      <c r="H582" s="11" t="str">
        <f>IFERROR(VLOOKUP(tbl_product_scores[[#This Row],[product_key]],tbl_products[[product_key]:[group_display_key]],2,FALSE),"")</f>
        <v/>
      </c>
    </row>
    <row r="583" spans="8:8" x14ac:dyDescent="0.2">
      <c r="H583" s="11" t="str">
        <f>IFERROR(VLOOKUP(tbl_product_scores[[#This Row],[product_key]],tbl_products[[product_key]:[group_display_key]],2,FALSE),"")</f>
        <v/>
      </c>
    </row>
    <row r="584" spans="8:8" x14ac:dyDescent="0.2">
      <c r="H584" s="11" t="str">
        <f>IFERROR(VLOOKUP(tbl_product_scores[[#This Row],[product_key]],tbl_products[[product_key]:[group_display_key]],2,FALSE),"")</f>
        <v/>
      </c>
    </row>
    <row r="585" spans="8:8" x14ac:dyDescent="0.2">
      <c r="H585" s="11" t="str">
        <f>IFERROR(VLOOKUP(tbl_product_scores[[#This Row],[product_key]],tbl_products[[product_key]:[group_display_key]],2,FALSE),"")</f>
        <v/>
      </c>
    </row>
    <row r="586" spans="8:8" x14ac:dyDescent="0.2">
      <c r="H586" s="11" t="str">
        <f>IFERROR(VLOOKUP(tbl_product_scores[[#This Row],[product_key]],tbl_products[[product_key]:[group_display_key]],2,FALSE),"")</f>
        <v/>
      </c>
    </row>
    <row r="587" spans="8:8" x14ac:dyDescent="0.2">
      <c r="H587" s="11" t="str">
        <f>IFERROR(VLOOKUP(tbl_product_scores[[#This Row],[product_key]],tbl_products[[product_key]:[group_display_key]],2,FALSE),"")</f>
        <v/>
      </c>
    </row>
    <row r="588" spans="8:8" x14ac:dyDescent="0.2">
      <c r="H588" s="11" t="str">
        <f>IFERROR(VLOOKUP(tbl_product_scores[[#This Row],[product_key]],tbl_products[[product_key]:[group_display_key]],2,FALSE),"")</f>
        <v/>
      </c>
    </row>
    <row r="589" spans="8:8" x14ac:dyDescent="0.2">
      <c r="H589" s="11" t="str">
        <f>IFERROR(VLOOKUP(tbl_product_scores[[#This Row],[product_key]],tbl_products[[product_key]:[group_display_key]],2,FALSE),"")</f>
        <v/>
      </c>
    </row>
    <row r="590" spans="8:8" x14ac:dyDescent="0.2">
      <c r="H590" s="11" t="str">
        <f>IFERROR(VLOOKUP(tbl_product_scores[[#This Row],[product_key]],tbl_products[[product_key]:[group_display_key]],2,FALSE),"")</f>
        <v/>
      </c>
    </row>
    <row r="591" spans="8:8" x14ac:dyDescent="0.2">
      <c r="H591" s="11" t="str">
        <f>IFERROR(VLOOKUP(tbl_product_scores[[#This Row],[product_key]],tbl_products[[product_key]:[group_display_key]],2,FALSE),"")</f>
        <v/>
      </c>
    </row>
    <row r="592" spans="8:8" x14ac:dyDescent="0.2">
      <c r="H592" s="11" t="str">
        <f>IFERROR(VLOOKUP(tbl_product_scores[[#This Row],[product_key]],tbl_products[[product_key]:[group_display_key]],2,FALSE),"")</f>
        <v/>
      </c>
    </row>
    <row r="593" spans="8:8" x14ac:dyDescent="0.2">
      <c r="H593" s="11" t="str">
        <f>IFERROR(VLOOKUP(tbl_product_scores[[#This Row],[product_key]],tbl_products[[product_key]:[group_display_key]],2,FALSE),"")</f>
        <v/>
      </c>
    </row>
    <row r="594" spans="8:8" x14ac:dyDescent="0.2">
      <c r="H594" s="11" t="str">
        <f>IFERROR(VLOOKUP(tbl_product_scores[[#This Row],[product_key]],tbl_products[[product_key]:[group_display_key]],2,FALSE),"")</f>
        <v/>
      </c>
    </row>
    <row r="595" spans="8:8" x14ac:dyDescent="0.2">
      <c r="H595" s="11" t="str">
        <f>IFERROR(VLOOKUP(tbl_product_scores[[#This Row],[product_key]],tbl_products[[product_key]:[group_display_key]],2,FALSE),"")</f>
        <v/>
      </c>
    </row>
    <row r="596" spans="8:8" x14ac:dyDescent="0.2">
      <c r="H596" s="11" t="str">
        <f>IFERROR(VLOOKUP(tbl_product_scores[[#This Row],[product_key]],tbl_products[[product_key]:[group_display_key]],2,FALSE),"")</f>
        <v/>
      </c>
    </row>
    <row r="597" spans="8:8" x14ac:dyDescent="0.2">
      <c r="H597" s="11" t="str">
        <f>IFERROR(VLOOKUP(tbl_product_scores[[#This Row],[product_key]],tbl_products[[product_key]:[group_display_key]],2,FALSE),"")</f>
        <v/>
      </c>
    </row>
    <row r="598" spans="8:8" x14ac:dyDescent="0.2">
      <c r="H598" s="11" t="str">
        <f>IFERROR(VLOOKUP(tbl_product_scores[[#This Row],[product_key]],tbl_products[[product_key]:[group_display_key]],2,FALSE),"")</f>
        <v/>
      </c>
    </row>
    <row r="599" spans="8:8" x14ac:dyDescent="0.2">
      <c r="H599" s="11" t="str">
        <f>IFERROR(VLOOKUP(tbl_product_scores[[#This Row],[product_key]],tbl_products[[product_key]:[group_display_key]],2,FALSE),"")</f>
        <v/>
      </c>
    </row>
    <row r="600" spans="8:8" x14ac:dyDescent="0.2">
      <c r="H600" s="11" t="str">
        <f>IFERROR(VLOOKUP(tbl_product_scores[[#This Row],[product_key]],tbl_products[[product_key]:[group_display_key]],2,FALSE),"")</f>
        <v/>
      </c>
    </row>
    <row r="601" spans="8:8" x14ac:dyDescent="0.2">
      <c r="H601" s="11" t="str">
        <f>IFERROR(VLOOKUP(tbl_product_scores[[#This Row],[product_key]],tbl_products[[product_key]:[group_display_key]],2,FALSE),"")</f>
        <v/>
      </c>
    </row>
    <row r="602" spans="8:8" x14ac:dyDescent="0.2">
      <c r="H602" s="11" t="str">
        <f>IFERROR(VLOOKUP(tbl_product_scores[[#This Row],[product_key]],tbl_products[[product_key]:[group_display_key]],2,FALSE),"")</f>
        <v/>
      </c>
    </row>
    <row r="603" spans="8:8" x14ac:dyDescent="0.2">
      <c r="H603" s="11" t="str">
        <f>IFERROR(VLOOKUP(tbl_product_scores[[#This Row],[product_key]],tbl_products[[product_key]:[group_display_key]],2,FALSE),"")</f>
        <v/>
      </c>
    </row>
    <row r="604" spans="8:8" x14ac:dyDescent="0.2">
      <c r="H604" s="11" t="str">
        <f>IFERROR(VLOOKUP(tbl_product_scores[[#This Row],[product_key]],tbl_products[[product_key]:[group_display_key]],2,FALSE),"")</f>
        <v/>
      </c>
    </row>
    <row r="605" spans="8:8" x14ac:dyDescent="0.2">
      <c r="H605" s="11" t="str">
        <f>IFERROR(VLOOKUP(tbl_product_scores[[#This Row],[product_key]],tbl_products[[product_key]:[group_display_key]],2,FALSE),"")</f>
        <v/>
      </c>
    </row>
    <row r="606" spans="8:8" x14ac:dyDescent="0.2">
      <c r="H606" s="11" t="str">
        <f>IFERROR(VLOOKUP(tbl_product_scores[[#This Row],[product_key]],tbl_products[[product_key]:[group_display_key]],2,FALSE),"")</f>
        <v/>
      </c>
    </row>
    <row r="607" spans="8:8" x14ac:dyDescent="0.2">
      <c r="H607" s="11" t="str">
        <f>IFERROR(VLOOKUP(tbl_product_scores[[#This Row],[product_key]],tbl_products[[product_key]:[group_display_key]],2,FALSE),"")</f>
        <v/>
      </c>
    </row>
    <row r="608" spans="8:8" x14ac:dyDescent="0.2">
      <c r="H608" s="11" t="str">
        <f>IFERROR(VLOOKUP(tbl_product_scores[[#This Row],[product_key]],tbl_products[[product_key]:[group_display_key]],2,FALSE),"")</f>
        <v/>
      </c>
    </row>
    <row r="609" spans="8:8" x14ac:dyDescent="0.2">
      <c r="H609" s="11" t="str">
        <f>IFERROR(VLOOKUP(tbl_product_scores[[#This Row],[product_key]],tbl_products[[product_key]:[group_display_key]],2,FALSE),"")</f>
        <v/>
      </c>
    </row>
    <row r="610" spans="8:8" x14ac:dyDescent="0.2">
      <c r="H610" s="11" t="str">
        <f>IFERROR(VLOOKUP(tbl_product_scores[[#This Row],[product_key]],tbl_products[[product_key]:[group_display_key]],2,FALSE),"")</f>
        <v/>
      </c>
    </row>
    <row r="611" spans="8:8" x14ac:dyDescent="0.2">
      <c r="H611" s="11" t="str">
        <f>IFERROR(VLOOKUP(tbl_product_scores[[#This Row],[product_key]],tbl_products[[product_key]:[group_display_key]],2,FALSE),"")</f>
        <v/>
      </c>
    </row>
    <row r="612" spans="8:8" x14ac:dyDescent="0.2">
      <c r="H612" s="11" t="str">
        <f>IFERROR(VLOOKUP(tbl_product_scores[[#This Row],[product_key]],tbl_products[[product_key]:[group_display_key]],2,FALSE),"")</f>
        <v/>
      </c>
    </row>
    <row r="613" spans="8:8" x14ac:dyDescent="0.2">
      <c r="H613" s="11" t="str">
        <f>IFERROR(VLOOKUP(tbl_product_scores[[#This Row],[product_key]],tbl_products[[product_key]:[group_display_key]],2,FALSE),"")</f>
        <v/>
      </c>
    </row>
    <row r="614" spans="8:8" x14ac:dyDescent="0.2">
      <c r="H614" s="11" t="str">
        <f>IFERROR(VLOOKUP(tbl_product_scores[[#This Row],[product_key]],tbl_products[[product_key]:[group_display_key]],2,FALSE),"")</f>
        <v/>
      </c>
    </row>
    <row r="615" spans="8:8" x14ac:dyDescent="0.2">
      <c r="H615" s="11" t="str">
        <f>IFERROR(VLOOKUP(tbl_product_scores[[#This Row],[product_key]],tbl_products[[product_key]:[group_display_key]],2,FALSE),"")</f>
        <v/>
      </c>
    </row>
    <row r="616" spans="8:8" x14ac:dyDescent="0.2">
      <c r="H616" s="11" t="str">
        <f>IFERROR(VLOOKUP(tbl_product_scores[[#This Row],[product_key]],tbl_products[[product_key]:[group_display_key]],2,FALSE),"")</f>
        <v/>
      </c>
    </row>
    <row r="617" spans="8:8" x14ac:dyDescent="0.2">
      <c r="H617" s="11" t="str">
        <f>IFERROR(VLOOKUP(tbl_product_scores[[#This Row],[product_key]],tbl_products[[product_key]:[group_display_key]],2,FALSE),"")</f>
        <v/>
      </c>
    </row>
    <row r="618" spans="8:8" x14ac:dyDescent="0.2">
      <c r="H618" s="11" t="str">
        <f>IFERROR(VLOOKUP(tbl_product_scores[[#This Row],[product_key]],tbl_products[[product_key]:[group_display_key]],2,FALSE),"")</f>
        <v/>
      </c>
    </row>
    <row r="619" spans="8:8" x14ac:dyDescent="0.2">
      <c r="H619" s="11" t="str">
        <f>IFERROR(VLOOKUP(tbl_product_scores[[#This Row],[product_key]],tbl_products[[product_key]:[group_display_key]],2,FALSE),"")</f>
        <v/>
      </c>
    </row>
    <row r="620" spans="8:8" x14ac:dyDescent="0.2">
      <c r="H620" s="11" t="str">
        <f>IFERROR(VLOOKUP(tbl_product_scores[[#This Row],[product_key]],tbl_products[[product_key]:[group_display_key]],2,FALSE),"")</f>
        <v/>
      </c>
    </row>
    <row r="621" spans="8:8" x14ac:dyDescent="0.2">
      <c r="H621" s="11" t="str">
        <f>IFERROR(VLOOKUP(tbl_product_scores[[#This Row],[product_key]],tbl_products[[product_key]:[group_display_key]],2,FALSE),"")</f>
        <v/>
      </c>
    </row>
    <row r="622" spans="8:8" x14ac:dyDescent="0.2">
      <c r="H622" s="11" t="str">
        <f>IFERROR(VLOOKUP(tbl_product_scores[[#This Row],[product_key]],tbl_products[[product_key]:[group_display_key]],2,FALSE),"")</f>
        <v/>
      </c>
    </row>
    <row r="623" spans="8:8" x14ac:dyDescent="0.2">
      <c r="H623" s="11" t="str">
        <f>IFERROR(VLOOKUP(tbl_product_scores[[#This Row],[product_key]],tbl_products[[product_key]:[group_display_key]],2,FALSE),"")</f>
        <v/>
      </c>
    </row>
    <row r="624" spans="8:8" x14ac:dyDescent="0.2">
      <c r="H624" s="11" t="str">
        <f>IFERROR(VLOOKUP(tbl_product_scores[[#This Row],[product_key]],tbl_products[[product_key]:[group_display_key]],2,FALSE),"")</f>
        <v/>
      </c>
    </row>
    <row r="625" spans="8:8" x14ac:dyDescent="0.2">
      <c r="H625" s="11" t="str">
        <f>IFERROR(VLOOKUP(tbl_product_scores[[#This Row],[product_key]],tbl_products[[product_key]:[group_display_key]],2,FALSE),"")</f>
        <v/>
      </c>
    </row>
    <row r="626" spans="8:8" x14ac:dyDescent="0.2">
      <c r="H626" s="11" t="str">
        <f>IFERROR(VLOOKUP(tbl_product_scores[[#This Row],[product_key]],tbl_products[[product_key]:[group_display_key]],2,FALSE),"")</f>
        <v/>
      </c>
    </row>
    <row r="627" spans="8:8" x14ac:dyDescent="0.2">
      <c r="H627" s="11" t="str">
        <f>IFERROR(VLOOKUP(tbl_product_scores[[#This Row],[product_key]],tbl_products[[product_key]:[group_display_key]],2,FALSE),"")</f>
        <v/>
      </c>
    </row>
    <row r="628" spans="8:8" x14ac:dyDescent="0.2">
      <c r="H628" s="11" t="str">
        <f>IFERROR(VLOOKUP(tbl_product_scores[[#This Row],[product_key]],tbl_products[[product_key]:[group_display_key]],2,FALSE),"")</f>
        <v/>
      </c>
    </row>
    <row r="629" spans="8:8" x14ac:dyDescent="0.2">
      <c r="H629" s="11" t="str">
        <f>IFERROR(VLOOKUP(tbl_product_scores[[#This Row],[product_key]],tbl_products[[product_key]:[group_display_key]],2,FALSE),"")</f>
        <v/>
      </c>
    </row>
    <row r="630" spans="8:8" x14ac:dyDescent="0.2">
      <c r="H630" s="11" t="str">
        <f>IFERROR(VLOOKUP(tbl_product_scores[[#This Row],[product_key]],tbl_products[[product_key]:[group_display_key]],2,FALSE),"")</f>
        <v/>
      </c>
    </row>
    <row r="631" spans="8:8" x14ac:dyDescent="0.2">
      <c r="H631" s="11" t="str">
        <f>IFERROR(VLOOKUP(tbl_product_scores[[#This Row],[product_key]],tbl_products[[product_key]:[group_display_key]],2,FALSE),"")</f>
        <v/>
      </c>
    </row>
    <row r="632" spans="8:8" x14ac:dyDescent="0.2">
      <c r="H632" s="11" t="str">
        <f>IFERROR(VLOOKUP(tbl_product_scores[[#This Row],[product_key]],tbl_products[[product_key]:[group_display_key]],2,FALSE),"")</f>
        <v/>
      </c>
    </row>
    <row r="633" spans="8:8" x14ac:dyDescent="0.2">
      <c r="H633" s="11" t="str">
        <f>IFERROR(VLOOKUP(tbl_product_scores[[#This Row],[product_key]],tbl_products[[product_key]:[group_display_key]],2,FALSE),"")</f>
        <v/>
      </c>
    </row>
    <row r="634" spans="8:8" x14ac:dyDescent="0.2">
      <c r="H634" s="11" t="str">
        <f>IFERROR(VLOOKUP(tbl_product_scores[[#This Row],[product_key]],tbl_products[[product_key]:[group_display_key]],2,FALSE),"")</f>
        <v/>
      </c>
    </row>
    <row r="635" spans="8:8" x14ac:dyDescent="0.2">
      <c r="H635" s="11" t="str">
        <f>IFERROR(VLOOKUP(tbl_product_scores[[#This Row],[product_key]],tbl_products[[product_key]:[group_display_key]],2,FALSE),"")</f>
        <v/>
      </c>
    </row>
    <row r="636" spans="8:8" x14ac:dyDescent="0.2">
      <c r="H636" s="11" t="str">
        <f>IFERROR(VLOOKUP(tbl_product_scores[[#This Row],[product_key]],tbl_products[[product_key]:[group_display_key]],2,FALSE),"")</f>
        <v/>
      </c>
    </row>
    <row r="637" spans="8:8" x14ac:dyDescent="0.2">
      <c r="H637" s="11" t="str">
        <f>IFERROR(VLOOKUP(tbl_product_scores[[#This Row],[product_key]],tbl_products[[product_key]:[group_display_key]],2,FALSE),"")</f>
        <v/>
      </c>
    </row>
    <row r="638" spans="8:8" x14ac:dyDescent="0.2">
      <c r="H638" s="11" t="str">
        <f>IFERROR(VLOOKUP(tbl_product_scores[[#This Row],[product_key]],tbl_products[[product_key]:[group_display_key]],2,FALSE),"")</f>
        <v/>
      </c>
    </row>
    <row r="639" spans="8:8" x14ac:dyDescent="0.2">
      <c r="H639" s="11" t="str">
        <f>IFERROR(VLOOKUP(tbl_product_scores[[#This Row],[product_key]],tbl_products[[product_key]:[group_display_key]],2,FALSE),"")</f>
        <v/>
      </c>
    </row>
    <row r="640" spans="8:8" x14ac:dyDescent="0.2">
      <c r="H640" s="11" t="str">
        <f>IFERROR(VLOOKUP(tbl_product_scores[[#This Row],[product_key]],tbl_products[[product_key]:[group_display_key]],2,FALSE),"")</f>
        <v/>
      </c>
    </row>
    <row r="641" spans="8:8" x14ac:dyDescent="0.2">
      <c r="H641" s="11" t="str">
        <f>IFERROR(VLOOKUP(tbl_product_scores[[#This Row],[product_key]],tbl_products[[product_key]:[group_display_key]],2,FALSE),"")</f>
        <v/>
      </c>
    </row>
    <row r="642" spans="8:8" x14ac:dyDescent="0.2">
      <c r="H642" s="11" t="str">
        <f>IFERROR(VLOOKUP(tbl_product_scores[[#This Row],[product_key]],tbl_products[[product_key]:[group_display_key]],2,FALSE),"")</f>
        <v/>
      </c>
    </row>
    <row r="643" spans="8:8" x14ac:dyDescent="0.2">
      <c r="H643" s="11" t="str">
        <f>IFERROR(VLOOKUP(tbl_product_scores[[#This Row],[product_key]],tbl_products[[product_key]:[group_display_key]],2,FALSE),"")</f>
        <v/>
      </c>
    </row>
    <row r="644" spans="8:8" x14ac:dyDescent="0.2">
      <c r="H644" s="11" t="str">
        <f>IFERROR(VLOOKUP(tbl_product_scores[[#This Row],[product_key]],tbl_products[[product_key]:[group_display_key]],2,FALSE),"")</f>
        <v/>
      </c>
    </row>
    <row r="645" spans="8:8" x14ac:dyDescent="0.2">
      <c r="H645" s="11" t="str">
        <f>IFERROR(VLOOKUP(tbl_product_scores[[#This Row],[product_key]],tbl_products[[product_key]:[group_display_key]],2,FALSE),"")</f>
        <v/>
      </c>
    </row>
    <row r="646" spans="8:8" x14ac:dyDescent="0.2">
      <c r="H646" s="11" t="str">
        <f>IFERROR(VLOOKUP(tbl_product_scores[[#This Row],[product_key]],tbl_products[[product_key]:[group_display_key]],2,FALSE),"")</f>
        <v/>
      </c>
    </row>
    <row r="647" spans="8:8" x14ac:dyDescent="0.2">
      <c r="H647" s="11" t="str">
        <f>IFERROR(VLOOKUP(tbl_product_scores[[#This Row],[product_key]],tbl_products[[product_key]:[group_display_key]],2,FALSE),"")</f>
        <v/>
      </c>
    </row>
    <row r="648" spans="8:8" x14ac:dyDescent="0.2">
      <c r="H648" s="11" t="str">
        <f>IFERROR(VLOOKUP(tbl_product_scores[[#This Row],[product_key]],tbl_products[[product_key]:[group_display_key]],2,FALSE),"")</f>
        <v/>
      </c>
    </row>
    <row r="649" spans="8:8" x14ac:dyDescent="0.2">
      <c r="H649" s="11" t="str">
        <f>IFERROR(VLOOKUP(tbl_product_scores[[#This Row],[product_key]],tbl_products[[product_key]:[group_display_key]],2,FALSE),"")</f>
        <v/>
      </c>
    </row>
    <row r="650" spans="8:8" x14ac:dyDescent="0.2">
      <c r="H650" s="11" t="str">
        <f>IFERROR(VLOOKUP(tbl_product_scores[[#This Row],[product_key]],tbl_products[[product_key]:[group_display_key]],2,FALSE),"")</f>
        <v/>
      </c>
    </row>
    <row r="651" spans="8:8" x14ac:dyDescent="0.2">
      <c r="H651" s="11" t="str">
        <f>IFERROR(VLOOKUP(tbl_product_scores[[#This Row],[product_key]],tbl_products[[product_key]:[group_display_key]],2,FALSE),"")</f>
        <v/>
      </c>
    </row>
    <row r="652" spans="8:8" x14ac:dyDescent="0.2">
      <c r="H652" s="11" t="str">
        <f>IFERROR(VLOOKUP(tbl_product_scores[[#This Row],[product_key]],tbl_products[[product_key]:[group_display_key]],2,FALSE),"")</f>
        <v/>
      </c>
    </row>
    <row r="653" spans="8:8" x14ac:dyDescent="0.2">
      <c r="H653" s="11" t="str">
        <f>IFERROR(VLOOKUP(tbl_product_scores[[#This Row],[product_key]],tbl_products[[product_key]:[group_display_key]],2,FALSE),"")</f>
        <v/>
      </c>
    </row>
    <row r="654" spans="8:8" x14ac:dyDescent="0.2">
      <c r="H654" s="11" t="str">
        <f>IFERROR(VLOOKUP(tbl_product_scores[[#This Row],[product_key]],tbl_products[[product_key]:[group_display_key]],2,FALSE),"")</f>
        <v/>
      </c>
    </row>
    <row r="655" spans="8:8" x14ac:dyDescent="0.2">
      <c r="H655" s="11" t="str">
        <f>IFERROR(VLOOKUP(tbl_product_scores[[#This Row],[product_key]],tbl_products[[product_key]:[group_display_key]],2,FALSE),"")</f>
        <v/>
      </c>
    </row>
    <row r="656" spans="8:8" x14ac:dyDescent="0.2">
      <c r="H656" s="11" t="str">
        <f>IFERROR(VLOOKUP(tbl_product_scores[[#This Row],[product_key]],tbl_products[[product_key]:[group_display_key]],2,FALSE),"")</f>
        <v/>
      </c>
    </row>
    <row r="657" spans="8:8" x14ac:dyDescent="0.2">
      <c r="H657" s="11" t="str">
        <f>IFERROR(VLOOKUP(tbl_product_scores[[#This Row],[product_key]],tbl_products[[product_key]:[group_display_key]],2,FALSE),"")</f>
        <v/>
      </c>
    </row>
    <row r="658" spans="8:8" x14ac:dyDescent="0.2">
      <c r="H658" s="11" t="str">
        <f>IFERROR(VLOOKUP(tbl_product_scores[[#This Row],[product_key]],tbl_products[[product_key]:[group_display_key]],2,FALSE),"")</f>
        <v/>
      </c>
    </row>
    <row r="659" spans="8:8" x14ac:dyDescent="0.2">
      <c r="H659" s="11" t="str">
        <f>IFERROR(VLOOKUP(tbl_product_scores[[#This Row],[product_key]],tbl_products[[product_key]:[group_display_key]],2,FALSE),"")</f>
        <v/>
      </c>
    </row>
    <row r="660" spans="8:8" x14ac:dyDescent="0.2">
      <c r="H660" s="11" t="str">
        <f>IFERROR(VLOOKUP(tbl_product_scores[[#This Row],[product_key]],tbl_products[[product_key]:[group_display_key]],2,FALSE),"")</f>
        <v/>
      </c>
    </row>
    <row r="661" spans="8:8" x14ac:dyDescent="0.2">
      <c r="H661" s="11" t="str">
        <f>IFERROR(VLOOKUP(tbl_product_scores[[#This Row],[product_key]],tbl_products[[product_key]:[group_display_key]],2,FALSE),"")</f>
        <v/>
      </c>
    </row>
    <row r="662" spans="8:8" x14ac:dyDescent="0.2">
      <c r="H662" s="11" t="str">
        <f>IFERROR(VLOOKUP(tbl_product_scores[[#This Row],[product_key]],tbl_products[[product_key]:[group_display_key]],2,FALSE),"")</f>
        <v/>
      </c>
    </row>
    <row r="663" spans="8:8" x14ac:dyDescent="0.2">
      <c r="H663" s="11" t="str">
        <f>IFERROR(VLOOKUP(tbl_product_scores[[#This Row],[product_key]],tbl_products[[product_key]:[group_display_key]],2,FALSE),"")</f>
        <v/>
      </c>
    </row>
    <row r="664" spans="8:8" x14ac:dyDescent="0.2">
      <c r="H664" s="11" t="str">
        <f>IFERROR(VLOOKUP(tbl_product_scores[[#This Row],[product_key]],tbl_products[[product_key]:[group_display_key]],2,FALSE),"")</f>
        <v/>
      </c>
    </row>
    <row r="665" spans="8:8" x14ac:dyDescent="0.2">
      <c r="H665" s="11" t="str">
        <f>IFERROR(VLOOKUP(tbl_product_scores[[#This Row],[product_key]],tbl_products[[product_key]:[group_display_key]],2,FALSE),"")</f>
        <v/>
      </c>
    </row>
    <row r="666" spans="8:8" x14ac:dyDescent="0.2">
      <c r="H666" s="11" t="str">
        <f>IFERROR(VLOOKUP(tbl_product_scores[[#This Row],[product_key]],tbl_products[[product_key]:[group_display_key]],2,FALSE),"")</f>
        <v/>
      </c>
    </row>
    <row r="667" spans="8:8" x14ac:dyDescent="0.2">
      <c r="H667" s="11" t="str">
        <f>IFERROR(VLOOKUP(tbl_product_scores[[#This Row],[product_key]],tbl_products[[product_key]:[group_display_key]],2,FALSE),"")</f>
        <v/>
      </c>
    </row>
    <row r="668" spans="8:8" x14ac:dyDescent="0.2">
      <c r="H668" s="11" t="str">
        <f>IFERROR(VLOOKUP(tbl_product_scores[[#This Row],[product_key]],tbl_products[[product_key]:[group_display_key]],2,FALSE),"")</f>
        <v/>
      </c>
    </row>
    <row r="669" spans="8:8" x14ac:dyDescent="0.2">
      <c r="H669" s="11" t="str">
        <f>IFERROR(VLOOKUP(tbl_product_scores[[#This Row],[product_key]],tbl_products[[product_key]:[group_display_key]],2,FALSE),"")</f>
        <v/>
      </c>
    </row>
    <row r="670" spans="8:8" x14ac:dyDescent="0.2">
      <c r="H670" s="11" t="str">
        <f>IFERROR(VLOOKUP(tbl_product_scores[[#This Row],[product_key]],tbl_products[[product_key]:[group_display_key]],2,FALSE),"")</f>
        <v/>
      </c>
    </row>
    <row r="671" spans="8:8" x14ac:dyDescent="0.2">
      <c r="H671" s="11" t="str">
        <f>IFERROR(VLOOKUP(tbl_product_scores[[#This Row],[product_key]],tbl_products[[product_key]:[group_display_key]],2,FALSE),"")</f>
        <v/>
      </c>
    </row>
    <row r="672" spans="8:8" x14ac:dyDescent="0.2">
      <c r="H672" s="11" t="str">
        <f>IFERROR(VLOOKUP(tbl_product_scores[[#This Row],[product_key]],tbl_products[[product_key]:[group_display_key]],2,FALSE),"")</f>
        <v/>
      </c>
    </row>
    <row r="673" spans="8:8" x14ac:dyDescent="0.2">
      <c r="H673" s="11" t="str">
        <f>IFERROR(VLOOKUP(tbl_product_scores[[#This Row],[product_key]],tbl_products[[product_key]:[group_display_key]],2,FALSE),"")</f>
        <v/>
      </c>
    </row>
    <row r="674" spans="8:8" x14ac:dyDescent="0.2">
      <c r="H674" s="11" t="str">
        <f>IFERROR(VLOOKUP(tbl_product_scores[[#This Row],[product_key]],tbl_products[[product_key]:[group_display_key]],2,FALSE),"")</f>
        <v/>
      </c>
    </row>
    <row r="675" spans="8:8" x14ac:dyDescent="0.2">
      <c r="H675" s="11" t="str">
        <f>IFERROR(VLOOKUP(tbl_product_scores[[#This Row],[product_key]],tbl_products[[product_key]:[group_display_key]],2,FALSE),"")</f>
        <v/>
      </c>
    </row>
    <row r="676" spans="8:8" x14ac:dyDescent="0.2">
      <c r="H676" s="11" t="str">
        <f>IFERROR(VLOOKUP(tbl_product_scores[[#This Row],[product_key]],tbl_products[[product_key]:[group_display_key]],2,FALSE),"")</f>
        <v/>
      </c>
    </row>
    <row r="677" spans="8:8" x14ac:dyDescent="0.2">
      <c r="H677" s="11" t="str">
        <f>IFERROR(VLOOKUP(tbl_product_scores[[#This Row],[product_key]],tbl_products[[product_key]:[group_display_key]],2,FALSE),"")</f>
        <v/>
      </c>
    </row>
    <row r="678" spans="8:8" x14ac:dyDescent="0.2">
      <c r="H678" s="11" t="str">
        <f>IFERROR(VLOOKUP(tbl_product_scores[[#This Row],[product_key]],tbl_products[[product_key]:[group_display_key]],2,FALSE),"")</f>
        <v/>
      </c>
    </row>
    <row r="679" spans="8:8" x14ac:dyDescent="0.2">
      <c r="H679" s="11" t="str">
        <f>IFERROR(VLOOKUP(tbl_product_scores[[#This Row],[product_key]],tbl_products[[product_key]:[group_display_key]],2,FALSE),"")</f>
        <v/>
      </c>
    </row>
    <row r="680" spans="8:8" x14ac:dyDescent="0.2">
      <c r="H680" s="11" t="str">
        <f>IFERROR(VLOOKUP(tbl_product_scores[[#This Row],[product_key]],tbl_products[[product_key]:[group_display_key]],2,FALSE),"")</f>
        <v/>
      </c>
    </row>
    <row r="681" spans="8:8" x14ac:dyDescent="0.2">
      <c r="H681" s="11" t="str">
        <f>IFERROR(VLOOKUP(tbl_product_scores[[#This Row],[product_key]],tbl_products[[product_key]:[group_display_key]],2,FALSE),"")</f>
        <v/>
      </c>
    </row>
    <row r="682" spans="8:8" x14ac:dyDescent="0.2">
      <c r="H682" s="11" t="str">
        <f>IFERROR(VLOOKUP(tbl_product_scores[[#This Row],[product_key]],tbl_products[[product_key]:[group_display_key]],2,FALSE),"")</f>
        <v/>
      </c>
    </row>
    <row r="683" spans="8:8" x14ac:dyDescent="0.2">
      <c r="H683" s="11" t="str">
        <f>IFERROR(VLOOKUP(tbl_product_scores[[#This Row],[product_key]],tbl_products[[product_key]:[group_display_key]],2,FALSE),"")</f>
        <v/>
      </c>
    </row>
    <row r="684" spans="8:8" x14ac:dyDescent="0.2">
      <c r="H684" s="11" t="str">
        <f>IFERROR(VLOOKUP(tbl_product_scores[[#This Row],[product_key]],tbl_products[[product_key]:[group_display_key]],2,FALSE),"")</f>
        <v/>
      </c>
    </row>
    <row r="685" spans="8:8" x14ac:dyDescent="0.2">
      <c r="H685" s="11" t="str">
        <f>IFERROR(VLOOKUP(tbl_product_scores[[#This Row],[product_key]],tbl_products[[product_key]:[group_display_key]],2,FALSE),"")</f>
        <v/>
      </c>
    </row>
    <row r="686" spans="8:8" x14ac:dyDescent="0.2">
      <c r="H686" s="11" t="str">
        <f>IFERROR(VLOOKUP(tbl_product_scores[[#This Row],[product_key]],tbl_products[[product_key]:[group_display_key]],2,FALSE),"")</f>
        <v/>
      </c>
    </row>
    <row r="687" spans="8:8" x14ac:dyDescent="0.2">
      <c r="H687" s="11" t="str">
        <f>IFERROR(VLOOKUP(tbl_product_scores[[#This Row],[product_key]],tbl_products[[product_key]:[group_display_key]],2,FALSE),"")</f>
        <v/>
      </c>
    </row>
    <row r="688" spans="8:8" x14ac:dyDescent="0.2">
      <c r="H688" s="11" t="str">
        <f>IFERROR(VLOOKUP(tbl_product_scores[[#This Row],[product_key]],tbl_products[[product_key]:[group_display_key]],2,FALSE),"")</f>
        <v/>
      </c>
    </row>
    <row r="689" spans="8:8" x14ac:dyDescent="0.2">
      <c r="H689" s="11" t="str">
        <f>IFERROR(VLOOKUP(tbl_product_scores[[#This Row],[product_key]],tbl_products[[product_key]:[group_display_key]],2,FALSE),"")</f>
        <v/>
      </c>
    </row>
    <row r="690" spans="8:8" x14ac:dyDescent="0.2">
      <c r="H690" s="11" t="str">
        <f>IFERROR(VLOOKUP(tbl_product_scores[[#This Row],[product_key]],tbl_products[[product_key]:[group_display_key]],2,FALSE),"")</f>
        <v/>
      </c>
    </row>
    <row r="691" spans="8:8" x14ac:dyDescent="0.2">
      <c r="H691" s="11" t="str">
        <f>IFERROR(VLOOKUP(tbl_product_scores[[#This Row],[product_key]],tbl_products[[product_key]:[group_display_key]],2,FALSE),"")</f>
        <v/>
      </c>
    </row>
    <row r="692" spans="8:8" x14ac:dyDescent="0.2">
      <c r="H692" s="11" t="str">
        <f>IFERROR(VLOOKUP(tbl_product_scores[[#This Row],[product_key]],tbl_products[[product_key]:[group_display_key]],2,FALSE),"")</f>
        <v/>
      </c>
    </row>
    <row r="693" spans="8:8" x14ac:dyDescent="0.2">
      <c r="H693" s="11" t="str">
        <f>IFERROR(VLOOKUP(tbl_product_scores[[#This Row],[product_key]],tbl_products[[product_key]:[group_display_key]],2,FALSE),"")</f>
        <v/>
      </c>
    </row>
    <row r="694" spans="8:8" x14ac:dyDescent="0.2">
      <c r="H694" s="11" t="str">
        <f>IFERROR(VLOOKUP(tbl_product_scores[[#This Row],[product_key]],tbl_products[[product_key]:[group_display_key]],2,FALSE),"")</f>
        <v/>
      </c>
    </row>
    <row r="695" spans="8:8" x14ac:dyDescent="0.2">
      <c r="H695" s="11" t="str">
        <f>IFERROR(VLOOKUP(tbl_product_scores[[#This Row],[product_key]],tbl_products[[product_key]:[group_display_key]],2,FALSE),"")</f>
        <v/>
      </c>
    </row>
    <row r="696" spans="8:8" x14ac:dyDescent="0.2">
      <c r="H696" s="11" t="str">
        <f>IFERROR(VLOOKUP(tbl_product_scores[[#This Row],[product_key]],tbl_products[[product_key]:[group_display_key]],2,FALSE),"")</f>
        <v/>
      </c>
    </row>
    <row r="697" spans="8:8" x14ac:dyDescent="0.2">
      <c r="H697" s="11" t="str">
        <f>IFERROR(VLOOKUP(tbl_product_scores[[#This Row],[product_key]],tbl_products[[product_key]:[group_display_key]],2,FALSE),"")</f>
        <v/>
      </c>
    </row>
    <row r="698" spans="8:8" x14ac:dyDescent="0.2">
      <c r="H698" s="11" t="str">
        <f>IFERROR(VLOOKUP(tbl_product_scores[[#This Row],[product_key]],tbl_products[[product_key]:[group_display_key]],2,FALSE),"")</f>
        <v/>
      </c>
    </row>
    <row r="699" spans="8:8" x14ac:dyDescent="0.2">
      <c r="H699" s="11" t="str">
        <f>IFERROR(VLOOKUP(tbl_product_scores[[#This Row],[product_key]],tbl_products[[product_key]:[group_display_key]],2,FALSE),"")</f>
        <v/>
      </c>
    </row>
    <row r="700" spans="8:8" x14ac:dyDescent="0.2">
      <c r="H700" s="11" t="str">
        <f>IFERROR(VLOOKUP(tbl_product_scores[[#This Row],[product_key]],tbl_products[[product_key]:[group_display_key]],2,FALSE),"")</f>
        <v/>
      </c>
    </row>
    <row r="701" spans="8:8" x14ac:dyDescent="0.2">
      <c r="H701" s="11" t="str">
        <f>IFERROR(VLOOKUP(tbl_product_scores[[#This Row],[product_key]],tbl_products[[product_key]:[group_display_key]],2,FALSE),"")</f>
        <v/>
      </c>
    </row>
    <row r="702" spans="8:8" x14ac:dyDescent="0.2">
      <c r="H702" s="11" t="str">
        <f>IFERROR(VLOOKUP(tbl_product_scores[[#This Row],[product_key]],tbl_products[[product_key]:[group_display_key]],2,FALSE),"")</f>
        <v/>
      </c>
    </row>
    <row r="703" spans="8:8" x14ac:dyDescent="0.2">
      <c r="H703" s="11" t="str">
        <f>IFERROR(VLOOKUP(tbl_product_scores[[#This Row],[product_key]],tbl_products[[product_key]:[group_display_key]],2,FALSE),"")</f>
        <v/>
      </c>
    </row>
    <row r="704" spans="8:8" x14ac:dyDescent="0.2">
      <c r="H704" s="11" t="str">
        <f>IFERROR(VLOOKUP(tbl_product_scores[[#This Row],[product_key]],tbl_products[[product_key]:[group_display_key]],2,FALSE),"")</f>
        <v/>
      </c>
    </row>
    <row r="705" spans="8:8" x14ac:dyDescent="0.2">
      <c r="H705" s="11" t="str">
        <f>IFERROR(VLOOKUP(tbl_product_scores[[#This Row],[product_key]],tbl_products[[product_key]:[group_display_key]],2,FALSE),"")</f>
        <v/>
      </c>
    </row>
    <row r="706" spans="8:8" x14ac:dyDescent="0.2">
      <c r="H706" s="11" t="str">
        <f>IFERROR(VLOOKUP(tbl_product_scores[[#This Row],[product_key]],tbl_products[[product_key]:[group_display_key]],2,FALSE),"")</f>
        <v/>
      </c>
    </row>
    <row r="707" spans="8:8" x14ac:dyDescent="0.2">
      <c r="H707" s="11" t="str">
        <f>IFERROR(VLOOKUP(tbl_product_scores[[#This Row],[product_key]],tbl_products[[product_key]:[group_display_key]],2,FALSE),"")</f>
        <v/>
      </c>
    </row>
    <row r="708" spans="8:8" x14ac:dyDescent="0.2">
      <c r="H708" s="11" t="str">
        <f>IFERROR(VLOOKUP(tbl_product_scores[[#This Row],[product_key]],tbl_products[[product_key]:[group_display_key]],2,FALSE),"")</f>
        <v/>
      </c>
    </row>
    <row r="709" spans="8:8" x14ac:dyDescent="0.2">
      <c r="H709" s="11" t="str">
        <f>IFERROR(VLOOKUP(tbl_product_scores[[#This Row],[product_key]],tbl_products[[product_key]:[group_display_key]],2,FALSE),"")</f>
        <v/>
      </c>
    </row>
    <row r="710" spans="8:8" x14ac:dyDescent="0.2">
      <c r="H710" s="11" t="str">
        <f>IFERROR(VLOOKUP(tbl_product_scores[[#This Row],[product_key]],tbl_products[[product_key]:[group_display_key]],2,FALSE),"")</f>
        <v/>
      </c>
    </row>
    <row r="711" spans="8:8" x14ac:dyDescent="0.2">
      <c r="H711" s="11" t="str">
        <f>IFERROR(VLOOKUP(tbl_product_scores[[#This Row],[product_key]],tbl_products[[product_key]:[group_display_key]],2,FALSE),"")</f>
        <v/>
      </c>
    </row>
    <row r="712" spans="8:8" x14ac:dyDescent="0.2">
      <c r="H712" s="11" t="str">
        <f>IFERROR(VLOOKUP(tbl_product_scores[[#This Row],[product_key]],tbl_products[[product_key]:[group_display_key]],2,FALSE),"")</f>
        <v/>
      </c>
    </row>
    <row r="713" spans="8:8" x14ac:dyDescent="0.2">
      <c r="H713" s="11" t="str">
        <f>IFERROR(VLOOKUP(tbl_product_scores[[#This Row],[product_key]],tbl_products[[product_key]:[group_display_key]],2,FALSE),"")</f>
        <v/>
      </c>
    </row>
    <row r="714" spans="8:8" x14ac:dyDescent="0.2">
      <c r="H714" s="11" t="str">
        <f>IFERROR(VLOOKUP(tbl_product_scores[[#This Row],[product_key]],tbl_products[[product_key]:[group_display_key]],2,FALSE),"")</f>
        <v/>
      </c>
    </row>
    <row r="715" spans="8:8" x14ac:dyDescent="0.2">
      <c r="H715" s="11" t="str">
        <f>IFERROR(VLOOKUP(tbl_product_scores[[#This Row],[product_key]],tbl_products[[product_key]:[group_display_key]],2,FALSE),"")</f>
        <v/>
      </c>
    </row>
    <row r="716" spans="8:8" x14ac:dyDescent="0.2">
      <c r="H716" s="11" t="str">
        <f>IFERROR(VLOOKUP(tbl_product_scores[[#This Row],[product_key]],tbl_products[[product_key]:[group_display_key]],2,FALSE),"")</f>
        <v/>
      </c>
    </row>
    <row r="717" spans="8:8" x14ac:dyDescent="0.2">
      <c r="H717" s="11" t="str">
        <f>IFERROR(VLOOKUP(tbl_product_scores[[#This Row],[product_key]],tbl_products[[product_key]:[group_display_key]],2,FALSE),"")</f>
        <v/>
      </c>
    </row>
    <row r="718" spans="8:8" x14ac:dyDescent="0.2">
      <c r="H718" s="11" t="str">
        <f>IFERROR(VLOOKUP(tbl_product_scores[[#This Row],[product_key]],tbl_products[[product_key]:[group_display_key]],2,FALSE),"")</f>
        <v/>
      </c>
    </row>
    <row r="719" spans="8:8" x14ac:dyDescent="0.2">
      <c r="H719" s="11" t="str">
        <f>IFERROR(VLOOKUP(tbl_product_scores[[#This Row],[product_key]],tbl_products[[product_key]:[group_display_key]],2,FALSE),"")</f>
        <v/>
      </c>
    </row>
    <row r="720" spans="8:8" x14ac:dyDescent="0.2">
      <c r="H720" s="11" t="str">
        <f>IFERROR(VLOOKUP(tbl_product_scores[[#This Row],[product_key]],tbl_products[[product_key]:[group_display_key]],2,FALSE),"")</f>
        <v/>
      </c>
    </row>
    <row r="721" spans="8:8" x14ac:dyDescent="0.2">
      <c r="H721" s="11" t="str">
        <f>IFERROR(VLOOKUP(tbl_product_scores[[#This Row],[product_key]],tbl_products[[product_key]:[group_display_key]],2,FALSE),"")</f>
        <v/>
      </c>
    </row>
    <row r="722" spans="8:8" x14ac:dyDescent="0.2">
      <c r="H722" s="11" t="str">
        <f>IFERROR(VLOOKUP(tbl_product_scores[[#This Row],[product_key]],tbl_products[[product_key]:[group_display_key]],2,FALSE),"")</f>
        <v/>
      </c>
    </row>
    <row r="723" spans="8:8" x14ac:dyDescent="0.2">
      <c r="H723" s="11" t="str">
        <f>IFERROR(VLOOKUP(tbl_product_scores[[#This Row],[product_key]],tbl_products[[product_key]:[group_display_key]],2,FALSE),"")</f>
        <v/>
      </c>
    </row>
    <row r="724" spans="8:8" x14ac:dyDescent="0.2">
      <c r="H724" s="11" t="str">
        <f>IFERROR(VLOOKUP(tbl_product_scores[[#This Row],[product_key]],tbl_products[[product_key]:[group_display_key]],2,FALSE),"")</f>
        <v/>
      </c>
    </row>
    <row r="725" spans="8:8" x14ac:dyDescent="0.2">
      <c r="H725" s="11" t="str">
        <f>IFERROR(VLOOKUP(tbl_product_scores[[#This Row],[product_key]],tbl_products[[product_key]:[group_display_key]],2,FALSE),"")</f>
        <v/>
      </c>
    </row>
    <row r="726" spans="8:8" x14ac:dyDescent="0.2">
      <c r="H726" s="11" t="str">
        <f>IFERROR(VLOOKUP(tbl_product_scores[[#This Row],[product_key]],tbl_products[[product_key]:[group_display_key]],2,FALSE),"")</f>
        <v/>
      </c>
    </row>
    <row r="727" spans="8:8" x14ac:dyDescent="0.2">
      <c r="H727" s="11" t="str">
        <f>IFERROR(VLOOKUP(tbl_product_scores[[#This Row],[product_key]],tbl_products[[product_key]:[group_display_key]],2,FALSE),"")</f>
        <v/>
      </c>
    </row>
    <row r="728" spans="8:8" x14ac:dyDescent="0.2">
      <c r="H728" s="11" t="str">
        <f>IFERROR(VLOOKUP(tbl_product_scores[[#This Row],[product_key]],tbl_products[[product_key]:[group_display_key]],2,FALSE),"")</f>
        <v/>
      </c>
    </row>
    <row r="729" spans="8:8" x14ac:dyDescent="0.2">
      <c r="H729" s="11" t="str">
        <f>IFERROR(VLOOKUP(tbl_product_scores[[#This Row],[product_key]],tbl_products[[product_key]:[group_display_key]],2,FALSE),"")</f>
        <v/>
      </c>
    </row>
    <row r="730" spans="8:8" x14ac:dyDescent="0.2">
      <c r="H730" s="11" t="str">
        <f>IFERROR(VLOOKUP(tbl_product_scores[[#This Row],[product_key]],tbl_products[[product_key]:[group_display_key]],2,FALSE),"")</f>
        <v/>
      </c>
    </row>
    <row r="731" spans="8:8" x14ac:dyDescent="0.2">
      <c r="H731" s="11" t="str">
        <f>IFERROR(VLOOKUP(tbl_product_scores[[#This Row],[product_key]],tbl_products[[product_key]:[group_display_key]],2,FALSE),"")</f>
        <v/>
      </c>
    </row>
    <row r="732" spans="8:8" x14ac:dyDescent="0.2">
      <c r="H732" s="11" t="str">
        <f>IFERROR(VLOOKUP(tbl_product_scores[[#This Row],[product_key]],tbl_products[[product_key]:[group_display_key]],2,FALSE),"")</f>
        <v/>
      </c>
    </row>
    <row r="733" spans="8:8" x14ac:dyDescent="0.2">
      <c r="H733" s="11" t="str">
        <f>IFERROR(VLOOKUP(tbl_product_scores[[#This Row],[product_key]],tbl_products[[product_key]:[group_display_key]],2,FALSE),"")</f>
        <v/>
      </c>
    </row>
    <row r="734" spans="8:8" x14ac:dyDescent="0.2">
      <c r="H734" s="11" t="str">
        <f>IFERROR(VLOOKUP(tbl_product_scores[[#This Row],[product_key]],tbl_products[[product_key]:[group_display_key]],2,FALSE),"")</f>
        <v/>
      </c>
    </row>
    <row r="735" spans="8:8" x14ac:dyDescent="0.2">
      <c r="H735" s="11" t="str">
        <f>IFERROR(VLOOKUP(tbl_product_scores[[#This Row],[product_key]],tbl_products[[product_key]:[group_display_key]],2,FALSE),"")</f>
        <v/>
      </c>
    </row>
    <row r="736" spans="8:8" x14ac:dyDescent="0.2">
      <c r="H736" s="11" t="str">
        <f>IFERROR(VLOOKUP(tbl_product_scores[[#This Row],[product_key]],tbl_products[[product_key]:[group_display_key]],2,FALSE),"")</f>
        <v/>
      </c>
    </row>
    <row r="737" spans="8:8" x14ac:dyDescent="0.2">
      <c r="H737" s="11" t="str">
        <f>IFERROR(VLOOKUP(tbl_product_scores[[#This Row],[product_key]],tbl_products[[product_key]:[group_display_key]],2,FALSE),"")</f>
        <v/>
      </c>
    </row>
    <row r="738" spans="8:8" x14ac:dyDescent="0.2">
      <c r="H738" s="11" t="str">
        <f>IFERROR(VLOOKUP(tbl_product_scores[[#This Row],[product_key]],tbl_products[[product_key]:[group_display_key]],2,FALSE),"")</f>
        <v/>
      </c>
    </row>
    <row r="739" spans="8:8" x14ac:dyDescent="0.2">
      <c r="H739" s="11" t="str">
        <f>IFERROR(VLOOKUP(tbl_product_scores[[#This Row],[product_key]],tbl_products[[product_key]:[group_display_key]],2,FALSE),"")</f>
        <v/>
      </c>
    </row>
    <row r="740" spans="8:8" x14ac:dyDescent="0.2">
      <c r="H740" s="11" t="str">
        <f>IFERROR(VLOOKUP(tbl_product_scores[[#This Row],[product_key]],tbl_products[[product_key]:[group_display_key]],2,FALSE),"")</f>
        <v/>
      </c>
    </row>
    <row r="741" spans="8:8" x14ac:dyDescent="0.2">
      <c r="H741" s="11" t="str">
        <f>IFERROR(VLOOKUP(tbl_product_scores[[#This Row],[product_key]],tbl_products[[product_key]:[group_display_key]],2,FALSE),"")</f>
        <v/>
      </c>
    </row>
    <row r="742" spans="8:8" x14ac:dyDescent="0.2">
      <c r="H742" s="11" t="str">
        <f>IFERROR(VLOOKUP(tbl_product_scores[[#This Row],[product_key]],tbl_products[[product_key]:[group_display_key]],2,FALSE),"")</f>
        <v/>
      </c>
    </row>
    <row r="743" spans="8:8" x14ac:dyDescent="0.2">
      <c r="H743" s="11" t="str">
        <f>IFERROR(VLOOKUP(tbl_product_scores[[#This Row],[product_key]],tbl_products[[product_key]:[group_display_key]],2,FALSE),"")</f>
        <v/>
      </c>
    </row>
    <row r="744" spans="8:8" x14ac:dyDescent="0.2">
      <c r="H744" s="11" t="str">
        <f>IFERROR(VLOOKUP(tbl_product_scores[[#This Row],[product_key]],tbl_products[[product_key]:[group_display_key]],2,FALSE),"")</f>
        <v/>
      </c>
    </row>
    <row r="745" spans="8:8" x14ac:dyDescent="0.2">
      <c r="H745" s="11" t="str">
        <f>IFERROR(VLOOKUP(tbl_product_scores[[#This Row],[product_key]],tbl_products[[product_key]:[group_display_key]],2,FALSE),"")</f>
        <v/>
      </c>
    </row>
    <row r="746" spans="8:8" x14ac:dyDescent="0.2">
      <c r="H746" s="11" t="str">
        <f>IFERROR(VLOOKUP(tbl_product_scores[[#This Row],[product_key]],tbl_products[[product_key]:[group_display_key]],2,FALSE),"")</f>
        <v/>
      </c>
    </row>
    <row r="747" spans="8:8" x14ac:dyDescent="0.2">
      <c r="H747" s="11" t="str">
        <f>IFERROR(VLOOKUP(tbl_product_scores[[#This Row],[product_key]],tbl_products[[product_key]:[group_display_key]],2,FALSE),"")</f>
        <v/>
      </c>
    </row>
    <row r="748" spans="8:8" x14ac:dyDescent="0.2">
      <c r="H748" s="11" t="str">
        <f>IFERROR(VLOOKUP(tbl_product_scores[[#This Row],[product_key]],tbl_products[[product_key]:[group_display_key]],2,FALSE),"")</f>
        <v/>
      </c>
    </row>
    <row r="749" spans="8:8" x14ac:dyDescent="0.2">
      <c r="H749" s="11" t="str">
        <f>IFERROR(VLOOKUP(tbl_product_scores[[#This Row],[product_key]],tbl_products[[product_key]:[group_display_key]],2,FALSE),"")</f>
        <v/>
      </c>
    </row>
    <row r="750" spans="8:8" x14ac:dyDescent="0.2">
      <c r="H750" s="11" t="str">
        <f>IFERROR(VLOOKUP(tbl_product_scores[[#This Row],[product_key]],tbl_products[[product_key]:[group_display_key]],2,FALSE),"")</f>
        <v/>
      </c>
    </row>
    <row r="751" spans="8:8" x14ac:dyDescent="0.2">
      <c r="H751" s="11" t="str">
        <f>IFERROR(VLOOKUP(tbl_product_scores[[#This Row],[product_key]],tbl_products[[product_key]:[group_display_key]],2,FALSE),"")</f>
        <v/>
      </c>
    </row>
    <row r="752" spans="8:8" x14ac:dyDescent="0.2">
      <c r="H752" s="11" t="str">
        <f>IFERROR(VLOOKUP(tbl_product_scores[[#This Row],[product_key]],tbl_products[[product_key]:[group_display_key]],2,FALSE),"")</f>
        <v/>
      </c>
    </row>
    <row r="753" spans="8:8" x14ac:dyDescent="0.2">
      <c r="H753" s="11" t="str">
        <f>IFERROR(VLOOKUP(tbl_product_scores[[#This Row],[product_key]],tbl_products[[product_key]:[group_display_key]],2,FALSE),"")</f>
        <v/>
      </c>
    </row>
    <row r="754" spans="8:8" x14ac:dyDescent="0.2">
      <c r="H754" s="11" t="str">
        <f>IFERROR(VLOOKUP(tbl_product_scores[[#This Row],[product_key]],tbl_products[[product_key]:[group_display_key]],2,FALSE),"")</f>
        <v/>
      </c>
    </row>
    <row r="755" spans="8:8" x14ac:dyDescent="0.2">
      <c r="H755" s="11" t="str">
        <f>IFERROR(VLOOKUP(tbl_product_scores[[#This Row],[product_key]],tbl_products[[product_key]:[group_display_key]],2,FALSE),"")</f>
        <v/>
      </c>
    </row>
    <row r="756" spans="8:8" x14ac:dyDescent="0.2">
      <c r="H756" s="11" t="str">
        <f>IFERROR(VLOOKUP(tbl_product_scores[[#This Row],[product_key]],tbl_products[[product_key]:[group_display_key]],2,FALSE),"")</f>
        <v/>
      </c>
    </row>
    <row r="757" spans="8:8" x14ac:dyDescent="0.2">
      <c r="H757" s="11" t="str">
        <f>IFERROR(VLOOKUP(tbl_product_scores[[#This Row],[product_key]],tbl_products[[product_key]:[group_display_key]],2,FALSE),"")</f>
        <v/>
      </c>
    </row>
    <row r="758" spans="8:8" x14ac:dyDescent="0.2">
      <c r="H758" s="11" t="str">
        <f>IFERROR(VLOOKUP(tbl_product_scores[[#This Row],[product_key]],tbl_products[[product_key]:[group_display_key]],2,FALSE),"")</f>
        <v/>
      </c>
    </row>
    <row r="759" spans="8:8" x14ac:dyDescent="0.2">
      <c r="H759" s="11" t="str">
        <f>IFERROR(VLOOKUP(tbl_product_scores[[#This Row],[product_key]],tbl_products[[product_key]:[group_display_key]],2,FALSE),"")</f>
        <v/>
      </c>
    </row>
    <row r="760" spans="8:8" x14ac:dyDescent="0.2">
      <c r="H760" s="11" t="str">
        <f>IFERROR(VLOOKUP(tbl_product_scores[[#This Row],[product_key]],tbl_products[[product_key]:[group_display_key]],2,FALSE),"")</f>
        <v/>
      </c>
    </row>
    <row r="761" spans="8:8" x14ac:dyDescent="0.2">
      <c r="H761" s="11" t="str">
        <f>IFERROR(VLOOKUP(tbl_product_scores[[#This Row],[product_key]],tbl_products[[product_key]:[group_display_key]],2,FALSE),"")</f>
        <v/>
      </c>
    </row>
    <row r="762" spans="8:8" x14ac:dyDescent="0.2">
      <c r="H762" s="11" t="str">
        <f>IFERROR(VLOOKUP(tbl_product_scores[[#This Row],[product_key]],tbl_products[[product_key]:[group_display_key]],2,FALSE),"")</f>
        <v/>
      </c>
    </row>
    <row r="763" spans="8:8" x14ac:dyDescent="0.2">
      <c r="H763" s="11" t="str">
        <f>IFERROR(VLOOKUP(tbl_product_scores[[#This Row],[product_key]],tbl_products[[product_key]:[group_display_key]],2,FALSE),"")</f>
        <v/>
      </c>
    </row>
    <row r="764" spans="8:8" x14ac:dyDescent="0.2">
      <c r="H764" s="11" t="str">
        <f>IFERROR(VLOOKUP(tbl_product_scores[[#This Row],[product_key]],tbl_products[[product_key]:[group_display_key]],2,FALSE),"")</f>
        <v/>
      </c>
    </row>
    <row r="765" spans="8:8" x14ac:dyDescent="0.2">
      <c r="H765" s="11" t="str">
        <f>IFERROR(VLOOKUP(tbl_product_scores[[#This Row],[product_key]],tbl_products[[product_key]:[group_display_key]],2,FALSE),"")</f>
        <v/>
      </c>
    </row>
    <row r="766" spans="8:8" x14ac:dyDescent="0.2">
      <c r="H766" s="11" t="str">
        <f>IFERROR(VLOOKUP(tbl_product_scores[[#This Row],[product_key]],tbl_products[[product_key]:[group_display_key]],2,FALSE),"")</f>
        <v/>
      </c>
    </row>
    <row r="767" spans="8:8" x14ac:dyDescent="0.2">
      <c r="H767" s="11" t="str">
        <f>IFERROR(VLOOKUP(tbl_product_scores[[#This Row],[product_key]],tbl_products[[product_key]:[group_display_key]],2,FALSE),"")</f>
        <v/>
      </c>
    </row>
    <row r="768" spans="8:8" x14ac:dyDescent="0.2">
      <c r="H768" s="11" t="str">
        <f>IFERROR(VLOOKUP(tbl_product_scores[[#This Row],[product_key]],tbl_products[[product_key]:[group_display_key]],2,FALSE),"")</f>
        <v/>
      </c>
    </row>
    <row r="769" spans="8:8" x14ac:dyDescent="0.2">
      <c r="H769" s="11" t="str">
        <f>IFERROR(VLOOKUP(tbl_product_scores[[#This Row],[product_key]],tbl_products[[product_key]:[group_display_key]],2,FALSE),"")</f>
        <v/>
      </c>
    </row>
    <row r="770" spans="8:8" x14ac:dyDescent="0.2">
      <c r="H770" s="11" t="str">
        <f>IFERROR(VLOOKUP(tbl_product_scores[[#This Row],[product_key]],tbl_products[[product_key]:[group_display_key]],2,FALSE),"")</f>
        <v/>
      </c>
    </row>
    <row r="771" spans="8:8" x14ac:dyDescent="0.2">
      <c r="H771" s="11" t="str">
        <f>IFERROR(VLOOKUP(tbl_product_scores[[#This Row],[product_key]],tbl_products[[product_key]:[group_display_key]],2,FALSE),"")</f>
        <v/>
      </c>
    </row>
    <row r="772" spans="8:8" x14ac:dyDescent="0.2">
      <c r="H772" s="11" t="str">
        <f>IFERROR(VLOOKUP(tbl_product_scores[[#This Row],[product_key]],tbl_products[[product_key]:[group_display_key]],2,FALSE),"")</f>
        <v/>
      </c>
    </row>
    <row r="773" spans="8:8" x14ac:dyDescent="0.2">
      <c r="H773" s="11" t="str">
        <f>IFERROR(VLOOKUP(tbl_product_scores[[#This Row],[product_key]],tbl_products[[product_key]:[group_display_key]],2,FALSE),"")</f>
        <v/>
      </c>
    </row>
    <row r="774" spans="8:8" x14ac:dyDescent="0.2">
      <c r="H774" s="11" t="str">
        <f>IFERROR(VLOOKUP(tbl_product_scores[[#This Row],[product_key]],tbl_products[[product_key]:[group_display_key]],2,FALSE),"")</f>
        <v/>
      </c>
    </row>
    <row r="775" spans="8:8" x14ac:dyDescent="0.2">
      <c r="H775" s="11" t="str">
        <f>IFERROR(VLOOKUP(tbl_product_scores[[#This Row],[product_key]],tbl_products[[product_key]:[group_display_key]],2,FALSE),"")</f>
        <v/>
      </c>
    </row>
    <row r="776" spans="8:8" x14ac:dyDescent="0.2">
      <c r="H776" s="11" t="str">
        <f>IFERROR(VLOOKUP(tbl_product_scores[[#This Row],[product_key]],tbl_products[[product_key]:[group_display_key]],2,FALSE),"")</f>
        <v/>
      </c>
    </row>
    <row r="777" spans="8:8" x14ac:dyDescent="0.2">
      <c r="H777" s="11" t="str">
        <f>IFERROR(VLOOKUP(tbl_product_scores[[#This Row],[product_key]],tbl_products[[product_key]:[group_display_key]],2,FALSE),"")</f>
        <v/>
      </c>
    </row>
    <row r="778" spans="8:8" x14ac:dyDescent="0.2">
      <c r="H778" s="11" t="str">
        <f>IFERROR(VLOOKUP(tbl_product_scores[[#This Row],[product_key]],tbl_products[[product_key]:[group_display_key]],2,FALSE),"")</f>
        <v/>
      </c>
    </row>
    <row r="779" spans="8:8" x14ac:dyDescent="0.2">
      <c r="H779" s="11" t="str">
        <f>IFERROR(VLOOKUP(tbl_product_scores[[#This Row],[product_key]],tbl_products[[product_key]:[group_display_key]],2,FALSE),"")</f>
        <v/>
      </c>
    </row>
    <row r="780" spans="8:8" x14ac:dyDescent="0.2">
      <c r="H780" s="11" t="str">
        <f>IFERROR(VLOOKUP(tbl_product_scores[[#This Row],[product_key]],tbl_products[[product_key]:[group_display_key]],2,FALSE),"")</f>
        <v/>
      </c>
    </row>
    <row r="781" spans="8:8" x14ac:dyDescent="0.2">
      <c r="H781" s="11" t="str">
        <f>IFERROR(VLOOKUP(tbl_product_scores[[#This Row],[product_key]],tbl_products[[product_key]:[group_display_key]],2,FALSE),"")</f>
        <v/>
      </c>
    </row>
    <row r="782" spans="8:8" x14ac:dyDescent="0.2">
      <c r="H782" s="11" t="str">
        <f>IFERROR(VLOOKUP(tbl_product_scores[[#This Row],[product_key]],tbl_products[[product_key]:[group_display_key]],2,FALSE),"")</f>
        <v/>
      </c>
    </row>
    <row r="783" spans="8:8" x14ac:dyDescent="0.2">
      <c r="H783" s="11" t="str">
        <f>IFERROR(VLOOKUP(tbl_product_scores[[#This Row],[product_key]],tbl_products[[product_key]:[group_display_key]],2,FALSE),"")</f>
        <v/>
      </c>
    </row>
    <row r="784" spans="8:8" x14ac:dyDescent="0.2">
      <c r="H784" s="11" t="str">
        <f>IFERROR(VLOOKUP(tbl_product_scores[[#This Row],[product_key]],tbl_products[[product_key]:[group_display_key]],2,FALSE),"")</f>
        <v/>
      </c>
    </row>
    <row r="785" spans="8:8" x14ac:dyDescent="0.2">
      <c r="H785" s="11" t="str">
        <f>IFERROR(VLOOKUP(tbl_product_scores[[#This Row],[product_key]],tbl_products[[product_key]:[group_display_key]],2,FALSE),"")</f>
        <v/>
      </c>
    </row>
    <row r="786" spans="8:8" x14ac:dyDescent="0.2">
      <c r="H786" s="11" t="str">
        <f>IFERROR(VLOOKUP(tbl_product_scores[[#This Row],[product_key]],tbl_products[[product_key]:[group_display_key]],2,FALSE),"")</f>
        <v/>
      </c>
    </row>
    <row r="787" spans="8:8" x14ac:dyDescent="0.2">
      <c r="H787" s="11" t="str">
        <f>IFERROR(VLOOKUP(tbl_product_scores[[#This Row],[product_key]],tbl_products[[product_key]:[group_display_key]],2,FALSE),"")</f>
        <v/>
      </c>
    </row>
    <row r="788" spans="8:8" x14ac:dyDescent="0.2">
      <c r="H788" s="11" t="str">
        <f>IFERROR(VLOOKUP(tbl_product_scores[[#This Row],[product_key]],tbl_products[[product_key]:[group_display_key]],2,FALSE),"")</f>
        <v/>
      </c>
    </row>
    <row r="789" spans="8:8" x14ac:dyDescent="0.2">
      <c r="H789" s="11" t="str">
        <f>IFERROR(VLOOKUP(tbl_product_scores[[#This Row],[product_key]],tbl_products[[product_key]:[group_display_key]],2,FALSE),"")</f>
        <v/>
      </c>
    </row>
    <row r="790" spans="8:8" x14ac:dyDescent="0.2">
      <c r="H790" s="11" t="str">
        <f>IFERROR(VLOOKUP(tbl_product_scores[[#This Row],[product_key]],tbl_products[[product_key]:[group_display_key]],2,FALSE),"")</f>
        <v/>
      </c>
    </row>
    <row r="791" spans="8:8" x14ac:dyDescent="0.2">
      <c r="H791" s="11" t="str">
        <f>IFERROR(VLOOKUP(tbl_product_scores[[#This Row],[product_key]],tbl_products[[product_key]:[group_display_key]],2,FALSE),"")</f>
        <v/>
      </c>
    </row>
    <row r="792" spans="8:8" x14ac:dyDescent="0.2">
      <c r="H792" s="11" t="str">
        <f>IFERROR(VLOOKUP(tbl_product_scores[[#This Row],[product_key]],tbl_products[[product_key]:[group_display_key]],2,FALSE),"")</f>
        <v/>
      </c>
    </row>
    <row r="793" spans="8:8" x14ac:dyDescent="0.2">
      <c r="H793" s="11" t="str">
        <f>IFERROR(VLOOKUP(tbl_product_scores[[#This Row],[product_key]],tbl_products[[product_key]:[group_display_key]],2,FALSE),"")</f>
        <v/>
      </c>
    </row>
    <row r="794" spans="8:8" x14ac:dyDescent="0.2">
      <c r="H794" s="11" t="str">
        <f>IFERROR(VLOOKUP(tbl_product_scores[[#This Row],[product_key]],tbl_products[[product_key]:[group_display_key]],2,FALSE),"")</f>
        <v/>
      </c>
    </row>
    <row r="795" spans="8:8" x14ac:dyDescent="0.2">
      <c r="H795" s="11" t="str">
        <f>IFERROR(VLOOKUP(tbl_product_scores[[#This Row],[product_key]],tbl_products[[product_key]:[group_display_key]],2,FALSE),"")</f>
        <v/>
      </c>
    </row>
    <row r="796" spans="8:8" x14ac:dyDescent="0.2">
      <c r="H796" s="11" t="str">
        <f>IFERROR(VLOOKUP(tbl_product_scores[[#This Row],[product_key]],tbl_products[[product_key]:[group_display_key]],2,FALSE),"")</f>
        <v/>
      </c>
    </row>
    <row r="797" spans="8:8" x14ac:dyDescent="0.2">
      <c r="H797" s="11" t="str">
        <f>IFERROR(VLOOKUP(tbl_product_scores[[#This Row],[product_key]],tbl_products[[product_key]:[group_display_key]],2,FALSE),"")</f>
        <v/>
      </c>
    </row>
    <row r="798" spans="8:8" x14ac:dyDescent="0.2">
      <c r="H798" s="11" t="str">
        <f>IFERROR(VLOOKUP(tbl_product_scores[[#This Row],[product_key]],tbl_products[[product_key]:[group_display_key]],2,FALSE),"")</f>
        <v/>
      </c>
    </row>
    <row r="799" spans="8:8" x14ac:dyDescent="0.2">
      <c r="H799" s="11" t="str">
        <f>IFERROR(VLOOKUP(tbl_product_scores[[#This Row],[product_key]],tbl_products[[product_key]:[group_display_key]],2,FALSE),"")</f>
        <v/>
      </c>
    </row>
    <row r="800" spans="8:8" x14ac:dyDescent="0.2">
      <c r="H800" s="11" t="str">
        <f>IFERROR(VLOOKUP(tbl_product_scores[[#This Row],[product_key]],tbl_products[[product_key]:[group_display_key]],2,FALSE),"")</f>
        <v/>
      </c>
    </row>
    <row r="801" spans="8:8" x14ac:dyDescent="0.2">
      <c r="H801" s="11" t="str">
        <f>IFERROR(VLOOKUP(tbl_product_scores[[#This Row],[product_key]],tbl_products[[product_key]:[group_display_key]],2,FALSE),"")</f>
        <v/>
      </c>
    </row>
    <row r="802" spans="8:8" x14ac:dyDescent="0.2">
      <c r="H802" s="11" t="str">
        <f>IFERROR(VLOOKUP(tbl_product_scores[[#This Row],[product_key]],tbl_products[[product_key]:[group_display_key]],2,FALSE),"")</f>
        <v/>
      </c>
    </row>
    <row r="803" spans="8:8" x14ac:dyDescent="0.2">
      <c r="H803" s="11" t="str">
        <f>IFERROR(VLOOKUP(tbl_product_scores[[#This Row],[product_key]],tbl_products[[product_key]:[group_display_key]],2,FALSE),"")</f>
        <v/>
      </c>
    </row>
    <row r="804" spans="8:8" x14ac:dyDescent="0.2">
      <c r="H804" s="11" t="str">
        <f>IFERROR(VLOOKUP(tbl_product_scores[[#This Row],[product_key]],tbl_products[[product_key]:[group_display_key]],2,FALSE),"")</f>
        <v/>
      </c>
    </row>
    <row r="805" spans="8:8" x14ac:dyDescent="0.2">
      <c r="H805" s="11" t="str">
        <f>IFERROR(VLOOKUP(tbl_product_scores[[#This Row],[product_key]],tbl_products[[product_key]:[group_display_key]],2,FALSE),"")</f>
        <v/>
      </c>
    </row>
    <row r="806" spans="8:8" x14ac:dyDescent="0.2">
      <c r="H806" s="11" t="str">
        <f>IFERROR(VLOOKUP(tbl_product_scores[[#This Row],[product_key]],tbl_products[[product_key]:[group_display_key]],2,FALSE),"")</f>
        <v/>
      </c>
    </row>
    <row r="807" spans="8:8" x14ac:dyDescent="0.2">
      <c r="H807" s="11" t="str">
        <f>IFERROR(VLOOKUP(tbl_product_scores[[#This Row],[product_key]],tbl_products[[product_key]:[group_display_key]],2,FALSE),"")</f>
        <v/>
      </c>
    </row>
    <row r="808" spans="8:8" x14ac:dyDescent="0.2">
      <c r="H808" s="11" t="str">
        <f>IFERROR(VLOOKUP(tbl_product_scores[[#This Row],[product_key]],tbl_products[[product_key]:[group_display_key]],2,FALSE),"")</f>
        <v/>
      </c>
    </row>
    <row r="809" spans="8:8" x14ac:dyDescent="0.2">
      <c r="H809" s="11" t="str">
        <f>IFERROR(VLOOKUP(tbl_product_scores[[#This Row],[product_key]],tbl_products[[product_key]:[group_display_key]],2,FALSE),"")</f>
        <v/>
      </c>
    </row>
    <row r="810" spans="8:8" x14ac:dyDescent="0.2">
      <c r="H810" s="11" t="str">
        <f>IFERROR(VLOOKUP(tbl_product_scores[[#This Row],[product_key]],tbl_products[[product_key]:[group_display_key]],2,FALSE),"")</f>
        <v/>
      </c>
    </row>
    <row r="811" spans="8:8" x14ac:dyDescent="0.2">
      <c r="H811" s="11" t="str">
        <f>IFERROR(VLOOKUP(tbl_product_scores[[#This Row],[product_key]],tbl_products[[product_key]:[group_display_key]],2,FALSE),"")</f>
        <v/>
      </c>
    </row>
    <row r="812" spans="8:8" x14ac:dyDescent="0.2">
      <c r="H812" s="11" t="str">
        <f>IFERROR(VLOOKUP(tbl_product_scores[[#This Row],[product_key]],tbl_products[[product_key]:[group_display_key]],2,FALSE),"")</f>
        <v/>
      </c>
    </row>
    <row r="813" spans="8:8" x14ac:dyDescent="0.2">
      <c r="H813" s="11" t="str">
        <f>IFERROR(VLOOKUP(tbl_product_scores[[#This Row],[product_key]],tbl_products[[product_key]:[group_display_key]],2,FALSE),"")</f>
        <v/>
      </c>
    </row>
    <row r="814" spans="8:8" x14ac:dyDescent="0.2">
      <c r="H814" s="11" t="str">
        <f>IFERROR(VLOOKUP(tbl_product_scores[[#This Row],[product_key]],tbl_products[[product_key]:[group_display_key]],2,FALSE),"")</f>
        <v/>
      </c>
    </row>
    <row r="815" spans="8:8" x14ac:dyDescent="0.2">
      <c r="H815" s="11" t="str">
        <f>IFERROR(VLOOKUP(tbl_product_scores[[#This Row],[product_key]],tbl_products[[product_key]:[group_display_key]],2,FALSE),"")</f>
        <v/>
      </c>
    </row>
    <row r="816" spans="8:8" x14ac:dyDescent="0.2">
      <c r="H816" s="11" t="str">
        <f>IFERROR(VLOOKUP(tbl_product_scores[[#This Row],[product_key]],tbl_products[[product_key]:[group_display_key]],2,FALSE),"")</f>
        <v/>
      </c>
    </row>
    <row r="817" spans="8:8" x14ac:dyDescent="0.2">
      <c r="H817" s="11" t="str">
        <f>IFERROR(VLOOKUP(tbl_product_scores[[#This Row],[product_key]],tbl_products[[product_key]:[group_display_key]],2,FALSE),"")</f>
        <v/>
      </c>
    </row>
    <row r="818" spans="8:8" x14ac:dyDescent="0.2">
      <c r="H818" s="11" t="str">
        <f>IFERROR(VLOOKUP(tbl_product_scores[[#This Row],[product_key]],tbl_products[[product_key]:[group_display_key]],2,FALSE),"")</f>
        <v/>
      </c>
    </row>
    <row r="819" spans="8:8" x14ac:dyDescent="0.2">
      <c r="H819" s="11" t="str">
        <f>IFERROR(VLOOKUP(tbl_product_scores[[#This Row],[product_key]],tbl_products[[product_key]:[group_display_key]],2,FALSE),"")</f>
        <v/>
      </c>
    </row>
    <row r="820" spans="8:8" x14ac:dyDescent="0.2">
      <c r="H820" s="11" t="str">
        <f>IFERROR(VLOOKUP(tbl_product_scores[[#This Row],[product_key]],tbl_products[[product_key]:[group_display_key]],2,FALSE),"")</f>
        <v/>
      </c>
    </row>
    <row r="821" spans="8:8" x14ac:dyDescent="0.2">
      <c r="H821" s="11" t="str">
        <f>IFERROR(VLOOKUP(tbl_product_scores[[#This Row],[product_key]],tbl_products[[product_key]:[group_display_key]],2,FALSE),"")</f>
        <v/>
      </c>
    </row>
    <row r="822" spans="8:8" x14ac:dyDescent="0.2">
      <c r="H822" s="11" t="str">
        <f>IFERROR(VLOOKUP(tbl_product_scores[[#This Row],[product_key]],tbl_products[[product_key]:[group_display_key]],2,FALSE),"")</f>
        <v/>
      </c>
    </row>
    <row r="823" spans="8:8" x14ac:dyDescent="0.2">
      <c r="H823" s="11" t="str">
        <f>IFERROR(VLOOKUP(tbl_product_scores[[#This Row],[product_key]],tbl_products[[product_key]:[group_display_key]],2,FALSE),"")</f>
        <v/>
      </c>
    </row>
    <row r="824" spans="8:8" x14ac:dyDescent="0.2">
      <c r="H824" s="11" t="str">
        <f>IFERROR(VLOOKUP(tbl_product_scores[[#This Row],[product_key]],tbl_products[[product_key]:[group_display_key]],2,FALSE),"")</f>
        <v/>
      </c>
    </row>
    <row r="825" spans="8:8" x14ac:dyDescent="0.2">
      <c r="H825" s="11" t="str">
        <f>IFERROR(VLOOKUP(tbl_product_scores[[#This Row],[product_key]],tbl_products[[product_key]:[group_display_key]],2,FALSE),"")</f>
        <v/>
      </c>
    </row>
    <row r="826" spans="8:8" x14ac:dyDescent="0.2">
      <c r="H826" s="11" t="str">
        <f>IFERROR(VLOOKUP(tbl_product_scores[[#This Row],[product_key]],tbl_products[[product_key]:[group_display_key]],2,FALSE),"")</f>
        <v/>
      </c>
    </row>
    <row r="827" spans="8:8" x14ac:dyDescent="0.2">
      <c r="H827" s="11" t="str">
        <f>IFERROR(VLOOKUP(tbl_product_scores[[#This Row],[product_key]],tbl_products[[product_key]:[group_display_key]],2,FALSE),"")</f>
        <v/>
      </c>
    </row>
    <row r="828" spans="8:8" x14ac:dyDescent="0.2">
      <c r="H828" s="11" t="str">
        <f>IFERROR(VLOOKUP(tbl_product_scores[[#This Row],[product_key]],tbl_products[[product_key]:[group_display_key]],2,FALSE),"")</f>
        <v/>
      </c>
    </row>
    <row r="829" spans="8:8" x14ac:dyDescent="0.2">
      <c r="H829" s="11" t="str">
        <f>IFERROR(VLOOKUP(tbl_product_scores[[#This Row],[product_key]],tbl_products[[product_key]:[group_display_key]],2,FALSE),"")</f>
        <v/>
      </c>
    </row>
    <row r="830" spans="8:8" x14ac:dyDescent="0.2">
      <c r="H830" s="11" t="str">
        <f>IFERROR(VLOOKUP(tbl_product_scores[[#This Row],[product_key]],tbl_products[[product_key]:[group_display_key]],2,FALSE),"")</f>
        <v/>
      </c>
    </row>
    <row r="831" spans="8:8" x14ac:dyDescent="0.2">
      <c r="H831" s="11" t="str">
        <f>IFERROR(VLOOKUP(tbl_product_scores[[#This Row],[product_key]],tbl_products[[product_key]:[group_display_key]],2,FALSE),"")</f>
        <v/>
      </c>
    </row>
    <row r="832" spans="8:8" x14ac:dyDescent="0.2">
      <c r="H832" s="11" t="str">
        <f>IFERROR(VLOOKUP(tbl_product_scores[[#This Row],[product_key]],tbl_products[[product_key]:[group_display_key]],2,FALSE),"")</f>
        <v/>
      </c>
    </row>
    <row r="833" spans="8:8" x14ac:dyDescent="0.2">
      <c r="H833" s="11" t="str">
        <f>IFERROR(VLOOKUP(tbl_product_scores[[#This Row],[product_key]],tbl_products[[product_key]:[group_display_key]],2,FALSE),"")</f>
        <v/>
      </c>
    </row>
    <row r="834" spans="8:8" x14ac:dyDescent="0.2">
      <c r="H834" s="11" t="str">
        <f>IFERROR(VLOOKUP(tbl_product_scores[[#This Row],[product_key]],tbl_products[[product_key]:[group_display_key]],2,FALSE),"")</f>
        <v/>
      </c>
    </row>
    <row r="835" spans="8:8" x14ac:dyDescent="0.2">
      <c r="H835" s="11" t="str">
        <f>IFERROR(VLOOKUP(tbl_product_scores[[#This Row],[product_key]],tbl_products[[product_key]:[group_display_key]],2,FALSE),"")</f>
        <v/>
      </c>
    </row>
    <row r="836" spans="8:8" x14ac:dyDescent="0.2">
      <c r="H836" s="11" t="str">
        <f>IFERROR(VLOOKUP(tbl_product_scores[[#This Row],[product_key]],tbl_products[[product_key]:[group_display_key]],2,FALSE),"")</f>
        <v/>
      </c>
    </row>
    <row r="837" spans="8:8" x14ac:dyDescent="0.2">
      <c r="H837" s="11" t="str">
        <f>IFERROR(VLOOKUP(tbl_product_scores[[#This Row],[product_key]],tbl_products[[product_key]:[group_display_key]],2,FALSE),"")</f>
        <v/>
      </c>
    </row>
    <row r="838" spans="8:8" x14ac:dyDescent="0.2">
      <c r="H838" s="11" t="str">
        <f>IFERROR(VLOOKUP(tbl_product_scores[[#This Row],[product_key]],tbl_products[[product_key]:[group_display_key]],2,FALSE),"")</f>
        <v/>
      </c>
    </row>
    <row r="839" spans="8:8" x14ac:dyDescent="0.2">
      <c r="H839" s="11" t="str">
        <f>IFERROR(VLOOKUP(tbl_product_scores[[#This Row],[product_key]],tbl_products[[product_key]:[group_display_key]],2,FALSE),"")</f>
        <v/>
      </c>
    </row>
    <row r="840" spans="8:8" x14ac:dyDescent="0.2">
      <c r="H840" s="11" t="str">
        <f>IFERROR(VLOOKUP(tbl_product_scores[[#This Row],[product_key]],tbl_products[[product_key]:[group_display_key]],2,FALSE),"")</f>
        <v/>
      </c>
    </row>
    <row r="841" spans="8:8" x14ac:dyDescent="0.2">
      <c r="H841" s="11" t="str">
        <f>IFERROR(VLOOKUP(tbl_product_scores[[#This Row],[product_key]],tbl_products[[product_key]:[group_display_key]],2,FALSE),"")</f>
        <v/>
      </c>
    </row>
    <row r="842" spans="8:8" x14ac:dyDescent="0.2">
      <c r="H842" s="11" t="str">
        <f>IFERROR(VLOOKUP(tbl_product_scores[[#This Row],[product_key]],tbl_products[[product_key]:[group_display_key]],2,FALSE),"")</f>
        <v/>
      </c>
    </row>
    <row r="843" spans="8:8" x14ac:dyDescent="0.2">
      <c r="H843" s="11" t="str">
        <f>IFERROR(VLOOKUP(tbl_product_scores[[#This Row],[product_key]],tbl_products[[product_key]:[group_display_key]],2,FALSE),"")</f>
        <v/>
      </c>
    </row>
    <row r="844" spans="8:8" x14ac:dyDescent="0.2">
      <c r="H844" s="11" t="str">
        <f>IFERROR(VLOOKUP(tbl_product_scores[[#This Row],[product_key]],tbl_products[[product_key]:[group_display_key]],2,FALSE),"")</f>
        <v/>
      </c>
    </row>
    <row r="845" spans="8:8" x14ac:dyDescent="0.2">
      <c r="H845" s="11" t="str">
        <f>IFERROR(VLOOKUP(tbl_product_scores[[#This Row],[product_key]],tbl_products[[product_key]:[group_display_key]],2,FALSE),"")</f>
        <v/>
      </c>
    </row>
    <row r="846" spans="8:8" x14ac:dyDescent="0.2">
      <c r="H846" s="11" t="str">
        <f>IFERROR(VLOOKUP(tbl_product_scores[[#This Row],[product_key]],tbl_products[[product_key]:[group_display_key]],2,FALSE),"")</f>
        <v/>
      </c>
    </row>
    <row r="847" spans="8:8" x14ac:dyDescent="0.2">
      <c r="H847" s="11" t="str">
        <f>IFERROR(VLOOKUP(tbl_product_scores[[#This Row],[product_key]],tbl_products[[product_key]:[group_display_key]],2,FALSE),"")</f>
        <v/>
      </c>
    </row>
    <row r="848" spans="8:8" x14ac:dyDescent="0.2">
      <c r="H848" s="11" t="str">
        <f>IFERROR(VLOOKUP(tbl_product_scores[[#This Row],[product_key]],tbl_products[[product_key]:[group_display_key]],2,FALSE),"")</f>
        <v/>
      </c>
    </row>
    <row r="849" spans="8:8" x14ac:dyDescent="0.2">
      <c r="H849" s="11" t="str">
        <f>IFERROR(VLOOKUP(tbl_product_scores[[#This Row],[product_key]],tbl_products[[product_key]:[group_display_key]],2,FALSE),"")</f>
        <v/>
      </c>
    </row>
    <row r="850" spans="8:8" x14ac:dyDescent="0.2">
      <c r="H850" s="11" t="str">
        <f>IFERROR(VLOOKUP(tbl_product_scores[[#This Row],[product_key]],tbl_products[[product_key]:[group_display_key]],2,FALSE),"")</f>
        <v/>
      </c>
    </row>
    <row r="851" spans="8:8" x14ac:dyDescent="0.2">
      <c r="H851" s="11" t="str">
        <f>IFERROR(VLOOKUP(tbl_product_scores[[#This Row],[product_key]],tbl_products[[product_key]:[group_display_key]],2,FALSE),"")</f>
        <v/>
      </c>
    </row>
    <row r="852" spans="8:8" x14ac:dyDescent="0.2">
      <c r="H852" s="11" t="str">
        <f>IFERROR(VLOOKUP(tbl_product_scores[[#This Row],[product_key]],tbl_products[[product_key]:[group_display_key]],2,FALSE),"")</f>
        <v/>
      </c>
    </row>
    <row r="853" spans="8:8" x14ac:dyDescent="0.2">
      <c r="H853" s="11" t="str">
        <f>IFERROR(VLOOKUP(tbl_product_scores[[#This Row],[product_key]],tbl_products[[product_key]:[group_display_key]],2,FALSE),"")</f>
        <v/>
      </c>
    </row>
    <row r="854" spans="8:8" x14ac:dyDescent="0.2">
      <c r="H854" s="11" t="str">
        <f>IFERROR(VLOOKUP(tbl_product_scores[[#This Row],[product_key]],tbl_products[[product_key]:[group_display_key]],2,FALSE),"")</f>
        <v/>
      </c>
    </row>
    <row r="855" spans="8:8" x14ac:dyDescent="0.2">
      <c r="H855" s="11" t="str">
        <f>IFERROR(VLOOKUP(tbl_product_scores[[#This Row],[product_key]],tbl_products[[product_key]:[group_display_key]],2,FALSE),"")</f>
        <v/>
      </c>
    </row>
    <row r="856" spans="8:8" x14ac:dyDescent="0.2">
      <c r="H856" s="11" t="str">
        <f>IFERROR(VLOOKUP(tbl_product_scores[[#This Row],[product_key]],tbl_products[[product_key]:[group_display_key]],2,FALSE),"")</f>
        <v/>
      </c>
    </row>
    <row r="857" spans="8:8" x14ac:dyDescent="0.2">
      <c r="H857" s="11" t="str">
        <f>IFERROR(VLOOKUP(tbl_product_scores[[#This Row],[product_key]],tbl_products[[product_key]:[group_display_key]],2,FALSE),"")</f>
        <v/>
      </c>
    </row>
    <row r="858" spans="8:8" x14ac:dyDescent="0.2">
      <c r="H858" s="11" t="str">
        <f>IFERROR(VLOOKUP(tbl_product_scores[[#This Row],[product_key]],tbl_products[[product_key]:[group_display_key]],2,FALSE),"")</f>
        <v/>
      </c>
    </row>
    <row r="859" spans="8:8" x14ac:dyDescent="0.2">
      <c r="H859" s="11" t="str">
        <f>IFERROR(VLOOKUP(tbl_product_scores[[#This Row],[product_key]],tbl_products[[product_key]:[group_display_key]],2,FALSE),"")</f>
        <v/>
      </c>
    </row>
    <row r="860" spans="8:8" x14ac:dyDescent="0.2">
      <c r="H860" s="11" t="str">
        <f>IFERROR(VLOOKUP(tbl_product_scores[[#This Row],[product_key]],tbl_products[[product_key]:[group_display_key]],2,FALSE),"")</f>
        <v/>
      </c>
    </row>
    <row r="861" spans="8:8" x14ac:dyDescent="0.2">
      <c r="H861" s="11" t="str">
        <f>IFERROR(VLOOKUP(tbl_product_scores[[#This Row],[product_key]],tbl_products[[product_key]:[group_display_key]],2,FALSE),"")</f>
        <v/>
      </c>
    </row>
    <row r="862" spans="8:8" x14ac:dyDescent="0.2">
      <c r="H862" s="11" t="str">
        <f>IFERROR(VLOOKUP(tbl_product_scores[[#This Row],[product_key]],tbl_products[[product_key]:[group_display_key]],2,FALSE),"")</f>
        <v/>
      </c>
    </row>
    <row r="863" spans="8:8" x14ac:dyDescent="0.2">
      <c r="H863" s="11" t="str">
        <f>IFERROR(VLOOKUP(tbl_product_scores[[#This Row],[product_key]],tbl_products[[product_key]:[group_display_key]],2,FALSE),"")</f>
        <v/>
      </c>
    </row>
    <row r="864" spans="8:8" x14ac:dyDescent="0.2">
      <c r="H864" s="11" t="str">
        <f>IFERROR(VLOOKUP(tbl_product_scores[[#This Row],[product_key]],tbl_products[[product_key]:[group_display_key]],2,FALSE),"")</f>
        <v/>
      </c>
    </row>
    <row r="865" spans="8:8" x14ac:dyDescent="0.2">
      <c r="H865" s="11" t="str">
        <f>IFERROR(VLOOKUP(tbl_product_scores[[#This Row],[product_key]],tbl_products[[product_key]:[group_display_key]],2,FALSE),"")</f>
        <v/>
      </c>
    </row>
    <row r="866" spans="8:8" x14ac:dyDescent="0.2">
      <c r="H866" s="11" t="str">
        <f>IFERROR(VLOOKUP(tbl_product_scores[[#This Row],[product_key]],tbl_products[[product_key]:[group_display_key]],2,FALSE),"")</f>
        <v/>
      </c>
    </row>
    <row r="867" spans="8:8" x14ac:dyDescent="0.2">
      <c r="H867" s="11" t="str">
        <f>IFERROR(VLOOKUP(tbl_product_scores[[#This Row],[product_key]],tbl_products[[product_key]:[group_display_key]],2,FALSE),"")</f>
        <v/>
      </c>
    </row>
    <row r="868" spans="8:8" x14ac:dyDescent="0.2">
      <c r="H868" s="11" t="str">
        <f>IFERROR(VLOOKUP(tbl_product_scores[[#This Row],[product_key]],tbl_products[[product_key]:[group_display_key]],2,FALSE),"")</f>
        <v/>
      </c>
    </row>
    <row r="869" spans="8:8" x14ac:dyDescent="0.2">
      <c r="H869" s="11" t="str">
        <f>IFERROR(VLOOKUP(tbl_product_scores[[#This Row],[product_key]],tbl_products[[product_key]:[group_display_key]],2,FALSE),"")</f>
        <v/>
      </c>
    </row>
    <row r="870" spans="8:8" x14ac:dyDescent="0.2">
      <c r="H870" s="11" t="str">
        <f>IFERROR(VLOOKUP(tbl_product_scores[[#This Row],[product_key]],tbl_products[[product_key]:[group_display_key]],2,FALSE),"")</f>
        <v/>
      </c>
    </row>
    <row r="871" spans="8:8" x14ac:dyDescent="0.2">
      <c r="H871" s="11" t="str">
        <f>IFERROR(VLOOKUP(tbl_product_scores[[#This Row],[product_key]],tbl_products[[product_key]:[group_display_key]],2,FALSE),"")</f>
        <v/>
      </c>
    </row>
    <row r="872" spans="8:8" x14ac:dyDescent="0.2">
      <c r="H872" s="11" t="str">
        <f>IFERROR(VLOOKUP(tbl_product_scores[[#This Row],[product_key]],tbl_products[[product_key]:[group_display_key]],2,FALSE),"")</f>
        <v/>
      </c>
    </row>
    <row r="873" spans="8:8" x14ac:dyDescent="0.2">
      <c r="H873" s="11" t="str">
        <f>IFERROR(VLOOKUP(tbl_product_scores[[#This Row],[product_key]],tbl_products[[product_key]:[group_display_key]],2,FALSE),"")</f>
        <v/>
      </c>
    </row>
    <row r="874" spans="8:8" x14ac:dyDescent="0.2">
      <c r="H874" s="11" t="str">
        <f>IFERROR(VLOOKUP(tbl_product_scores[[#This Row],[product_key]],tbl_products[[product_key]:[group_display_key]],2,FALSE),"")</f>
        <v/>
      </c>
    </row>
    <row r="875" spans="8:8" x14ac:dyDescent="0.2">
      <c r="H875" s="11" t="str">
        <f>IFERROR(VLOOKUP(tbl_product_scores[[#This Row],[product_key]],tbl_products[[product_key]:[group_display_key]],2,FALSE),"")</f>
        <v/>
      </c>
    </row>
    <row r="876" spans="8:8" x14ac:dyDescent="0.2">
      <c r="H876" s="11" t="str">
        <f>IFERROR(VLOOKUP(tbl_product_scores[[#This Row],[product_key]],tbl_products[[product_key]:[group_display_key]],2,FALSE),"")</f>
        <v/>
      </c>
    </row>
    <row r="877" spans="8:8" x14ac:dyDescent="0.2">
      <c r="H877" s="11" t="str">
        <f>IFERROR(VLOOKUP(tbl_product_scores[[#This Row],[product_key]],tbl_products[[product_key]:[group_display_key]],2,FALSE),"")</f>
        <v/>
      </c>
    </row>
    <row r="878" spans="8:8" x14ac:dyDescent="0.2">
      <c r="H878" s="11" t="str">
        <f>IFERROR(VLOOKUP(tbl_product_scores[[#This Row],[product_key]],tbl_products[[product_key]:[group_display_key]],2,FALSE),"")</f>
        <v/>
      </c>
    </row>
    <row r="879" spans="8:8" x14ac:dyDescent="0.2">
      <c r="H879" s="11" t="str">
        <f>IFERROR(VLOOKUP(tbl_product_scores[[#This Row],[product_key]],tbl_products[[product_key]:[group_display_key]],2,FALSE),"")</f>
        <v/>
      </c>
    </row>
    <row r="880" spans="8:8" x14ac:dyDescent="0.2">
      <c r="H880" s="11" t="str">
        <f>IFERROR(VLOOKUP(tbl_product_scores[[#This Row],[product_key]],tbl_products[[product_key]:[group_display_key]],2,FALSE),"")</f>
        <v/>
      </c>
    </row>
    <row r="881" spans="8:8" x14ac:dyDescent="0.2">
      <c r="H881" s="11" t="str">
        <f>IFERROR(VLOOKUP(tbl_product_scores[[#This Row],[product_key]],tbl_products[[product_key]:[group_display_key]],2,FALSE),"")</f>
        <v/>
      </c>
    </row>
    <row r="882" spans="8:8" x14ac:dyDescent="0.2">
      <c r="H882" s="11" t="str">
        <f>IFERROR(VLOOKUP(tbl_product_scores[[#This Row],[product_key]],tbl_products[[product_key]:[group_display_key]],2,FALSE),"")</f>
        <v/>
      </c>
    </row>
    <row r="883" spans="8:8" x14ac:dyDescent="0.2">
      <c r="H883" s="11" t="str">
        <f>IFERROR(VLOOKUP(tbl_product_scores[[#This Row],[product_key]],tbl_products[[product_key]:[group_display_key]],2,FALSE),"")</f>
        <v/>
      </c>
    </row>
    <row r="884" spans="8:8" x14ac:dyDescent="0.2">
      <c r="H884" s="11" t="str">
        <f>IFERROR(VLOOKUP(tbl_product_scores[[#This Row],[product_key]],tbl_products[[product_key]:[group_display_key]],2,FALSE),"")</f>
        <v/>
      </c>
    </row>
    <row r="885" spans="8:8" x14ac:dyDescent="0.2">
      <c r="H885" s="11" t="str">
        <f>IFERROR(VLOOKUP(tbl_product_scores[[#This Row],[product_key]],tbl_products[[product_key]:[group_display_key]],2,FALSE),"")</f>
        <v/>
      </c>
    </row>
    <row r="886" spans="8:8" x14ac:dyDescent="0.2">
      <c r="H886" s="11" t="str">
        <f>IFERROR(VLOOKUP(tbl_product_scores[[#This Row],[product_key]],tbl_products[[product_key]:[group_display_key]],2,FALSE),"")</f>
        <v/>
      </c>
    </row>
    <row r="887" spans="8:8" x14ac:dyDescent="0.2">
      <c r="H887" s="11" t="str">
        <f>IFERROR(VLOOKUP(tbl_product_scores[[#This Row],[product_key]],tbl_products[[product_key]:[group_display_key]],2,FALSE),"")</f>
        <v/>
      </c>
    </row>
    <row r="888" spans="8:8" x14ac:dyDescent="0.2">
      <c r="H888" s="11" t="str">
        <f>IFERROR(VLOOKUP(tbl_product_scores[[#This Row],[product_key]],tbl_products[[product_key]:[group_display_key]],2,FALSE),"")</f>
        <v/>
      </c>
    </row>
    <row r="889" spans="8:8" x14ac:dyDescent="0.2">
      <c r="H889" s="11" t="str">
        <f>IFERROR(VLOOKUP(tbl_product_scores[[#This Row],[product_key]],tbl_products[[product_key]:[group_display_key]],2,FALSE),"")</f>
        <v/>
      </c>
    </row>
    <row r="890" spans="8:8" x14ac:dyDescent="0.2">
      <c r="H890" s="11" t="str">
        <f>IFERROR(VLOOKUP(tbl_product_scores[[#This Row],[product_key]],tbl_products[[product_key]:[group_display_key]],2,FALSE),"")</f>
        <v/>
      </c>
    </row>
    <row r="891" spans="8:8" x14ac:dyDescent="0.2">
      <c r="H891" s="11" t="str">
        <f>IFERROR(VLOOKUP(tbl_product_scores[[#This Row],[product_key]],tbl_products[[product_key]:[group_display_key]],2,FALSE),"")</f>
        <v/>
      </c>
    </row>
    <row r="892" spans="8:8" x14ac:dyDescent="0.2">
      <c r="H892" s="11" t="str">
        <f>IFERROR(VLOOKUP(tbl_product_scores[[#This Row],[product_key]],tbl_products[[product_key]:[group_display_key]],2,FALSE),"")</f>
        <v/>
      </c>
    </row>
    <row r="893" spans="8:8" x14ac:dyDescent="0.2">
      <c r="H893" s="11" t="str">
        <f>IFERROR(VLOOKUP(tbl_product_scores[[#This Row],[product_key]],tbl_products[[product_key]:[group_display_key]],2,FALSE),"")</f>
        <v/>
      </c>
    </row>
    <row r="894" spans="8:8" x14ac:dyDescent="0.2">
      <c r="H894" s="11" t="str">
        <f>IFERROR(VLOOKUP(tbl_product_scores[[#This Row],[product_key]],tbl_products[[product_key]:[group_display_key]],2,FALSE),"")</f>
        <v/>
      </c>
    </row>
    <row r="895" spans="8:8" x14ac:dyDescent="0.2">
      <c r="H895" s="11" t="str">
        <f>IFERROR(VLOOKUP(tbl_product_scores[[#This Row],[product_key]],tbl_products[[product_key]:[group_display_key]],2,FALSE),"")</f>
        <v/>
      </c>
    </row>
    <row r="896" spans="8:8" x14ac:dyDescent="0.2">
      <c r="H896" s="11" t="str">
        <f>IFERROR(VLOOKUP(tbl_product_scores[[#This Row],[product_key]],tbl_products[[product_key]:[group_display_key]],2,FALSE),"")</f>
        <v/>
      </c>
    </row>
    <row r="897" spans="8:8" x14ac:dyDescent="0.2">
      <c r="H897" s="11" t="str">
        <f>IFERROR(VLOOKUP(tbl_product_scores[[#This Row],[product_key]],tbl_products[[product_key]:[group_display_key]],2,FALSE),"")</f>
        <v/>
      </c>
    </row>
    <row r="898" spans="8:8" x14ac:dyDescent="0.2">
      <c r="H898" s="11" t="str">
        <f>IFERROR(VLOOKUP(tbl_product_scores[[#This Row],[product_key]],tbl_products[[product_key]:[group_display_key]],2,FALSE),"")</f>
        <v/>
      </c>
    </row>
    <row r="899" spans="8:8" x14ac:dyDescent="0.2">
      <c r="H899" s="11" t="str">
        <f>IFERROR(VLOOKUP(tbl_product_scores[[#This Row],[product_key]],tbl_products[[product_key]:[group_display_key]],2,FALSE),"")</f>
        <v/>
      </c>
    </row>
    <row r="900" spans="8:8" x14ac:dyDescent="0.2">
      <c r="H900" s="11" t="str">
        <f>IFERROR(VLOOKUP(tbl_product_scores[[#This Row],[product_key]],tbl_products[[product_key]:[group_display_key]],2,FALSE),"")</f>
        <v/>
      </c>
    </row>
    <row r="901" spans="8:8" x14ac:dyDescent="0.2">
      <c r="H901" s="11" t="str">
        <f>IFERROR(VLOOKUP(tbl_product_scores[[#This Row],[product_key]],tbl_products[[product_key]:[group_display_key]],2,FALSE),"")</f>
        <v/>
      </c>
    </row>
    <row r="902" spans="8:8" x14ac:dyDescent="0.2">
      <c r="H902" s="11" t="str">
        <f>IFERROR(VLOOKUP(tbl_product_scores[[#This Row],[product_key]],tbl_products[[product_key]:[group_display_key]],2,FALSE),"")</f>
        <v/>
      </c>
    </row>
    <row r="903" spans="8:8" x14ac:dyDescent="0.2">
      <c r="H903" s="11" t="str">
        <f>IFERROR(VLOOKUP(tbl_product_scores[[#This Row],[product_key]],tbl_products[[product_key]:[group_display_key]],2,FALSE),"")</f>
        <v/>
      </c>
    </row>
    <row r="904" spans="8:8" x14ac:dyDescent="0.2">
      <c r="H904" s="11" t="str">
        <f>IFERROR(VLOOKUP(tbl_product_scores[[#This Row],[product_key]],tbl_products[[product_key]:[group_display_key]],2,FALSE),"")</f>
        <v/>
      </c>
    </row>
    <row r="905" spans="8:8" x14ac:dyDescent="0.2">
      <c r="H905" s="11" t="str">
        <f>IFERROR(VLOOKUP(tbl_product_scores[[#This Row],[product_key]],tbl_products[[product_key]:[group_display_key]],2,FALSE),"")</f>
        <v/>
      </c>
    </row>
    <row r="906" spans="8:8" x14ac:dyDescent="0.2">
      <c r="H906" s="11" t="str">
        <f>IFERROR(VLOOKUP(tbl_product_scores[[#This Row],[product_key]],tbl_products[[product_key]:[group_display_key]],2,FALSE),"")</f>
        <v/>
      </c>
    </row>
    <row r="907" spans="8:8" x14ac:dyDescent="0.2">
      <c r="H907" s="11" t="str">
        <f>IFERROR(VLOOKUP(tbl_product_scores[[#This Row],[product_key]],tbl_products[[product_key]:[group_display_key]],2,FALSE),"")</f>
        <v/>
      </c>
    </row>
    <row r="908" spans="8:8" x14ac:dyDescent="0.2">
      <c r="H908" s="11" t="str">
        <f>IFERROR(VLOOKUP(tbl_product_scores[[#This Row],[product_key]],tbl_products[[product_key]:[group_display_key]],2,FALSE),"")</f>
        <v/>
      </c>
    </row>
    <row r="909" spans="8:8" x14ac:dyDescent="0.2">
      <c r="H909" s="11" t="str">
        <f>IFERROR(VLOOKUP(tbl_product_scores[[#This Row],[product_key]],tbl_products[[product_key]:[group_display_key]],2,FALSE),"")</f>
        <v/>
      </c>
    </row>
    <row r="910" spans="8:8" x14ac:dyDescent="0.2">
      <c r="H910" s="11" t="str">
        <f>IFERROR(VLOOKUP(tbl_product_scores[[#This Row],[product_key]],tbl_products[[product_key]:[group_display_key]],2,FALSE),"")</f>
        <v/>
      </c>
    </row>
    <row r="911" spans="8:8" x14ac:dyDescent="0.2">
      <c r="H911" s="11" t="str">
        <f>IFERROR(VLOOKUP(tbl_product_scores[[#This Row],[product_key]],tbl_products[[product_key]:[group_display_key]],2,FALSE),"")</f>
        <v/>
      </c>
    </row>
    <row r="912" spans="8:8" x14ac:dyDescent="0.2">
      <c r="H912" s="11" t="str">
        <f>IFERROR(VLOOKUP(tbl_product_scores[[#This Row],[product_key]],tbl_products[[product_key]:[group_display_key]],2,FALSE),"")</f>
        <v/>
      </c>
    </row>
    <row r="913" spans="8:8" x14ac:dyDescent="0.2">
      <c r="H913" s="11" t="str">
        <f>IFERROR(VLOOKUP(tbl_product_scores[[#This Row],[product_key]],tbl_products[[product_key]:[group_display_key]],2,FALSE),"")</f>
        <v/>
      </c>
    </row>
    <row r="914" spans="8:8" x14ac:dyDescent="0.2">
      <c r="H914" s="11" t="str">
        <f>IFERROR(VLOOKUP(tbl_product_scores[[#This Row],[product_key]],tbl_products[[product_key]:[group_display_key]],2,FALSE),"")</f>
        <v/>
      </c>
    </row>
    <row r="915" spans="8:8" x14ac:dyDescent="0.2">
      <c r="H915" s="11" t="str">
        <f>IFERROR(VLOOKUP(tbl_product_scores[[#This Row],[product_key]],tbl_products[[product_key]:[group_display_key]],2,FALSE),"")</f>
        <v/>
      </c>
    </row>
    <row r="916" spans="8:8" x14ac:dyDescent="0.2">
      <c r="H916" s="11" t="str">
        <f>IFERROR(VLOOKUP(tbl_product_scores[[#This Row],[product_key]],tbl_products[[product_key]:[group_display_key]],2,FALSE),"")</f>
        <v/>
      </c>
    </row>
    <row r="917" spans="8:8" x14ac:dyDescent="0.2">
      <c r="H917" s="11" t="str">
        <f>IFERROR(VLOOKUP(tbl_product_scores[[#This Row],[product_key]],tbl_products[[product_key]:[group_display_key]],2,FALSE),"")</f>
        <v/>
      </c>
    </row>
    <row r="918" spans="8:8" x14ac:dyDescent="0.2">
      <c r="H918" s="11" t="str">
        <f>IFERROR(VLOOKUP(tbl_product_scores[[#This Row],[product_key]],tbl_products[[product_key]:[group_display_key]],2,FALSE),"")</f>
        <v/>
      </c>
    </row>
    <row r="919" spans="8:8" x14ac:dyDescent="0.2">
      <c r="H919" s="11" t="str">
        <f>IFERROR(VLOOKUP(tbl_product_scores[[#This Row],[product_key]],tbl_products[[product_key]:[group_display_key]],2,FALSE),"")</f>
        <v/>
      </c>
    </row>
    <row r="920" spans="8:8" x14ac:dyDescent="0.2">
      <c r="H920" s="11" t="str">
        <f>IFERROR(VLOOKUP(tbl_product_scores[[#This Row],[product_key]],tbl_products[[product_key]:[group_display_key]],2,FALSE),"")</f>
        <v/>
      </c>
    </row>
    <row r="921" spans="8:8" x14ac:dyDescent="0.2">
      <c r="H921" s="11" t="str">
        <f>IFERROR(VLOOKUP(tbl_product_scores[[#This Row],[product_key]],tbl_products[[product_key]:[group_display_key]],2,FALSE),"")</f>
        <v/>
      </c>
    </row>
    <row r="922" spans="8:8" x14ac:dyDescent="0.2">
      <c r="H922" s="11" t="str">
        <f>IFERROR(VLOOKUP(tbl_product_scores[[#This Row],[product_key]],tbl_products[[product_key]:[group_display_key]],2,FALSE),"")</f>
        <v/>
      </c>
    </row>
    <row r="923" spans="8:8" x14ac:dyDescent="0.2">
      <c r="H923" s="11" t="str">
        <f>IFERROR(VLOOKUP(tbl_product_scores[[#This Row],[product_key]],tbl_products[[product_key]:[group_display_key]],2,FALSE),"")</f>
        <v/>
      </c>
    </row>
    <row r="924" spans="8:8" x14ac:dyDescent="0.2">
      <c r="H924" s="11" t="str">
        <f>IFERROR(VLOOKUP(tbl_product_scores[[#This Row],[product_key]],tbl_products[[product_key]:[group_display_key]],2,FALSE),"")</f>
        <v/>
      </c>
    </row>
    <row r="925" spans="8:8" x14ac:dyDescent="0.2">
      <c r="H925" s="11" t="str">
        <f>IFERROR(VLOOKUP(tbl_product_scores[[#This Row],[product_key]],tbl_products[[product_key]:[group_display_key]],2,FALSE),"")</f>
        <v/>
      </c>
    </row>
    <row r="926" spans="8:8" x14ac:dyDescent="0.2">
      <c r="H926" s="11" t="str">
        <f>IFERROR(VLOOKUP(tbl_product_scores[[#This Row],[product_key]],tbl_products[[product_key]:[group_display_key]],2,FALSE),"")</f>
        <v/>
      </c>
    </row>
    <row r="927" spans="8:8" x14ac:dyDescent="0.2">
      <c r="H927" s="11" t="str">
        <f>IFERROR(VLOOKUP(tbl_product_scores[[#This Row],[product_key]],tbl_products[[product_key]:[group_display_key]],2,FALSE),"")</f>
        <v/>
      </c>
    </row>
    <row r="928" spans="8:8" x14ac:dyDescent="0.2">
      <c r="H928" s="11" t="str">
        <f>IFERROR(VLOOKUP(tbl_product_scores[[#This Row],[product_key]],tbl_products[[product_key]:[group_display_key]],2,FALSE),"")</f>
        <v/>
      </c>
    </row>
    <row r="929" spans="8:8" x14ac:dyDescent="0.2">
      <c r="H929" s="11" t="str">
        <f>IFERROR(VLOOKUP(tbl_product_scores[[#This Row],[product_key]],tbl_products[[product_key]:[group_display_key]],2,FALSE),"")</f>
        <v/>
      </c>
    </row>
    <row r="930" spans="8:8" x14ac:dyDescent="0.2">
      <c r="H930" s="11" t="str">
        <f>IFERROR(VLOOKUP(tbl_product_scores[[#This Row],[product_key]],tbl_products[[product_key]:[group_display_key]],2,FALSE),"")</f>
        <v/>
      </c>
    </row>
    <row r="931" spans="8:8" x14ac:dyDescent="0.2">
      <c r="H931" s="11" t="str">
        <f>IFERROR(VLOOKUP(tbl_product_scores[[#This Row],[product_key]],tbl_products[[product_key]:[group_display_key]],2,FALSE),"")</f>
        <v/>
      </c>
    </row>
    <row r="932" spans="8:8" x14ac:dyDescent="0.2">
      <c r="H932" s="11" t="str">
        <f>IFERROR(VLOOKUP(tbl_product_scores[[#This Row],[product_key]],tbl_products[[product_key]:[group_display_key]],2,FALSE),"")</f>
        <v/>
      </c>
    </row>
    <row r="933" spans="8:8" x14ac:dyDescent="0.2">
      <c r="H933" s="11" t="str">
        <f>IFERROR(VLOOKUP(tbl_product_scores[[#This Row],[product_key]],tbl_products[[product_key]:[group_display_key]],2,FALSE),"")</f>
        <v/>
      </c>
    </row>
    <row r="934" spans="8:8" x14ac:dyDescent="0.2">
      <c r="H934" s="11" t="str">
        <f>IFERROR(VLOOKUP(tbl_product_scores[[#This Row],[product_key]],tbl_products[[product_key]:[group_display_key]],2,FALSE),"")</f>
        <v/>
      </c>
    </row>
    <row r="935" spans="8:8" x14ac:dyDescent="0.2">
      <c r="H935" s="11" t="str">
        <f>IFERROR(VLOOKUP(tbl_product_scores[[#This Row],[product_key]],tbl_products[[product_key]:[group_display_key]],2,FALSE),"")</f>
        <v/>
      </c>
    </row>
    <row r="936" spans="8:8" x14ac:dyDescent="0.2">
      <c r="H936" s="11" t="str">
        <f>IFERROR(VLOOKUP(tbl_product_scores[[#This Row],[product_key]],tbl_products[[product_key]:[group_display_key]],2,FALSE),"")</f>
        <v/>
      </c>
    </row>
    <row r="937" spans="8:8" x14ac:dyDescent="0.2">
      <c r="H937" s="11" t="str">
        <f>IFERROR(VLOOKUP(tbl_product_scores[[#This Row],[product_key]],tbl_products[[product_key]:[group_display_key]],2,FALSE),"")</f>
        <v/>
      </c>
    </row>
    <row r="938" spans="8:8" x14ac:dyDescent="0.2">
      <c r="H938" s="11" t="str">
        <f>IFERROR(VLOOKUP(tbl_product_scores[[#This Row],[product_key]],tbl_products[[product_key]:[group_display_key]],2,FALSE),"")</f>
        <v/>
      </c>
    </row>
    <row r="939" spans="8:8" x14ac:dyDescent="0.2">
      <c r="H939" s="11" t="str">
        <f>IFERROR(VLOOKUP(tbl_product_scores[[#This Row],[product_key]],tbl_products[[product_key]:[group_display_key]],2,FALSE),"")</f>
        <v/>
      </c>
    </row>
    <row r="940" spans="8:8" x14ac:dyDescent="0.2">
      <c r="H940" s="11" t="str">
        <f>IFERROR(VLOOKUP(tbl_product_scores[[#This Row],[product_key]],tbl_products[[product_key]:[group_display_key]],2,FALSE),"")</f>
        <v/>
      </c>
    </row>
    <row r="941" spans="8:8" x14ac:dyDescent="0.2">
      <c r="H941" s="11" t="str">
        <f>IFERROR(VLOOKUP(tbl_product_scores[[#This Row],[product_key]],tbl_products[[product_key]:[group_display_key]],2,FALSE),"")</f>
        <v/>
      </c>
    </row>
    <row r="942" spans="8:8" x14ac:dyDescent="0.2">
      <c r="H942" s="11" t="str">
        <f>IFERROR(VLOOKUP(tbl_product_scores[[#This Row],[product_key]],tbl_products[[product_key]:[group_display_key]],2,FALSE),"")</f>
        <v/>
      </c>
    </row>
    <row r="943" spans="8:8" x14ac:dyDescent="0.2">
      <c r="H943" s="11" t="str">
        <f>IFERROR(VLOOKUP(tbl_product_scores[[#This Row],[product_key]],tbl_products[[product_key]:[group_display_key]],2,FALSE),"")</f>
        <v/>
      </c>
    </row>
    <row r="944" spans="8:8" x14ac:dyDescent="0.2">
      <c r="H944" s="11" t="str">
        <f>IFERROR(VLOOKUP(tbl_product_scores[[#This Row],[product_key]],tbl_products[[product_key]:[group_display_key]],2,FALSE),"")</f>
        <v/>
      </c>
    </row>
    <row r="945" spans="8:8" x14ac:dyDescent="0.2">
      <c r="H945" s="11" t="str">
        <f>IFERROR(VLOOKUP(tbl_product_scores[[#This Row],[product_key]],tbl_products[[product_key]:[group_display_key]],2,FALSE),"")</f>
        <v/>
      </c>
    </row>
    <row r="946" spans="8:8" x14ac:dyDescent="0.2">
      <c r="H946" s="11" t="str">
        <f>IFERROR(VLOOKUP(tbl_product_scores[[#This Row],[product_key]],tbl_products[[product_key]:[group_display_key]],2,FALSE),"")</f>
        <v/>
      </c>
    </row>
    <row r="947" spans="8:8" x14ac:dyDescent="0.2">
      <c r="H947" s="11" t="str">
        <f>IFERROR(VLOOKUP(tbl_product_scores[[#This Row],[product_key]],tbl_products[[product_key]:[group_display_key]],2,FALSE),"")</f>
        <v/>
      </c>
    </row>
    <row r="948" spans="8:8" x14ac:dyDescent="0.2">
      <c r="H948" s="11" t="str">
        <f>IFERROR(VLOOKUP(tbl_product_scores[[#This Row],[product_key]],tbl_products[[product_key]:[group_display_key]],2,FALSE),"")</f>
        <v/>
      </c>
    </row>
    <row r="949" spans="8:8" x14ac:dyDescent="0.2">
      <c r="H949" s="11" t="str">
        <f>IFERROR(VLOOKUP(tbl_product_scores[[#This Row],[product_key]],tbl_products[[product_key]:[group_display_key]],2,FALSE),"")</f>
        <v/>
      </c>
    </row>
    <row r="950" spans="8:8" x14ac:dyDescent="0.2">
      <c r="H950" s="11" t="str">
        <f>IFERROR(VLOOKUP(tbl_product_scores[[#This Row],[product_key]],tbl_products[[product_key]:[group_display_key]],2,FALSE),"")</f>
        <v/>
      </c>
    </row>
    <row r="951" spans="8:8" x14ac:dyDescent="0.2">
      <c r="H951" s="11" t="str">
        <f>IFERROR(VLOOKUP(tbl_product_scores[[#This Row],[product_key]],tbl_products[[product_key]:[group_display_key]],2,FALSE),"")</f>
        <v/>
      </c>
    </row>
    <row r="952" spans="8:8" x14ac:dyDescent="0.2">
      <c r="H952" s="11" t="str">
        <f>IFERROR(VLOOKUP(tbl_product_scores[[#This Row],[product_key]],tbl_products[[product_key]:[group_display_key]],2,FALSE),"")</f>
        <v/>
      </c>
    </row>
    <row r="953" spans="8:8" x14ac:dyDescent="0.2">
      <c r="H953" s="11" t="str">
        <f>IFERROR(VLOOKUP(tbl_product_scores[[#This Row],[product_key]],tbl_products[[product_key]:[group_display_key]],2,FALSE),"")</f>
        <v/>
      </c>
    </row>
    <row r="954" spans="8:8" x14ac:dyDescent="0.2">
      <c r="H954" s="11" t="str">
        <f>IFERROR(VLOOKUP(tbl_product_scores[[#This Row],[product_key]],tbl_products[[product_key]:[group_display_key]],2,FALSE),"")</f>
        <v/>
      </c>
    </row>
    <row r="955" spans="8:8" x14ac:dyDescent="0.2">
      <c r="H955" s="11" t="str">
        <f>IFERROR(VLOOKUP(tbl_product_scores[[#This Row],[product_key]],tbl_products[[product_key]:[group_display_key]],2,FALSE),"")</f>
        <v/>
      </c>
    </row>
    <row r="956" spans="8:8" x14ac:dyDescent="0.2">
      <c r="H956" s="11" t="str">
        <f>IFERROR(VLOOKUP(tbl_product_scores[[#This Row],[product_key]],tbl_products[[product_key]:[group_display_key]],2,FALSE),"")</f>
        <v/>
      </c>
    </row>
    <row r="957" spans="8:8" x14ac:dyDescent="0.2">
      <c r="H957" s="11" t="str">
        <f>IFERROR(VLOOKUP(tbl_product_scores[[#This Row],[product_key]],tbl_products[[product_key]:[group_display_key]],2,FALSE),"")</f>
        <v/>
      </c>
    </row>
    <row r="958" spans="8:8" x14ac:dyDescent="0.2">
      <c r="H958" s="11" t="str">
        <f>IFERROR(VLOOKUP(tbl_product_scores[[#This Row],[product_key]],tbl_products[[product_key]:[group_display_key]],2,FALSE),"")</f>
        <v/>
      </c>
    </row>
    <row r="959" spans="8:8" x14ac:dyDescent="0.2">
      <c r="H959" s="11" t="str">
        <f>IFERROR(VLOOKUP(tbl_product_scores[[#This Row],[product_key]],tbl_products[[product_key]:[group_display_key]],2,FALSE),"")</f>
        <v/>
      </c>
    </row>
    <row r="960" spans="8:8" x14ac:dyDescent="0.2">
      <c r="H960" s="11" t="str">
        <f>IFERROR(VLOOKUP(tbl_product_scores[[#This Row],[product_key]],tbl_products[[product_key]:[group_display_key]],2,FALSE),"")</f>
        <v/>
      </c>
    </row>
    <row r="961" spans="8:8" x14ac:dyDescent="0.2">
      <c r="H961" s="11" t="str">
        <f>IFERROR(VLOOKUP(tbl_product_scores[[#This Row],[product_key]],tbl_products[[product_key]:[group_display_key]],2,FALSE),"")</f>
        <v/>
      </c>
    </row>
    <row r="962" spans="8:8" x14ac:dyDescent="0.2">
      <c r="H962" s="11" t="str">
        <f>IFERROR(VLOOKUP(tbl_product_scores[[#This Row],[product_key]],tbl_products[[product_key]:[group_display_key]],2,FALSE),"")</f>
        <v/>
      </c>
    </row>
    <row r="963" spans="8:8" x14ac:dyDescent="0.2">
      <c r="H963" s="11" t="str">
        <f>IFERROR(VLOOKUP(tbl_product_scores[[#This Row],[product_key]],tbl_products[[product_key]:[group_display_key]],2,FALSE),"")</f>
        <v/>
      </c>
    </row>
    <row r="964" spans="8:8" x14ac:dyDescent="0.2">
      <c r="H964" s="11" t="str">
        <f>IFERROR(VLOOKUP(tbl_product_scores[[#This Row],[product_key]],tbl_products[[product_key]:[group_display_key]],2,FALSE),"")</f>
        <v/>
      </c>
    </row>
    <row r="965" spans="8:8" x14ac:dyDescent="0.2">
      <c r="H965" s="11" t="str">
        <f>IFERROR(VLOOKUP(tbl_product_scores[[#This Row],[product_key]],tbl_products[[product_key]:[group_display_key]],2,FALSE),"")</f>
        <v/>
      </c>
    </row>
    <row r="966" spans="8:8" x14ac:dyDescent="0.2">
      <c r="H966" s="11" t="str">
        <f>IFERROR(VLOOKUP(tbl_product_scores[[#This Row],[product_key]],tbl_products[[product_key]:[group_display_key]],2,FALSE),"")</f>
        <v/>
      </c>
    </row>
    <row r="967" spans="8:8" x14ac:dyDescent="0.2">
      <c r="H967" s="11" t="str">
        <f>IFERROR(VLOOKUP(tbl_product_scores[[#This Row],[product_key]],tbl_products[[product_key]:[group_display_key]],2,FALSE),"")</f>
        <v/>
      </c>
    </row>
    <row r="968" spans="8:8" x14ac:dyDescent="0.2">
      <c r="H968" s="11" t="str">
        <f>IFERROR(VLOOKUP(tbl_product_scores[[#This Row],[product_key]],tbl_products[[product_key]:[group_display_key]],2,FALSE),"")</f>
        <v/>
      </c>
    </row>
    <row r="969" spans="8:8" x14ac:dyDescent="0.2">
      <c r="H969" s="11" t="str">
        <f>IFERROR(VLOOKUP(tbl_product_scores[[#This Row],[product_key]],tbl_products[[product_key]:[group_display_key]],2,FALSE),"")</f>
        <v/>
      </c>
    </row>
    <row r="970" spans="8:8" x14ac:dyDescent="0.2">
      <c r="H970" s="11" t="str">
        <f>IFERROR(VLOOKUP(tbl_product_scores[[#This Row],[product_key]],tbl_products[[product_key]:[group_display_key]],2,FALSE),"")</f>
        <v/>
      </c>
    </row>
    <row r="971" spans="8:8" x14ac:dyDescent="0.2">
      <c r="H971" s="11" t="str">
        <f>IFERROR(VLOOKUP(tbl_product_scores[[#This Row],[product_key]],tbl_products[[product_key]:[group_display_key]],2,FALSE),"")</f>
        <v/>
      </c>
    </row>
    <row r="972" spans="8:8" x14ac:dyDescent="0.2">
      <c r="H972" s="11" t="str">
        <f>IFERROR(VLOOKUP(tbl_product_scores[[#This Row],[product_key]],tbl_products[[product_key]:[group_display_key]],2,FALSE),"")</f>
        <v/>
      </c>
    </row>
    <row r="973" spans="8:8" x14ac:dyDescent="0.2">
      <c r="H973" s="11" t="str">
        <f>IFERROR(VLOOKUP(tbl_product_scores[[#This Row],[product_key]],tbl_products[[product_key]:[group_display_key]],2,FALSE),"")</f>
        <v/>
      </c>
    </row>
    <row r="974" spans="8:8" x14ac:dyDescent="0.2">
      <c r="H974" s="11" t="str">
        <f>IFERROR(VLOOKUP(tbl_product_scores[[#This Row],[product_key]],tbl_products[[product_key]:[group_display_key]],2,FALSE),"")</f>
        <v/>
      </c>
    </row>
    <row r="975" spans="8:8" x14ac:dyDescent="0.2">
      <c r="H975" s="11" t="str">
        <f>IFERROR(VLOOKUP(tbl_product_scores[[#This Row],[product_key]],tbl_products[[product_key]:[group_display_key]],2,FALSE),"")</f>
        <v/>
      </c>
    </row>
    <row r="976" spans="8:8" x14ac:dyDescent="0.2">
      <c r="H976" s="11" t="str">
        <f>IFERROR(VLOOKUP(tbl_product_scores[[#This Row],[product_key]],tbl_products[[product_key]:[group_display_key]],2,FALSE),"")</f>
        <v/>
      </c>
    </row>
    <row r="977" spans="8:8" x14ac:dyDescent="0.2">
      <c r="H977" s="11" t="str">
        <f>IFERROR(VLOOKUP(tbl_product_scores[[#This Row],[product_key]],tbl_products[[product_key]:[group_display_key]],2,FALSE),"")</f>
        <v/>
      </c>
    </row>
    <row r="978" spans="8:8" x14ac:dyDescent="0.2">
      <c r="H978" s="11" t="str">
        <f>IFERROR(VLOOKUP(tbl_product_scores[[#This Row],[product_key]],tbl_products[[product_key]:[group_display_key]],2,FALSE),"")</f>
        <v/>
      </c>
    </row>
    <row r="979" spans="8:8" x14ac:dyDescent="0.2">
      <c r="H979" s="11" t="str">
        <f>IFERROR(VLOOKUP(tbl_product_scores[[#This Row],[product_key]],tbl_products[[product_key]:[group_display_key]],2,FALSE),"")</f>
        <v/>
      </c>
    </row>
    <row r="980" spans="8:8" x14ac:dyDescent="0.2">
      <c r="H980" s="11" t="str">
        <f>IFERROR(VLOOKUP(tbl_product_scores[[#This Row],[product_key]],tbl_products[[product_key]:[group_display_key]],2,FALSE),"")</f>
        <v/>
      </c>
    </row>
    <row r="981" spans="8:8" x14ac:dyDescent="0.2">
      <c r="H981" s="11" t="str">
        <f>IFERROR(VLOOKUP(tbl_product_scores[[#This Row],[product_key]],tbl_products[[product_key]:[group_display_key]],2,FALSE),"")</f>
        <v/>
      </c>
    </row>
    <row r="982" spans="8:8" x14ac:dyDescent="0.2">
      <c r="H982" s="11" t="str">
        <f>IFERROR(VLOOKUP(tbl_product_scores[[#This Row],[product_key]],tbl_products[[product_key]:[group_display_key]],2,FALSE),"")</f>
        <v/>
      </c>
    </row>
    <row r="983" spans="8:8" x14ac:dyDescent="0.2">
      <c r="H983" s="11" t="str">
        <f>IFERROR(VLOOKUP(tbl_product_scores[[#This Row],[product_key]],tbl_products[[product_key]:[group_display_key]],2,FALSE),"")</f>
        <v/>
      </c>
    </row>
    <row r="984" spans="8:8" x14ac:dyDescent="0.2">
      <c r="H984" s="11" t="str">
        <f>IFERROR(VLOOKUP(tbl_product_scores[[#This Row],[product_key]],tbl_products[[product_key]:[group_display_key]],2,FALSE),"")</f>
        <v/>
      </c>
    </row>
    <row r="985" spans="8:8" x14ac:dyDescent="0.2">
      <c r="H985" s="11" t="str">
        <f>IFERROR(VLOOKUP(tbl_product_scores[[#This Row],[product_key]],tbl_products[[product_key]:[group_display_key]],2,FALSE),"")</f>
        <v/>
      </c>
    </row>
    <row r="986" spans="8:8" x14ac:dyDescent="0.2">
      <c r="H986" s="11" t="str">
        <f>IFERROR(VLOOKUP(tbl_product_scores[[#This Row],[product_key]],tbl_products[[product_key]:[group_display_key]],2,FALSE),"")</f>
        <v/>
      </c>
    </row>
    <row r="987" spans="8:8" x14ac:dyDescent="0.2">
      <c r="H987" s="11" t="str">
        <f>IFERROR(VLOOKUP(tbl_product_scores[[#This Row],[product_key]],tbl_products[[product_key]:[group_display_key]],2,FALSE),"")</f>
        <v/>
      </c>
    </row>
    <row r="988" spans="8:8" x14ac:dyDescent="0.2">
      <c r="H988" s="11" t="str">
        <f>IFERROR(VLOOKUP(tbl_product_scores[[#This Row],[product_key]],tbl_products[[product_key]:[group_display_key]],2,FALSE),"")</f>
        <v/>
      </c>
    </row>
    <row r="989" spans="8:8" x14ac:dyDescent="0.2">
      <c r="H989" s="11" t="str">
        <f>IFERROR(VLOOKUP(tbl_product_scores[[#This Row],[product_key]],tbl_products[[product_key]:[group_display_key]],2,FALSE),"")</f>
        <v/>
      </c>
    </row>
    <row r="990" spans="8:8" x14ac:dyDescent="0.2">
      <c r="H990" s="11" t="str">
        <f>IFERROR(VLOOKUP(tbl_product_scores[[#This Row],[product_key]],tbl_products[[product_key]:[group_display_key]],2,FALSE),"")</f>
        <v/>
      </c>
    </row>
    <row r="991" spans="8:8" x14ac:dyDescent="0.2">
      <c r="H991" s="11" t="str">
        <f>IFERROR(VLOOKUP(tbl_product_scores[[#This Row],[product_key]],tbl_products[[product_key]:[group_display_key]],2,FALSE),"")</f>
        <v/>
      </c>
    </row>
    <row r="992" spans="8:8" x14ac:dyDescent="0.2">
      <c r="H992" s="11" t="str">
        <f>IFERROR(VLOOKUP(tbl_product_scores[[#This Row],[product_key]],tbl_products[[product_key]:[group_display_key]],2,FALSE),"")</f>
        <v/>
      </c>
    </row>
    <row r="993" spans="8:8" x14ac:dyDescent="0.2">
      <c r="H993" s="11" t="str">
        <f>IFERROR(VLOOKUP(tbl_product_scores[[#This Row],[product_key]],tbl_products[[product_key]:[group_display_key]],2,FALSE),"")</f>
        <v/>
      </c>
    </row>
    <row r="994" spans="8:8" x14ac:dyDescent="0.2">
      <c r="H994" s="11" t="str">
        <f>IFERROR(VLOOKUP(tbl_product_scores[[#This Row],[product_key]],tbl_products[[product_key]:[group_display_key]],2,FALSE),"")</f>
        <v/>
      </c>
    </row>
    <row r="995" spans="8:8" x14ac:dyDescent="0.2">
      <c r="H995" s="11" t="str">
        <f>IFERROR(VLOOKUP(tbl_product_scores[[#This Row],[product_key]],tbl_products[[product_key]:[group_display_key]],2,FALSE),"")</f>
        <v/>
      </c>
    </row>
    <row r="996" spans="8:8" x14ac:dyDescent="0.2">
      <c r="H996" s="11" t="str">
        <f>IFERROR(VLOOKUP(tbl_product_scores[[#This Row],[product_key]],tbl_products[[product_key]:[group_display_key]],2,FALSE),"")</f>
        <v/>
      </c>
    </row>
    <row r="997" spans="8:8" x14ac:dyDescent="0.2">
      <c r="H997" s="11" t="str">
        <f>IFERROR(VLOOKUP(tbl_product_scores[[#This Row],[product_key]],tbl_products[[product_key]:[group_display_key]],2,FALSE),"")</f>
        <v/>
      </c>
    </row>
    <row r="998" spans="8:8" x14ac:dyDescent="0.2">
      <c r="H998" s="11" t="str">
        <f>IFERROR(VLOOKUP(tbl_product_scores[[#This Row],[product_key]],tbl_products[[product_key]:[group_display_key]],2,FALSE),"")</f>
        <v/>
      </c>
    </row>
    <row r="999" spans="8:8" x14ac:dyDescent="0.2">
      <c r="H999" s="11" t="str">
        <f>IFERROR(VLOOKUP(tbl_product_scores[[#This Row],[product_key]],tbl_products[[product_key]:[group_display_key]],2,FALSE),"")</f>
        <v/>
      </c>
    </row>
    <row r="1000" spans="8:8" x14ac:dyDescent="0.2">
      <c r="H1000" s="11" t="str">
        <f>IFERROR(VLOOKUP(tbl_product_scores[[#This Row],[product_key]],tbl_products[[product_key]:[group_display_key]],2,FALSE),"")</f>
        <v/>
      </c>
    </row>
    <row r="1001" spans="8:8" x14ac:dyDescent="0.2">
      <c r="H1001" s="11" t="str">
        <f>IFERROR(VLOOKUP(tbl_product_scores[[#This Row],[product_key]],tbl_products[[product_key]:[group_display_key]],2,FALSE),"")</f>
        <v/>
      </c>
    </row>
    <row r="1002" spans="8:8" x14ac:dyDescent="0.2">
      <c r="H1002" s="11" t="str">
        <f>IFERROR(VLOOKUP(tbl_product_scores[[#This Row],[product_key]],tbl_products[[product_key]:[group_display_key]],2,FALSE),"")</f>
        <v/>
      </c>
    </row>
    <row r="1003" spans="8:8" x14ac:dyDescent="0.2">
      <c r="H1003" s="11" t="str">
        <f>IFERROR(VLOOKUP(tbl_product_scores[[#This Row],[product_key]],tbl_products[[product_key]:[group_display_key]],2,FALSE),"")</f>
        <v/>
      </c>
    </row>
    <row r="1004" spans="8:8" x14ac:dyDescent="0.2">
      <c r="H1004" s="11" t="str">
        <f>IFERROR(VLOOKUP(tbl_product_scores[[#This Row],[product_key]],tbl_products[[product_key]:[group_display_key]],2,FALSE),"")</f>
        <v/>
      </c>
    </row>
    <row r="1005" spans="8:8" x14ac:dyDescent="0.2">
      <c r="H1005" s="11" t="str">
        <f>IFERROR(VLOOKUP(tbl_product_scores[[#This Row],[product_key]],tbl_products[[product_key]:[group_display_key]],2,FALSE),"")</f>
        <v/>
      </c>
    </row>
    <row r="1006" spans="8:8" x14ac:dyDescent="0.2">
      <c r="H1006" s="11" t="str">
        <f>IFERROR(VLOOKUP(tbl_product_scores[[#This Row],[product_key]],tbl_products[[product_key]:[group_display_key]],2,FALSE),"")</f>
        <v/>
      </c>
    </row>
    <row r="1007" spans="8:8" x14ac:dyDescent="0.2">
      <c r="H1007" s="11" t="str">
        <f>IFERROR(VLOOKUP(tbl_product_scores[[#This Row],[product_key]],tbl_products[[product_key]:[group_display_key]],2,FALSE),"")</f>
        <v/>
      </c>
    </row>
    <row r="1008" spans="8:8" x14ac:dyDescent="0.2">
      <c r="H1008" s="11" t="str">
        <f>IFERROR(VLOOKUP(tbl_product_scores[[#This Row],[product_key]],tbl_products[[product_key]:[group_display_key]],2,FALSE),"")</f>
        <v/>
      </c>
    </row>
    <row r="1009" spans="8:8" x14ac:dyDescent="0.2">
      <c r="H1009" s="11" t="str">
        <f>IFERROR(VLOOKUP(tbl_product_scores[[#This Row],[product_key]],tbl_products[[product_key]:[group_display_key]],2,FALSE),"")</f>
        <v/>
      </c>
    </row>
    <row r="1010" spans="8:8" x14ac:dyDescent="0.2">
      <c r="H1010" s="11" t="str">
        <f>IFERROR(VLOOKUP(tbl_product_scores[[#This Row],[product_key]],tbl_products[[product_key]:[group_display_key]],2,FALSE),"")</f>
        <v/>
      </c>
    </row>
    <row r="1011" spans="8:8" x14ac:dyDescent="0.2">
      <c r="H1011" s="11" t="str">
        <f>IFERROR(VLOOKUP(tbl_product_scores[[#This Row],[product_key]],tbl_products[[product_key]:[group_display_key]],2,FALSE),"")</f>
        <v/>
      </c>
    </row>
    <row r="1012" spans="8:8" x14ac:dyDescent="0.2">
      <c r="H1012" s="11" t="str">
        <f>IFERROR(VLOOKUP(tbl_product_scores[[#This Row],[product_key]],tbl_products[[product_key]:[group_display_key]],2,FALSE),"")</f>
        <v/>
      </c>
    </row>
    <row r="1013" spans="8:8" x14ac:dyDescent="0.2">
      <c r="H1013" s="11" t="str">
        <f>IFERROR(VLOOKUP(tbl_product_scores[[#This Row],[product_key]],tbl_products[[product_key]:[group_display_key]],2,FALSE),"")</f>
        <v/>
      </c>
    </row>
    <row r="1014" spans="8:8" x14ac:dyDescent="0.2">
      <c r="H1014" s="11" t="str">
        <f>IFERROR(VLOOKUP(tbl_product_scores[[#This Row],[product_key]],tbl_products[[product_key]:[group_display_key]],2,FALSE),"")</f>
        <v/>
      </c>
    </row>
    <row r="1015" spans="8:8" x14ac:dyDescent="0.2">
      <c r="H1015" s="11" t="str">
        <f>IFERROR(VLOOKUP(tbl_product_scores[[#This Row],[product_key]],tbl_products[[product_key]:[group_display_key]],2,FALSE),"")</f>
        <v/>
      </c>
    </row>
    <row r="1016" spans="8:8" x14ac:dyDescent="0.2">
      <c r="H1016" s="11" t="str">
        <f>IFERROR(VLOOKUP(tbl_product_scores[[#This Row],[product_key]],tbl_products[[product_key]:[group_display_key]],2,FALSE),"")</f>
        <v/>
      </c>
    </row>
    <row r="1017" spans="8:8" x14ac:dyDescent="0.2">
      <c r="H1017" s="11" t="str">
        <f>IFERROR(VLOOKUP(tbl_product_scores[[#This Row],[product_key]],tbl_products[[product_key]:[group_display_key]],2,FALSE),"")</f>
        <v/>
      </c>
    </row>
    <row r="1018" spans="8:8" x14ac:dyDescent="0.2">
      <c r="H1018" s="11" t="str">
        <f>IFERROR(VLOOKUP(tbl_product_scores[[#This Row],[product_key]],tbl_products[[product_key]:[group_display_key]],2,FALSE),"")</f>
        <v/>
      </c>
    </row>
    <row r="1019" spans="8:8" x14ac:dyDescent="0.2">
      <c r="H1019" s="11" t="str">
        <f>IFERROR(VLOOKUP(tbl_product_scores[[#This Row],[product_key]],tbl_products[[product_key]:[group_display_key]],2,FALSE),"")</f>
        <v/>
      </c>
    </row>
    <row r="1020" spans="8:8" x14ac:dyDescent="0.2">
      <c r="H1020" s="11" t="str">
        <f>IFERROR(VLOOKUP(tbl_product_scores[[#This Row],[product_key]],tbl_products[[product_key]:[group_display_key]],2,FALSE),"")</f>
        <v/>
      </c>
    </row>
    <row r="1021" spans="8:8" x14ac:dyDescent="0.2">
      <c r="H1021" s="11" t="str">
        <f>IFERROR(VLOOKUP(tbl_product_scores[[#This Row],[product_key]],tbl_products[[product_key]:[group_display_key]],2,FALSE),"")</f>
        <v/>
      </c>
    </row>
    <row r="1022" spans="8:8" x14ac:dyDescent="0.2">
      <c r="H1022" s="11" t="str">
        <f>IFERROR(VLOOKUP(tbl_product_scores[[#This Row],[product_key]],tbl_products[[product_key]:[group_display_key]],2,FALSE),"")</f>
        <v/>
      </c>
    </row>
    <row r="1023" spans="8:8" x14ac:dyDescent="0.2">
      <c r="H1023" s="11" t="str">
        <f>IFERROR(VLOOKUP(tbl_product_scores[[#This Row],[product_key]],tbl_products[[product_key]:[group_display_key]],2,FALSE),"")</f>
        <v/>
      </c>
    </row>
    <row r="1024" spans="8:8" x14ac:dyDescent="0.2">
      <c r="H1024" s="11" t="str">
        <f>IFERROR(VLOOKUP(tbl_product_scores[[#This Row],[product_key]],tbl_products[[product_key]:[group_display_key]],2,FALSE),"")</f>
        <v/>
      </c>
    </row>
    <row r="1025" spans="8:8" x14ac:dyDescent="0.2">
      <c r="H1025" s="11" t="str">
        <f>IFERROR(VLOOKUP(tbl_product_scores[[#This Row],[product_key]],tbl_products[[product_key]:[group_display_key]],2,FALSE),"")</f>
        <v/>
      </c>
    </row>
    <row r="1026" spans="8:8" x14ac:dyDescent="0.2">
      <c r="H1026" s="11" t="str">
        <f>IFERROR(VLOOKUP(tbl_product_scores[[#This Row],[product_key]],tbl_products[[product_key]:[group_display_key]],2,FALSE),"")</f>
        <v/>
      </c>
    </row>
    <row r="1027" spans="8:8" x14ac:dyDescent="0.2">
      <c r="H1027" s="11" t="str">
        <f>IFERROR(VLOOKUP(tbl_product_scores[[#This Row],[product_key]],tbl_products[[product_key]:[group_display_key]],2,FALSE),"")</f>
        <v/>
      </c>
    </row>
    <row r="1028" spans="8:8" x14ac:dyDescent="0.2">
      <c r="H1028" s="11" t="str">
        <f>IFERROR(VLOOKUP(tbl_product_scores[[#This Row],[product_key]],tbl_products[[product_key]:[group_display_key]],2,FALSE),"")</f>
        <v/>
      </c>
    </row>
    <row r="1029" spans="8:8" x14ac:dyDescent="0.2">
      <c r="H1029" s="11" t="str">
        <f>IFERROR(VLOOKUP(tbl_product_scores[[#This Row],[product_key]],tbl_products[[product_key]:[group_display_key]],2,FALSE),"")</f>
        <v/>
      </c>
    </row>
    <row r="1030" spans="8:8" x14ac:dyDescent="0.2">
      <c r="H1030" s="11" t="str">
        <f>IFERROR(VLOOKUP(tbl_product_scores[[#This Row],[product_key]],tbl_products[[product_key]:[group_display_key]],2,FALSE),"")</f>
        <v/>
      </c>
    </row>
    <row r="1031" spans="8:8" x14ac:dyDescent="0.2">
      <c r="H1031" s="11" t="str">
        <f>IFERROR(VLOOKUP(tbl_product_scores[[#This Row],[product_key]],tbl_products[[product_key]:[group_display_key]],2,FALSE),"")</f>
        <v/>
      </c>
    </row>
    <row r="1032" spans="8:8" x14ac:dyDescent="0.2">
      <c r="H1032" s="11" t="str">
        <f>IFERROR(VLOOKUP(tbl_product_scores[[#This Row],[product_key]],tbl_products[[product_key]:[group_display_key]],2,FALSE),"")</f>
        <v/>
      </c>
    </row>
    <row r="1033" spans="8:8" x14ac:dyDescent="0.2">
      <c r="H1033" s="11" t="str">
        <f>IFERROR(VLOOKUP(tbl_product_scores[[#This Row],[product_key]],tbl_products[[product_key]:[group_display_key]],2,FALSE),"")</f>
        <v/>
      </c>
    </row>
    <row r="1034" spans="8:8" x14ac:dyDescent="0.2">
      <c r="H1034" s="11" t="str">
        <f>IFERROR(VLOOKUP(tbl_product_scores[[#This Row],[product_key]],tbl_products[[product_key]:[group_display_key]],2,FALSE),"")</f>
        <v/>
      </c>
    </row>
    <row r="1035" spans="8:8" x14ac:dyDescent="0.2">
      <c r="H1035" s="11" t="str">
        <f>IFERROR(VLOOKUP(tbl_product_scores[[#This Row],[product_key]],tbl_products[[product_key]:[group_display_key]],2,FALSE),"")</f>
        <v/>
      </c>
    </row>
    <row r="1036" spans="8:8" x14ac:dyDescent="0.2">
      <c r="H1036" s="11" t="str">
        <f>IFERROR(VLOOKUP(tbl_product_scores[[#This Row],[product_key]],tbl_products[[product_key]:[group_display_key]],2,FALSE),"")</f>
        <v/>
      </c>
    </row>
    <row r="1037" spans="8:8" x14ac:dyDescent="0.2">
      <c r="H1037" s="11" t="str">
        <f>IFERROR(VLOOKUP(tbl_product_scores[[#This Row],[product_key]],tbl_products[[product_key]:[group_display_key]],2,FALSE),"")</f>
        <v/>
      </c>
    </row>
    <row r="1038" spans="8:8" x14ac:dyDescent="0.2">
      <c r="H1038" s="11" t="str">
        <f>IFERROR(VLOOKUP(tbl_product_scores[[#This Row],[product_key]],tbl_products[[product_key]:[group_display_key]],2,FALSE),"")</f>
        <v/>
      </c>
    </row>
    <row r="1039" spans="8:8" x14ac:dyDescent="0.2">
      <c r="H1039" s="11" t="str">
        <f>IFERROR(VLOOKUP(tbl_product_scores[[#This Row],[product_key]],tbl_products[[product_key]:[group_display_key]],2,FALSE),"")</f>
        <v/>
      </c>
    </row>
    <row r="1040" spans="8:8" x14ac:dyDescent="0.2">
      <c r="H1040" s="11" t="str">
        <f>IFERROR(VLOOKUP(tbl_product_scores[[#This Row],[product_key]],tbl_products[[product_key]:[group_display_key]],2,FALSE),"")</f>
        <v/>
      </c>
    </row>
    <row r="1041" spans="8:8" x14ac:dyDescent="0.2">
      <c r="H1041" s="11" t="str">
        <f>IFERROR(VLOOKUP(tbl_product_scores[[#This Row],[product_key]],tbl_products[[product_key]:[group_display_key]],2,FALSE),"")</f>
        <v/>
      </c>
    </row>
    <row r="1042" spans="8:8" x14ac:dyDescent="0.2">
      <c r="H1042" s="11" t="str">
        <f>IFERROR(VLOOKUP(tbl_product_scores[[#This Row],[product_key]],tbl_products[[product_key]:[group_display_key]],2,FALSE),"")</f>
        <v/>
      </c>
    </row>
    <row r="1043" spans="8:8" x14ac:dyDescent="0.2">
      <c r="H1043" s="11" t="str">
        <f>IFERROR(VLOOKUP(tbl_product_scores[[#This Row],[product_key]],tbl_products[[product_key]:[group_display_key]],2,FALSE),"")</f>
        <v/>
      </c>
    </row>
    <row r="1044" spans="8:8" x14ac:dyDescent="0.2">
      <c r="H1044" s="11" t="str">
        <f>IFERROR(VLOOKUP(tbl_product_scores[[#This Row],[product_key]],tbl_products[[product_key]:[group_display_key]],2,FALSE),"")</f>
        <v/>
      </c>
    </row>
    <row r="1045" spans="8:8" x14ac:dyDescent="0.2">
      <c r="H1045" s="11" t="str">
        <f>IFERROR(VLOOKUP(tbl_product_scores[[#This Row],[product_key]],tbl_products[[product_key]:[group_display_key]],2,FALSE),"")</f>
        <v/>
      </c>
    </row>
    <row r="1046" spans="8:8" x14ac:dyDescent="0.2">
      <c r="H1046" s="11" t="str">
        <f>IFERROR(VLOOKUP(tbl_product_scores[[#This Row],[product_key]],tbl_products[[product_key]:[group_display_key]],2,FALSE),"")</f>
        <v/>
      </c>
    </row>
    <row r="1047" spans="8:8" x14ac:dyDescent="0.2">
      <c r="H1047" s="11" t="str">
        <f>IFERROR(VLOOKUP(tbl_product_scores[[#This Row],[product_key]],tbl_products[[product_key]:[group_display_key]],2,FALSE),"")</f>
        <v/>
      </c>
    </row>
    <row r="1048" spans="8:8" x14ac:dyDescent="0.2">
      <c r="H1048" s="11" t="str">
        <f>IFERROR(VLOOKUP(tbl_product_scores[[#This Row],[product_key]],tbl_products[[product_key]:[group_display_key]],2,FALSE),"")</f>
        <v/>
      </c>
    </row>
    <row r="1049" spans="8:8" x14ac:dyDescent="0.2">
      <c r="H1049" s="11" t="str">
        <f>IFERROR(VLOOKUP(tbl_product_scores[[#This Row],[product_key]],tbl_products[[product_key]:[group_display_key]],2,FALSE),"")</f>
        <v/>
      </c>
    </row>
    <row r="1050" spans="8:8" x14ac:dyDescent="0.2">
      <c r="H1050" s="11" t="str">
        <f>IFERROR(VLOOKUP(tbl_product_scores[[#This Row],[product_key]],tbl_products[[product_key]:[group_display_key]],2,FALSE),"")</f>
        <v/>
      </c>
    </row>
    <row r="1051" spans="8:8" x14ac:dyDescent="0.2">
      <c r="H1051" s="11" t="str">
        <f>IFERROR(VLOOKUP(tbl_product_scores[[#This Row],[product_key]],tbl_products[[product_key]:[group_display_key]],2,FALSE),"")</f>
        <v/>
      </c>
    </row>
    <row r="1052" spans="8:8" x14ac:dyDescent="0.2">
      <c r="H1052" s="11" t="str">
        <f>IFERROR(VLOOKUP(tbl_product_scores[[#This Row],[product_key]],tbl_products[[product_key]:[group_display_key]],2,FALSE),"")</f>
        <v/>
      </c>
    </row>
    <row r="1053" spans="8:8" x14ac:dyDescent="0.2">
      <c r="H1053" s="11" t="str">
        <f>IFERROR(VLOOKUP(tbl_product_scores[[#This Row],[product_key]],tbl_products[[product_key]:[group_display_key]],2,FALSE),"")</f>
        <v/>
      </c>
    </row>
    <row r="1054" spans="8:8" x14ac:dyDescent="0.2">
      <c r="H1054" s="11" t="str">
        <f>IFERROR(VLOOKUP(tbl_product_scores[[#This Row],[product_key]],tbl_products[[product_key]:[group_display_key]],2,FALSE),"")</f>
        <v/>
      </c>
    </row>
    <row r="1055" spans="8:8" x14ac:dyDescent="0.2">
      <c r="H1055" s="11" t="str">
        <f>IFERROR(VLOOKUP(tbl_product_scores[[#This Row],[product_key]],tbl_products[[product_key]:[group_display_key]],2,FALSE),"")</f>
        <v/>
      </c>
    </row>
    <row r="1056" spans="8:8" x14ac:dyDescent="0.2">
      <c r="H1056" s="11" t="str">
        <f>IFERROR(VLOOKUP(tbl_product_scores[[#This Row],[product_key]],tbl_products[[product_key]:[group_display_key]],2,FALSE),"")</f>
        <v/>
      </c>
    </row>
    <row r="1057" spans="8:8" x14ac:dyDescent="0.2">
      <c r="H1057" s="11" t="str">
        <f>IFERROR(VLOOKUP(tbl_product_scores[[#This Row],[product_key]],tbl_products[[product_key]:[group_display_key]],2,FALSE),"")</f>
        <v/>
      </c>
    </row>
    <row r="1058" spans="8:8" x14ac:dyDescent="0.2">
      <c r="H1058" s="11" t="str">
        <f>IFERROR(VLOOKUP(tbl_product_scores[[#This Row],[product_key]],tbl_products[[product_key]:[group_display_key]],2,FALSE),"")</f>
        <v/>
      </c>
    </row>
    <row r="1059" spans="8:8" x14ac:dyDescent="0.2">
      <c r="H1059" s="11" t="str">
        <f>IFERROR(VLOOKUP(tbl_product_scores[[#This Row],[product_key]],tbl_products[[product_key]:[group_display_key]],2,FALSE),"")</f>
        <v/>
      </c>
    </row>
    <row r="1060" spans="8:8" x14ac:dyDescent="0.2">
      <c r="H1060" s="11" t="str">
        <f>IFERROR(VLOOKUP(tbl_product_scores[[#This Row],[product_key]],tbl_products[[product_key]:[group_display_key]],2,FALSE),"")</f>
        <v/>
      </c>
    </row>
    <row r="1061" spans="8:8" x14ac:dyDescent="0.2">
      <c r="H1061" s="11" t="str">
        <f>IFERROR(VLOOKUP(tbl_product_scores[[#This Row],[product_key]],tbl_products[[product_key]:[group_display_key]],2,FALSE),"")</f>
        <v/>
      </c>
    </row>
    <row r="1062" spans="8:8" x14ac:dyDescent="0.2">
      <c r="H1062" s="11" t="str">
        <f>IFERROR(VLOOKUP(tbl_product_scores[[#This Row],[product_key]],tbl_products[[product_key]:[group_display_key]],2,FALSE),"")</f>
        <v/>
      </c>
    </row>
    <row r="1063" spans="8:8" x14ac:dyDescent="0.2">
      <c r="H1063" s="11" t="str">
        <f>IFERROR(VLOOKUP(tbl_product_scores[[#This Row],[product_key]],tbl_products[[product_key]:[group_display_key]],2,FALSE),"")</f>
        <v/>
      </c>
    </row>
    <row r="1064" spans="8:8" x14ac:dyDescent="0.2">
      <c r="H1064" s="11" t="str">
        <f>IFERROR(VLOOKUP(tbl_product_scores[[#This Row],[product_key]],tbl_products[[product_key]:[group_display_key]],2,FALSE),"")</f>
        <v/>
      </c>
    </row>
    <row r="1065" spans="8:8" x14ac:dyDescent="0.2">
      <c r="H1065" s="11" t="str">
        <f>IFERROR(VLOOKUP(tbl_product_scores[[#This Row],[product_key]],tbl_products[[product_key]:[group_display_key]],2,FALSE),"")</f>
        <v/>
      </c>
    </row>
    <row r="1066" spans="8:8" x14ac:dyDescent="0.2">
      <c r="H1066" s="11" t="str">
        <f>IFERROR(VLOOKUP(tbl_product_scores[[#This Row],[product_key]],tbl_products[[product_key]:[group_display_key]],2,FALSE),"")</f>
        <v/>
      </c>
    </row>
    <row r="1067" spans="8:8" x14ac:dyDescent="0.2">
      <c r="H1067" s="11" t="str">
        <f>IFERROR(VLOOKUP(tbl_product_scores[[#This Row],[product_key]],tbl_products[[product_key]:[group_display_key]],2,FALSE),"")</f>
        <v/>
      </c>
    </row>
    <row r="1068" spans="8:8" x14ac:dyDescent="0.2">
      <c r="H1068" s="11" t="str">
        <f>IFERROR(VLOOKUP(tbl_product_scores[[#This Row],[product_key]],tbl_products[[product_key]:[group_display_key]],2,FALSE),"")</f>
        <v/>
      </c>
    </row>
    <row r="1069" spans="8:8" x14ac:dyDescent="0.2">
      <c r="H1069" s="11" t="str">
        <f>IFERROR(VLOOKUP(tbl_product_scores[[#This Row],[product_key]],tbl_products[[product_key]:[group_display_key]],2,FALSE),"")</f>
        <v/>
      </c>
    </row>
    <row r="1070" spans="8:8" x14ac:dyDescent="0.2">
      <c r="H1070" s="11" t="str">
        <f>IFERROR(VLOOKUP(tbl_product_scores[[#This Row],[product_key]],tbl_products[[product_key]:[group_display_key]],2,FALSE),"")</f>
        <v/>
      </c>
    </row>
    <row r="1071" spans="8:8" x14ac:dyDescent="0.2">
      <c r="H1071" s="11" t="str">
        <f>IFERROR(VLOOKUP(tbl_product_scores[[#This Row],[product_key]],tbl_products[[product_key]:[group_display_key]],2,FALSE),"")</f>
        <v/>
      </c>
    </row>
    <row r="1072" spans="8:8" x14ac:dyDescent="0.2">
      <c r="H1072" s="11" t="str">
        <f>IFERROR(VLOOKUP(tbl_product_scores[[#This Row],[product_key]],tbl_products[[product_key]:[group_display_key]],2,FALSE),"")</f>
        <v/>
      </c>
    </row>
    <row r="1073" spans="8:8" x14ac:dyDescent="0.2">
      <c r="H1073" s="11" t="str">
        <f>IFERROR(VLOOKUP(tbl_product_scores[[#This Row],[product_key]],tbl_products[[product_key]:[group_display_key]],2,FALSE),"")</f>
        <v/>
      </c>
    </row>
    <row r="1074" spans="8:8" x14ac:dyDescent="0.2">
      <c r="H1074" s="11" t="str">
        <f>IFERROR(VLOOKUP(tbl_product_scores[[#This Row],[product_key]],tbl_products[[product_key]:[group_display_key]],2,FALSE),"")</f>
        <v/>
      </c>
    </row>
    <row r="1075" spans="8:8" x14ac:dyDescent="0.2">
      <c r="H1075" s="11" t="str">
        <f>IFERROR(VLOOKUP(tbl_product_scores[[#This Row],[product_key]],tbl_products[[product_key]:[group_display_key]],2,FALSE),"")</f>
        <v/>
      </c>
    </row>
    <row r="1076" spans="8:8" x14ac:dyDescent="0.2">
      <c r="H1076" s="11" t="str">
        <f>IFERROR(VLOOKUP(tbl_product_scores[[#This Row],[product_key]],tbl_products[[product_key]:[group_display_key]],2,FALSE),"")</f>
        <v/>
      </c>
    </row>
    <row r="1077" spans="8:8" x14ac:dyDescent="0.2">
      <c r="H1077" s="11" t="str">
        <f>IFERROR(VLOOKUP(tbl_product_scores[[#This Row],[product_key]],tbl_products[[product_key]:[group_display_key]],2,FALSE),"")</f>
        <v/>
      </c>
    </row>
    <row r="1078" spans="8:8" x14ac:dyDescent="0.2">
      <c r="H1078" s="11" t="str">
        <f>IFERROR(VLOOKUP(tbl_product_scores[[#This Row],[product_key]],tbl_products[[product_key]:[group_display_key]],2,FALSE),"")</f>
        <v/>
      </c>
    </row>
    <row r="1079" spans="8:8" x14ac:dyDescent="0.2">
      <c r="H1079" s="11" t="str">
        <f>IFERROR(VLOOKUP(tbl_product_scores[[#This Row],[product_key]],tbl_products[[product_key]:[group_display_key]],2,FALSE),"")</f>
        <v/>
      </c>
    </row>
    <row r="1080" spans="8:8" x14ac:dyDescent="0.2">
      <c r="H1080" s="11" t="str">
        <f>IFERROR(VLOOKUP(tbl_product_scores[[#This Row],[product_key]],tbl_products[[product_key]:[group_display_key]],2,FALSE),"")</f>
        <v/>
      </c>
    </row>
    <row r="1081" spans="8:8" x14ac:dyDescent="0.2">
      <c r="H1081" s="11" t="str">
        <f>IFERROR(VLOOKUP(tbl_product_scores[[#This Row],[product_key]],tbl_products[[product_key]:[group_display_key]],2,FALSE),"")</f>
        <v/>
      </c>
    </row>
    <row r="1082" spans="8:8" x14ac:dyDescent="0.2">
      <c r="H1082" s="11" t="str">
        <f>IFERROR(VLOOKUP(tbl_product_scores[[#This Row],[product_key]],tbl_products[[product_key]:[group_display_key]],2,FALSE),"")</f>
        <v/>
      </c>
    </row>
    <row r="1083" spans="8:8" x14ac:dyDescent="0.2">
      <c r="H1083" s="11" t="str">
        <f>IFERROR(VLOOKUP(tbl_product_scores[[#This Row],[product_key]],tbl_products[[product_key]:[group_display_key]],2,FALSE),"")</f>
        <v/>
      </c>
    </row>
    <row r="1084" spans="8:8" x14ac:dyDescent="0.2">
      <c r="H1084" s="11" t="str">
        <f>IFERROR(VLOOKUP(tbl_product_scores[[#This Row],[product_key]],tbl_products[[product_key]:[group_display_key]],2,FALSE),"")</f>
        <v/>
      </c>
    </row>
    <row r="1085" spans="8:8" x14ac:dyDescent="0.2">
      <c r="H1085" s="11" t="str">
        <f>IFERROR(VLOOKUP(tbl_product_scores[[#This Row],[product_key]],tbl_products[[product_key]:[group_display_key]],2,FALSE),"")</f>
        <v/>
      </c>
    </row>
    <row r="1086" spans="8:8" x14ac:dyDescent="0.2">
      <c r="H1086" s="11" t="str">
        <f>IFERROR(VLOOKUP(tbl_product_scores[[#This Row],[product_key]],tbl_products[[product_key]:[group_display_key]],2,FALSE),"")</f>
        <v/>
      </c>
    </row>
    <row r="1087" spans="8:8" x14ac:dyDescent="0.2">
      <c r="H1087" s="11" t="str">
        <f>IFERROR(VLOOKUP(tbl_product_scores[[#This Row],[product_key]],tbl_products[[product_key]:[group_display_key]],2,FALSE),"")</f>
        <v/>
      </c>
    </row>
    <row r="1088" spans="8:8" x14ac:dyDescent="0.2">
      <c r="H1088" s="11" t="str">
        <f>IFERROR(VLOOKUP(tbl_product_scores[[#This Row],[product_key]],tbl_products[[product_key]:[group_display_key]],2,FALSE),"")</f>
        <v/>
      </c>
    </row>
    <row r="1089" spans="8:8" x14ac:dyDescent="0.2">
      <c r="H1089" s="11" t="str">
        <f>IFERROR(VLOOKUP(tbl_product_scores[[#This Row],[product_key]],tbl_products[[product_key]:[group_display_key]],2,FALSE),"")</f>
        <v/>
      </c>
    </row>
    <row r="1090" spans="8:8" x14ac:dyDescent="0.2">
      <c r="H1090" s="11" t="str">
        <f>IFERROR(VLOOKUP(tbl_product_scores[[#This Row],[product_key]],tbl_products[[product_key]:[group_display_key]],2,FALSE),"")</f>
        <v/>
      </c>
    </row>
    <row r="1091" spans="8:8" x14ac:dyDescent="0.2">
      <c r="H1091" s="11" t="str">
        <f>IFERROR(VLOOKUP(tbl_product_scores[[#This Row],[product_key]],tbl_products[[product_key]:[group_display_key]],2,FALSE),"")</f>
        <v/>
      </c>
    </row>
    <row r="1092" spans="8:8" x14ac:dyDescent="0.2">
      <c r="H1092" s="11" t="str">
        <f>IFERROR(VLOOKUP(tbl_product_scores[[#This Row],[product_key]],tbl_products[[product_key]:[group_display_key]],2,FALSE),"")</f>
        <v/>
      </c>
    </row>
    <row r="1093" spans="8:8" x14ac:dyDescent="0.2">
      <c r="H1093" s="11" t="str">
        <f>IFERROR(VLOOKUP(tbl_product_scores[[#This Row],[product_key]],tbl_products[[product_key]:[group_display_key]],2,FALSE),"")</f>
        <v/>
      </c>
    </row>
    <row r="1094" spans="8:8" x14ac:dyDescent="0.2">
      <c r="H1094" s="11" t="str">
        <f>IFERROR(VLOOKUP(tbl_product_scores[[#This Row],[product_key]],tbl_products[[product_key]:[group_display_key]],2,FALSE),"")</f>
        <v/>
      </c>
    </row>
    <row r="1095" spans="8:8" x14ac:dyDescent="0.2">
      <c r="H1095" s="11" t="str">
        <f>IFERROR(VLOOKUP(tbl_product_scores[[#This Row],[product_key]],tbl_products[[product_key]:[group_display_key]],2,FALSE),"")</f>
        <v/>
      </c>
    </row>
    <row r="1096" spans="8:8" x14ac:dyDescent="0.2">
      <c r="H1096" s="11" t="str">
        <f>IFERROR(VLOOKUP(tbl_product_scores[[#This Row],[product_key]],tbl_products[[product_key]:[group_display_key]],2,FALSE),"")</f>
        <v/>
      </c>
    </row>
    <row r="1097" spans="8:8" x14ac:dyDescent="0.2">
      <c r="H1097" s="11" t="str">
        <f>IFERROR(VLOOKUP(tbl_product_scores[[#This Row],[product_key]],tbl_products[[product_key]:[group_display_key]],2,FALSE),"")</f>
        <v/>
      </c>
    </row>
    <row r="1098" spans="8:8" x14ac:dyDescent="0.2">
      <c r="H1098" s="11" t="str">
        <f>IFERROR(VLOOKUP(tbl_product_scores[[#This Row],[product_key]],tbl_products[[product_key]:[group_display_key]],2,FALSE),"")</f>
        <v/>
      </c>
    </row>
    <row r="1099" spans="8:8" x14ac:dyDescent="0.2">
      <c r="H1099" s="11" t="str">
        <f>IFERROR(VLOOKUP(tbl_product_scores[[#This Row],[product_key]],tbl_products[[product_key]:[group_display_key]],2,FALSE),"")</f>
        <v/>
      </c>
    </row>
    <row r="1100" spans="8:8" x14ac:dyDescent="0.2">
      <c r="H1100" s="11" t="str">
        <f>IFERROR(VLOOKUP(tbl_product_scores[[#This Row],[product_key]],tbl_products[[product_key]:[group_display_key]],2,FALSE),"")</f>
        <v/>
      </c>
    </row>
    <row r="1101" spans="8:8" x14ac:dyDescent="0.2">
      <c r="H1101" s="11" t="str">
        <f>IFERROR(VLOOKUP(tbl_product_scores[[#This Row],[product_key]],tbl_products[[product_key]:[group_display_key]],2,FALSE),"")</f>
        <v/>
      </c>
    </row>
    <row r="1102" spans="8:8" x14ac:dyDescent="0.2">
      <c r="H1102" s="11" t="str">
        <f>IFERROR(VLOOKUP(tbl_product_scores[[#This Row],[product_key]],tbl_products[[product_key]:[group_display_key]],2,FALSE),"")</f>
        <v/>
      </c>
    </row>
    <row r="1103" spans="8:8" x14ac:dyDescent="0.2">
      <c r="H1103" s="11" t="str">
        <f>IFERROR(VLOOKUP(tbl_product_scores[[#This Row],[product_key]],tbl_products[[product_key]:[group_display_key]],2,FALSE),"")</f>
        <v/>
      </c>
    </row>
    <row r="1104" spans="8:8" x14ac:dyDescent="0.2">
      <c r="H1104" s="11" t="str">
        <f>IFERROR(VLOOKUP(tbl_product_scores[[#This Row],[product_key]],tbl_products[[product_key]:[group_display_key]],2,FALSE),"")</f>
        <v/>
      </c>
    </row>
    <row r="1105" spans="8:8" x14ac:dyDescent="0.2">
      <c r="H1105" s="11" t="str">
        <f>IFERROR(VLOOKUP(tbl_product_scores[[#This Row],[product_key]],tbl_products[[product_key]:[group_display_key]],2,FALSE),"")</f>
        <v/>
      </c>
    </row>
    <row r="1106" spans="8:8" x14ac:dyDescent="0.2">
      <c r="H1106" s="11" t="str">
        <f>IFERROR(VLOOKUP(tbl_product_scores[[#This Row],[product_key]],tbl_products[[product_key]:[group_display_key]],2,FALSE),"")</f>
        <v/>
      </c>
    </row>
    <row r="1107" spans="8:8" x14ac:dyDescent="0.2">
      <c r="H1107" s="11" t="str">
        <f>IFERROR(VLOOKUP(tbl_product_scores[[#This Row],[product_key]],tbl_products[[product_key]:[group_display_key]],2,FALSE),"")</f>
        <v/>
      </c>
    </row>
    <row r="1108" spans="8:8" x14ac:dyDescent="0.2">
      <c r="H1108" s="11" t="str">
        <f>IFERROR(VLOOKUP(tbl_product_scores[[#This Row],[product_key]],tbl_products[[product_key]:[group_display_key]],2,FALSE),"")</f>
        <v/>
      </c>
    </row>
    <row r="1109" spans="8:8" x14ac:dyDescent="0.2">
      <c r="H1109" s="11" t="str">
        <f>IFERROR(VLOOKUP(tbl_product_scores[[#This Row],[product_key]],tbl_products[[product_key]:[group_display_key]],2,FALSE),"")</f>
        <v/>
      </c>
    </row>
    <row r="1110" spans="8:8" x14ac:dyDescent="0.2">
      <c r="H1110" s="11" t="str">
        <f>IFERROR(VLOOKUP(tbl_product_scores[[#This Row],[product_key]],tbl_products[[product_key]:[group_display_key]],2,FALSE),"")</f>
        <v/>
      </c>
    </row>
    <row r="1111" spans="8:8" x14ac:dyDescent="0.2">
      <c r="H1111" s="11" t="str">
        <f>IFERROR(VLOOKUP(tbl_product_scores[[#This Row],[product_key]],tbl_products[[product_key]:[group_display_key]],2,FALSE),"")</f>
        <v/>
      </c>
    </row>
    <row r="1112" spans="8:8" x14ac:dyDescent="0.2">
      <c r="H1112" s="11" t="str">
        <f>IFERROR(VLOOKUP(tbl_product_scores[[#This Row],[product_key]],tbl_products[[product_key]:[group_display_key]],2,FALSE),"")</f>
        <v/>
      </c>
    </row>
    <row r="1113" spans="8:8" x14ac:dyDescent="0.2">
      <c r="H1113" s="11" t="str">
        <f>IFERROR(VLOOKUP(tbl_product_scores[[#This Row],[product_key]],tbl_products[[product_key]:[group_display_key]],2,FALSE),"")</f>
        <v/>
      </c>
    </row>
    <row r="1114" spans="8:8" x14ac:dyDescent="0.2">
      <c r="H1114" s="11" t="str">
        <f>IFERROR(VLOOKUP(tbl_product_scores[[#This Row],[product_key]],tbl_products[[product_key]:[group_display_key]],2,FALSE),"")</f>
        <v/>
      </c>
    </row>
    <row r="1115" spans="8:8" x14ac:dyDescent="0.2">
      <c r="H1115" s="11" t="str">
        <f>IFERROR(VLOOKUP(tbl_product_scores[[#This Row],[product_key]],tbl_products[[product_key]:[group_display_key]],2,FALSE),"")</f>
        <v/>
      </c>
    </row>
    <row r="1116" spans="8:8" x14ac:dyDescent="0.2">
      <c r="H1116" s="11" t="str">
        <f>IFERROR(VLOOKUP(tbl_product_scores[[#This Row],[product_key]],tbl_products[[product_key]:[group_display_key]],2,FALSE),"")</f>
        <v/>
      </c>
    </row>
    <row r="1117" spans="8:8" x14ac:dyDescent="0.2">
      <c r="H1117" s="11" t="str">
        <f>IFERROR(VLOOKUP(tbl_product_scores[[#This Row],[product_key]],tbl_products[[product_key]:[group_display_key]],2,FALSE),"")</f>
        <v/>
      </c>
    </row>
    <row r="1118" spans="8:8" x14ac:dyDescent="0.2">
      <c r="H1118" s="11" t="str">
        <f>IFERROR(VLOOKUP(tbl_product_scores[[#This Row],[product_key]],tbl_products[[product_key]:[group_display_key]],2,FALSE),"")</f>
        <v/>
      </c>
    </row>
    <row r="1119" spans="8:8" x14ac:dyDescent="0.2">
      <c r="H1119" s="11" t="str">
        <f>IFERROR(VLOOKUP(tbl_product_scores[[#This Row],[product_key]],tbl_products[[product_key]:[group_display_key]],2,FALSE),"")</f>
        <v/>
      </c>
    </row>
    <row r="1120" spans="8:8" x14ac:dyDescent="0.2">
      <c r="H1120" s="11" t="str">
        <f>IFERROR(VLOOKUP(tbl_product_scores[[#This Row],[product_key]],tbl_products[[product_key]:[group_display_key]],2,FALSE),"")</f>
        <v/>
      </c>
    </row>
    <row r="1121" spans="8:8" x14ac:dyDescent="0.2">
      <c r="H1121" s="11" t="str">
        <f>IFERROR(VLOOKUP(tbl_product_scores[[#This Row],[product_key]],tbl_products[[product_key]:[group_display_key]],2,FALSE),"")</f>
        <v/>
      </c>
    </row>
    <row r="1122" spans="8:8" x14ac:dyDescent="0.2">
      <c r="H1122" s="11" t="str">
        <f>IFERROR(VLOOKUP(tbl_product_scores[[#This Row],[product_key]],tbl_products[[product_key]:[group_display_key]],2,FALSE),"")</f>
        <v/>
      </c>
    </row>
    <row r="1123" spans="8:8" x14ac:dyDescent="0.2">
      <c r="H1123" s="11" t="str">
        <f>IFERROR(VLOOKUP(tbl_product_scores[[#This Row],[product_key]],tbl_products[[product_key]:[group_display_key]],2,FALSE),"")</f>
        <v/>
      </c>
    </row>
    <row r="1124" spans="8:8" x14ac:dyDescent="0.2">
      <c r="H1124" s="11" t="str">
        <f>IFERROR(VLOOKUP(tbl_product_scores[[#This Row],[product_key]],tbl_products[[product_key]:[group_display_key]],2,FALSE),"")</f>
        <v/>
      </c>
    </row>
    <row r="1125" spans="8:8" x14ac:dyDescent="0.2">
      <c r="H1125" s="11" t="str">
        <f>IFERROR(VLOOKUP(tbl_product_scores[[#This Row],[product_key]],tbl_products[[product_key]:[group_display_key]],2,FALSE),"")</f>
        <v/>
      </c>
    </row>
    <row r="1126" spans="8:8" x14ac:dyDescent="0.2">
      <c r="H1126" s="11" t="str">
        <f>IFERROR(VLOOKUP(tbl_product_scores[[#This Row],[product_key]],tbl_products[[product_key]:[group_display_key]],2,FALSE),"")</f>
        <v/>
      </c>
    </row>
    <row r="1127" spans="8:8" x14ac:dyDescent="0.2">
      <c r="H1127" s="11" t="str">
        <f>IFERROR(VLOOKUP(tbl_product_scores[[#This Row],[product_key]],tbl_products[[product_key]:[group_display_key]],2,FALSE),"")</f>
        <v/>
      </c>
    </row>
    <row r="1128" spans="8:8" x14ac:dyDescent="0.2">
      <c r="H1128" s="11" t="str">
        <f>IFERROR(VLOOKUP(tbl_product_scores[[#This Row],[product_key]],tbl_products[[product_key]:[group_display_key]],2,FALSE),"")</f>
        <v/>
      </c>
    </row>
    <row r="1129" spans="8:8" x14ac:dyDescent="0.2">
      <c r="H1129" s="11" t="str">
        <f>IFERROR(VLOOKUP(tbl_product_scores[[#This Row],[product_key]],tbl_products[[product_key]:[group_display_key]],2,FALSE),"")</f>
        <v/>
      </c>
    </row>
    <row r="1130" spans="8:8" x14ac:dyDescent="0.2">
      <c r="H1130" s="11" t="str">
        <f>IFERROR(VLOOKUP(tbl_product_scores[[#This Row],[product_key]],tbl_products[[product_key]:[group_display_key]],2,FALSE),"")</f>
        <v/>
      </c>
    </row>
    <row r="1131" spans="8:8" x14ac:dyDescent="0.2">
      <c r="H1131" s="11" t="str">
        <f>IFERROR(VLOOKUP(tbl_product_scores[[#This Row],[product_key]],tbl_products[[product_key]:[group_display_key]],2,FALSE),"")</f>
        <v/>
      </c>
    </row>
    <row r="1132" spans="8:8" x14ac:dyDescent="0.2">
      <c r="H1132" s="11" t="str">
        <f>IFERROR(VLOOKUP(tbl_product_scores[[#This Row],[product_key]],tbl_products[[product_key]:[group_display_key]],2,FALSE),"")</f>
        <v/>
      </c>
    </row>
    <row r="1133" spans="8:8" x14ac:dyDescent="0.2">
      <c r="H1133" s="11" t="str">
        <f>IFERROR(VLOOKUP(tbl_product_scores[[#This Row],[product_key]],tbl_products[[product_key]:[group_display_key]],2,FALSE),"")</f>
        <v/>
      </c>
    </row>
    <row r="1134" spans="8:8" x14ac:dyDescent="0.2">
      <c r="H1134" s="11" t="str">
        <f>IFERROR(VLOOKUP(tbl_product_scores[[#This Row],[product_key]],tbl_products[[product_key]:[group_display_key]],2,FALSE),"")</f>
        <v/>
      </c>
    </row>
    <row r="1135" spans="8:8" x14ac:dyDescent="0.2">
      <c r="H1135" s="11" t="str">
        <f>IFERROR(VLOOKUP(tbl_product_scores[[#This Row],[product_key]],tbl_products[[product_key]:[group_display_key]],2,FALSE),"")</f>
        <v/>
      </c>
    </row>
    <row r="1136" spans="8:8" x14ac:dyDescent="0.2">
      <c r="H1136" s="11" t="str">
        <f>IFERROR(VLOOKUP(tbl_product_scores[[#This Row],[product_key]],tbl_products[[product_key]:[group_display_key]],2,FALSE),"")</f>
        <v/>
      </c>
    </row>
    <row r="1137" spans="8:8" x14ac:dyDescent="0.2">
      <c r="H1137" s="11" t="str">
        <f>IFERROR(VLOOKUP(tbl_product_scores[[#This Row],[product_key]],tbl_products[[product_key]:[group_display_key]],2,FALSE),"")</f>
        <v/>
      </c>
    </row>
    <row r="1138" spans="8:8" x14ac:dyDescent="0.2">
      <c r="H1138" s="11" t="str">
        <f>IFERROR(VLOOKUP(tbl_product_scores[[#This Row],[product_key]],tbl_products[[product_key]:[group_display_key]],2,FALSE),"")</f>
        <v/>
      </c>
    </row>
    <row r="1139" spans="8:8" x14ac:dyDescent="0.2">
      <c r="H1139" s="11" t="str">
        <f>IFERROR(VLOOKUP(tbl_product_scores[[#This Row],[product_key]],tbl_products[[product_key]:[group_display_key]],2,FALSE),"")</f>
        <v/>
      </c>
    </row>
    <row r="1140" spans="8:8" x14ac:dyDescent="0.2">
      <c r="H1140" s="11" t="str">
        <f>IFERROR(VLOOKUP(tbl_product_scores[[#This Row],[product_key]],tbl_products[[product_key]:[group_display_key]],2,FALSE),"")</f>
        <v/>
      </c>
    </row>
    <row r="1141" spans="8:8" x14ac:dyDescent="0.2">
      <c r="H1141" s="11" t="str">
        <f>IFERROR(VLOOKUP(tbl_product_scores[[#This Row],[product_key]],tbl_products[[product_key]:[group_display_key]],2,FALSE),"")</f>
        <v/>
      </c>
    </row>
    <row r="1142" spans="8:8" x14ac:dyDescent="0.2">
      <c r="H1142" s="11" t="str">
        <f>IFERROR(VLOOKUP(tbl_product_scores[[#This Row],[product_key]],tbl_products[[product_key]:[group_display_key]],2,FALSE),"")</f>
        <v/>
      </c>
    </row>
    <row r="1143" spans="8:8" x14ac:dyDescent="0.2">
      <c r="H1143" s="11" t="str">
        <f>IFERROR(VLOOKUP(tbl_product_scores[[#This Row],[product_key]],tbl_products[[product_key]:[group_display_key]],2,FALSE),"")</f>
        <v/>
      </c>
    </row>
    <row r="1144" spans="8:8" x14ac:dyDescent="0.2">
      <c r="H1144" s="11" t="str">
        <f>IFERROR(VLOOKUP(tbl_product_scores[[#This Row],[product_key]],tbl_products[[product_key]:[group_display_key]],2,FALSE),"")</f>
        <v/>
      </c>
    </row>
    <row r="1145" spans="8:8" x14ac:dyDescent="0.2">
      <c r="H1145" s="11" t="str">
        <f>IFERROR(VLOOKUP(tbl_product_scores[[#This Row],[product_key]],tbl_products[[product_key]:[group_display_key]],2,FALSE),"")</f>
        <v/>
      </c>
    </row>
    <row r="1146" spans="8:8" x14ac:dyDescent="0.2">
      <c r="H1146" s="11" t="str">
        <f>IFERROR(VLOOKUP(tbl_product_scores[[#This Row],[product_key]],tbl_products[[product_key]:[group_display_key]],2,FALSE),"")</f>
        <v/>
      </c>
    </row>
    <row r="1147" spans="8:8" x14ac:dyDescent="0.2">
      <c r="H1147" s="11" t="str">
        <f>IFERROR(VLOOKUP(tbl_product_scores[[#This Row],[product_key]],tbl_products[[product_key]:[group_display_key]],2,FALSE),"")</f>
        <v/>
      </c>
    </row>
    <row r="1148" spans="8:8" x14ac:dyDescent="0.2">
      <c r="H1148" s="11" t="str">
        <f>IFERROR(VLOOKUP(tbl_product_scores[[#This Row],[product_key]],tbl_products[[product_key]:[group_display_key]],2,FALSE),"")</f>
        <v/>
      </c>
    </row>
    <row r="1149" spans="8:8" x14ac:dyDescent="0.2">
      <c r="H1149" s="11" t="str">
        <f>IFERROR(VLOOKUP(tbl_product_scores[[#This Row],[product_key]],tbl_products[[product_key]:[group_display_key]],2,FALSE),"")</f>
        <v/>
      </c>
    </row>
    <row r="1150" spans="8:8" x14ac:dyDescent="0.2">
      <c r="H1150" s="11" t="str">
        <f>IFERROR(VLOOKUP(tbl_product_scores[[#This Row],[product_key]],tbl_products[[product_key]:[group_display_key]],2,FALSE),"")</f>
        <v/>
      </c>
    </row>
    <row r="1151" spans="8:8" x14ac:dyDescent="0.2">
      <c r="H1151" s="11" t="str">
        <f>IFERROR(VLOOKUP(tbl_product_scores[[#This Row],[product_key]],tbl_products[[product_key]:[group_display_key]],2,FALSE),"")</f>
        <v/>
      </c>
    </row>
    <row r="1152" spans="8:8" x14ac:dyDescent="0.2">
      <c r="H1152" s="11" t="str">
        <f>IFERROR(VLOOKUP(tbl_product_scores[[#This Row],[product_key]],tbl_products[[product_key]:[group_display_key]],2,FALSE),"")</f>
        <v/>
      </c>
    </row>
    <row r="1153" spans="8:8" x14ac:dyDescent="0.2">
      <c r="H1153" s="11" t="str">
        <f>IFERROR(VLOOKUP(tbl_product_scores[[#This Row],[product_key]],tbl_products[[product_key]:[group_display_key]],2,FALSE),"")</f>
        <v/>
      </c>
    </row>
    <row r="1154" spans="8:8" x14ac:dyDescent="0.2">
      <c r="H1154" s="11" t="str">
        <f>IFERROR(VLOOKUP(tbl_product_scores[[#This Row],[product_key]],tbl_products[[product_key]:[group_display_key]],2,FALSE),"")</f>
        <v/>
      </c>
    </row>
    <row r="1155" spans="8:8" x14ac:dyDescent="0.2">
      <c r="H1155" s="11" t="str">
        <f>IFERROR(VLOOKUP(tbl_product_scores[[#This Row],[product_key]],tbl_products[[product_key]:[group_display_key]],2,FALSE),"")</f>
        <v/>
      </c>
    </row>
    <row r="1156" spans="8:8" x14ac:dyDescent="0.2">
      <c r="H1156" s="11" t="str">
        <f>IFERROR(VLOOKUP(tbl_product_scores[[#This Row],[product_key]],tbl_products[[product_key]:[group_display_key]],2,FALSE),"")</f>
        <v/>
      </c>
    </row>
    <row r="1157" spans="8:8" x14ac:dyDescent="0.2">
      <c r="H1157" s="11" t="str">
        <f>IFERROR(VLOOKUP(tbl_product_scores[[#This Row],[product_key]],tbl_products[[product_key]:[group_display_key]],2,FALSE),"")</f>
        <v/>
      </c>
    </row>
    <row r="1158" spans="8:8" x14ac:dyDescent="0.2">
      <c r="H1158" s="11" t="str">
        <f>IFERROR(VLOOKUP(tbl_product_scores[[#This Row],[product_key]],tbl_products[[product_key]:[group_display_key]],2,FALSE),"")</f>
        <v/>
      </c>
    </row>
    <row r="1159" spans="8:8" x14ac:dyDescent="0.2">
      <c r="H1159" s="11" t="str">
        <f>IFERROR(VLOOKUP(tbl_product_scores[[#This Row],[product_key]],tbl_products[[product_key]:[group_display_key]],2,FALSE),"")</f>
        <v/>
      </c>
    </row>
    <row r="1160" spans="8:8" x14ac:dyDescent="0.2">
      <c r="H1160" s="11" t="str">
        <f>IFERROR(VLOOKUP(tbl_product_scores[[#This Row],[product_key]],tbl_products[[product_key]:[group_display_key]],2,FALSE),"")</f>
        <v/>
      </c>
    </row>
    <row r="1161" spans="8:8" x14ac:dyDescent="0.2">
      <c r="H1161" s="11" t="str">
        <f>IFERROR(VLOOKUP(tbl_product_scores[[#This Row],[product_key]],tbl_products[[product_key]:[group_display_key]],2,FALSE),"")</f>
        <v/>
      </c>
    </row>
    <row r="1162" spans="8:8" x14ac:dyDescent="0.2">
      <c r="H1162" s="11" t="str">
        <f>IFERROR(VLOOKUP(tbl_product_scores[[#This Row],[product_key]],tbl_products[[product_key]:[group_display_key]],2,FALSE),"")</f>
        <v/>
      </c>
    </row>
    <row r="1163" spans="8:8" x14ac:dyDescent="0.2">
      <c r="H1163" s="11" t="str">
        <f>IFERROR(VLOOKUP(tbl_product_scores[[#This Row],[product_key]],tbl_products[[product_key]:[group_display_key]],2,FALSE),"")</f>
        <v/>
      </c>
    </row>
    <row r="1164" spans="8:8" x14ac:dyDescent="0.2">
      <c r="H1164" s="11" t="str">
        <f>IFERROR(VLOOKUP(tbl_product_scores[[#This Row],[product_key]],tbl_products[[product_key]:[group_display_key]],2,FALSE),"")</f>
        <v/>
      </c>
    </row>
    <row r="1165" spans="8:8" x14ac:dyDescent="0.2">
      <c r="H1165" s="11" t="str">
        <f>IFERROR(VLOOKUP(tbl_product_scores[[#This Row],[product_key]],tbl_products[[product_key]:[group_display_key]],2,FALSE),"")</f>
        <v/>
      </c>
    </row>
    <row r="1166" spans="8:8" x14ac:dyDescent="0.2">
      <c r="H1166" s="11" t="str">
        <f>IFERROR(VLOOKUP(tbl_product_scores[[#This Row],[product_key]],tbl_products[[product_key]:[group_display_key]],2,FALSE),"")</f>
        <v/>
      </c>
    </row>
    <row r="1167" spans="8:8" x14ac:dyDescent="0.2">
      <c r="H1167" s="11" t="str">
        <f>IFERROR(VLOOKUP(tbl_product_scores[[#This Row],[product_key]],tbl_products[[product_key]:[group_display_key]],2,FALSE),"")</f>
        <v/>
      </c>
    </row>
    <row r="1168" spans="8:8" x14ac:dyDescent="0.2">
      <c r="H1168" s="11" t="str">
        <f>IFERROR(VLOOKUP(tbl_product_scores[[#This Row],[product_key]],tbl_products[[product_key]:[group_display_key]],2,FALSE),"")</f>
        <v/>
      </c>
    </row>
    <row r="1169" spans="8:8" x14ac:dyDescent="0.2">
      <c r="H1169" s="11" t="str">
        <f>IFERROR(VLOOKUP(tbl_product_scores[[#This Row],[product_key]],tbl_products[[product_key]:[group_display_key]],2,FALSE),"")</f>
        <v/>
      </c>
    </row>
    <row r="1170" spans="8:8" x14ac:dyDescent="0.2">
      <c r="H1170" s="11" t="str">
        <f>IFERROR(VLOOKUP(tbl_product_scores[[#This Row],[product_key]],tbl_products[[product_key]:[group_display_key]],2,FALSE),"")</f>
        <v/>
      </c>
    </row>
    <row r="1171" spans="8:8" x14ac:dyDescent="0.2">
      <c r="H1171" s="11" t="str">
        <f>IFERROR(VLOOKUP(tbl_product_scores[[#This Row],[product_key]],tbl_products[[product_key]:[group_display_key]],2,FALSE),"")</f>
        <v/>
      </c>
    </row>
    <row r="1172" spans="8:8" x14ac:dyDescent="0.2">
      <c r="H1172" s="11" t="str">
        <f>IFERROR(VLOOKUP(tbl_product_scores[[#This Row],[product_key]],tbl_products[[product_key]:[group_display_key]],2,FALSE),"")</f>
        <v/>
      </c>
    </row>
    <row r="1173" spans="8:8" x14ac:dyDescent="0.2">
      <c r="H1173" s="11" t="str">
        <f>IFERROR(VLOOKUP(tbl_product_scores[[#This Row],[product_key]],tbl_products[[product_key]:[group_display_key]],2,FALSE),"")</f>
        <v/>
      </c>
    </row>
    <row r="1174" spans="8:8" x14ac:dyDescent="0.2">
      <c r="H1174" s="11" t="str">
        <f>IFERROR(VLOOKUP(tbl_product_scores[[#This Row],[product_key]],tbl_products[[product_key]:[group_display_key]],2,FALSE),"")</f>
        <v/>
      </c>
    </row>
    <row r="1175" spans="8:8" x14ac:dyDescent="0.2">
      <c r="H1175" s="11" t="str">
        <f>IFERROR(VLOOKUP(tbl_product_scores[[#This Row],[product_key]],tbl_products[[product_key]:[group_display_key]],2,FALSE),"")</f>
        <v/>
      </c>
    </row>
    <row r="1176" spans="8:8" x14ac:dyDescent="0.2">
      <c r="H1176" s="11" t="str">
        <f>IFERROR(VLOOKUP(tbl_product_scores[[#This Row],[product_key]],tbl_products[[product_key]:[group_display_key]],2,FALSE),"")</f>
        <v/>
      </c>
    </row>
    <row r="1177" spans="8:8" x14ac:dyDescent="0.2">
      <c r="H1177" s="11" t="str">
        <f>IFERROR(VLOOKUP(tbl_product_scores[[#This Row],[product_key]],tbl_products[[product_key]:[group_display_key]],2,FALSE),"")</f>
        <v/>
      </c>
    </row>
    <row r="1178" spans="8:8" x14ac:dyDescent="0.2">
      <c r="H1178" s="11" t="str">
        <f>IFERROR(VLOOKUP(tbl_product_scores[[#This Row],[product_key]],tbl_products[[product_key]:[group_display_key]],2,FALSE),"")</f>
        <v/>
      </c>
    </row>
    <row r="1179" spans="8:8" x14ac:dyDescent="0.2">
      <c r="H1179" s="11" t="str">
        <f>IFERROR(VLOOKUP(tbl_product_scores[[#This Row],[product_key]],tbl_products[[product_key]:[group_display_key]],2,FALSE),"")</f>
        <v/>
      </c>
    </row>
    <row r="1180" spans="8:8" x14ac:dyDescent="0.2">
      <c r="H1180" s="11" t="str">
        <f>IFERROR(VLOOKUP(tbl_product_scores[[#This Row],[product_key]],tbl_products[[product_key]:[group_display_key]],2,FALSE),"")</f>
        <v/>
      </c>
    </row>
    <row r="1181" spans="8:8" x14ac:dyDescent="0.2">
      <c r="H1181" s="11" t="str">
        <f>IFERROR(VLOOKUP(tbl_product_scores[[#This Row],[product_key]],tbl_products[[product_key]:[group_display_key]],2,FALSE),"")</f>
        <v/>
      </c>
    </row>
    <row r="1182" spans="8:8" x14ac:dyDescent="0.2">
      <c r="H1182" s="11" t="str">
        <f>IFERROR(VLOOKUP(tbl_product_scores[[#This Row],[product_key]],tbl_products[[product_key]:[group_display_key]],2,FALSE),"")</f>
        <v/>
      </c>
    </row>
    <row r="1183" spans="8:8" x14ac:dyDescent="0.2">
      <c r="H1183" s="11" t="str">
        <f>IFERROR(VLOOKUP(tbl_product_scores[[#This Row],[product_key]],tbl_products[[product_key]:[group_display_key]],2,FALSE),"")</f>
        <v/>
      </c>
    </row>
    <row r="1184" spans="8:8" x14ac:dyDescent="0.2">
      <c r="H1184" s="11" t="str">
        <f>IFERROR(VLOOKUP(tbl_product_scores[[#This Row],[product_key]],tbl_products[[product_key]:[group_display_key]],2,FALSE),"")</f>
        <v/>
      </c>
    </row>
    <row r="1185" spans="8:8" x14ac:dyDescent="0.2">
      <c r="H1185" s="11" t="str">
        <f>IFERROR(VLOOKUP(tbl_product_scores[[#This Row],[product_key]],tbl_products[[product_key]:[group_display_key]],2,FALSE),"")</f>
        <v/>
      </c>
    </row>
    <row r="1186" spans="8:8" x14ac:dyDescent="0.2">
      <c r="H1186" s="11" t="str">
        <f>IFERROR(VLOOKUP(tbl_product_scores[[#This Row],[product_key]],tbl_products[[product_key]:[group_display_key]],2,FALSE),"")</f>
        <v/>
      </c>
    </row>
    <row r="1187" spans="8:8" x14ac:dyDescent="0.2">
      <c r="H1187" s="11" t="str">
        <f>IFERROR(VLOOKUP(tbl_product_scores[[#This Row],[product_key]],tbl_products[[product_key]:[group_display_key]],2,FALSE),"")</f>
        <v/>
      </c>
    </row>
    <row r="1188" spans="8:8" x14ac:dyDescent="0.2">
      <c r="H1188" s="11" t="str">
        <f>IFERROR(VLOOKUP(tbl_product_scores[[#This Row],[product_key]],tbl_products[[product_key]:[group_display_key]],2,FALSE),"")</f>
        <v/>
      </c>
    </row>
    <row r="1189" spans="8:8" x14ac:dyDescent="0.2">
      <c r="H1189" s="11" t="str">
        <f>IFERROR(VLOOKUP(tbl_product_scores[[#This Row],[product_key]],tbl_products[[product_key]:[group_display_key]],2,FALSE),"")</f>
        <v/>
      </c>
    </row>
    <row r="1190" spans="8:8" x14ac:dyDescent="0.2">
      <c r="H1190" s="11" t="str">
        <f>IFERROR(VLOOKUP(tbl_product_scores[[#This Row],[product_key]],tbl_products[[product_key]:[group_display_key]],2,FALSE),"")</f>
        <v/>
      </c>
    </row>
    <row r="1191" spans="8:8" x14ac:dyDescent="0.2">
      <c r="H1191" s="11" t="str">
        <f>IFERROR(VLOOKUP(tbl_product_scores[[#This Row],[product_key]],tbl_products[[product_key]:[group_display_key]],2,FALSE),"")</f>
        <v/>
      </c>
    </row>
    <row r="1192" spans="8:8" x14ac:dyDescent="0.2">
      <c r="H1192" s="11" t="str">
        <f>IFERROR(VLOOKUP(tbl_product_scores[[#This Row],[product_key]],tbl_products[[product_key]:[group_display_key]],2,FALSE),"")</f>
        <v/>
      </c>
    </row>
    <row r="1193" spans="8:8" x14ac:dyDescent="0.2">
      <c r="H1193" s="11" t="str">
        <f>IFERROR(VLOOKUP(tbl_product_scores[[#This Row],[product_key]],tbl_products[[product_key]:[group_display_key]],2,FALSE),"")</f>
        <v/>
      </c>
    </row>
    <row r="1194" spans="8:8" x14ac:dyDescent="0.2">
      <c r="H1194" s="11" t="str">
        <f>IFERROR(VLOOKUP(tbl_product_scores[[#This Row],[product_key]],tbl_products[[product_key]:[group_display_key]],2,FALSE),"")</f>
        <v/>
      </c>
    </row>
    <row r="1195" spans="8:8" x14ac:dyDescent="0.2">
      <c r="H1195" s="11" t="str">
        <f>IFERROR(VLOOKUP(tbl_product_scores[[#This Row],[product_key]],tbl_products[[product_key]:[group_display_key]],2,FALSE),"")</f>
        <v/>
      </c>
    </row>
    <row r="1196" spans="8:8" x14ac:dyDescent="0.2">
      <c r="H1196" s="11" t="str">
        <f>IFERROR(VLOOKUP(tbl_product_scores[[#This Row],[product_key]],tbl_products[[product_key]:[group_display_key]],2,FALSE),"")</f>
        <v/>
      </c>
    </row>
    <row r="1197" spans="8:8" x14ac:dyDescent="0.2">
      <c r="H1197" s="11" t="str">
        <f>IFERROR(VLOOKUP(tbl_product_scores[[#This Row],[product_key]],tbl_products[[product_key]:[group_display_key]],2,FALSE),"")</f>
        <v/>
      </c>
    </row>
    <row r="1198" spans="8:8" x14ac:dyDescent="0.2">
      <c r="H1198" s="11" t="str">
        <f>IFERROR(VLOOKUP(tbl_product_scores[[#This Row],[product_key]],tbl_products[[product_key]:[group_display_key]],2,FALSE),"")</f>
        <v/>
      </c>
    </row>
    <row r="1199" spans="8:8" x14ac:dyDescent="0.2">
      <c r="H1199" s="11" t="str">
        <f>IFERROR(VLOOKUP(tbl_product_scores[[#This Row],[product_key]],tbl_products[[product_key]:[group_display_key]],2,FALSE),"")</f>
        <v/>
      </c>
    </row>
    <row r="1200" spans="8:8" x14ac:dyDescent="0.2">
      <c r="H1200" s="11" t="str">
        <f>IFERROR(VLOOKUP(tbl_product_scores[[#This Row],[product_key]],tbl_products[[product_key]:[group_display_key]],2,FALSE),"")</f>
        <v/>
      </c>
    </row>
    <row r="1201" spans="8:8" x14ac:dyDescent="0.2">
      <c r="H1201" s="11" t="str">
        <f>IFERROR(VLOOKUP(tbl_product_scores[[#This Row],[product_key]],tbl_products[[product_key]:[group_display_key]],2,FALSE),"")</f>
        <v/>
      </c>
    </row>
    <row r="1202" spans="8:8" x14ac:dyDescent="0.2">
      <c r="H1202" s="11" t="str">
        <f>IFERROR(VLOOKUP(tbl_product_scores[[#This Row],[product_key]],tbl_products[[product_key]:[group_display_key]],2,FALSE),"")</f>
        <v/>
      </c>
    </row>
    <row r="1203" spans="8:8" x14ac:dyDescent="0.2">
      <c r="H1203" s="11" t="str">
        <f>IFERROR(VLOOKUP(tbl_product_scores[[#This Row],[product_key]],tbl_products[[product_key]:[group_display_key]],2,FALSE),"")</f>
        <v/>
      </c>
    </row>
    <row r="1204" spans="8:8" x14ac:dyDescent="0.2">
      <c r="H1204" s="11" t="str">
        <f>IFERROR(VLOOKUP(tbl_product_scores[[#This Row],[product_key]],tbl_products[[product_key]:[group_display_key]],2,FALSE),"")</f>
        <v/>
      </c>
    </row>
    <row r="1205" spans="8:8" x14ac:dyDescent="0.2">
      <c r="H1205" s="11" t="str">
        <f>IFERROR(VLOOKUP(tbl_product_scores[[#This Row],[product_key]],tbl_products[[product_key]:[group_display_key]],2,FALSE),"")</f>
        <v/>
      </c>
    </row>
    <row r="1206" spans="8:8" x14ac:dyDescent="0.2">
      <c r="H1206" s="11" t="str">
        <f>IFERROR(VLOOKUP(tbl_product_scores[[#This Row],[product_key]],tbl_products[[product_key]:[group_display_key]],2,FALSE),"")</f>
        <v/>
      </c>
    </row>
    <row r="1207" spans="8:8" x14ac:dyDescent="0.2">
      <c r="H1207" s="11" t="str">
        <f>IFERROR(VLOOKUP(tbl_product_scores[[#This Row],[product_key]],tbl_products[[product_key]:[group_display_key]],2,FALSE),"")</f>
        <v/>
      </c>
    </row>
    <row r="1208" spans="8:8" x14ac:dyDescent="0.2">
      <c r="H1208" s="11" t="str">
        <f>IFERROR(VLOOKUP(tbl_product_scores[[#This Row],[product_key]],tbl_products[[product_key]:[group_display_key]],2,FALSE),"")</f>
        <v/>
      </c>
    </row>
    <row r="1209" spans="8:8" x14ac:dyDescent="0.2">
      <c r="H1209" s="11" t="str">
        <f>IFERROR(VLOOKUP(tbl_product_scores[[#This Row],[product_key]],tbl_products[[product_key]:[group_display_key]],2,FALSE),"")</f>
        <v/>
      </c>
    </row>
    <row r="1210" spans="8:8" x14ac:dyDescent="0.2">
      <c r="H1210" s="11" t="str">
        <f>IFERROR(VLOOKUP(tbl_product_scores[[#This Row],[product_key]],tbl_products[[product_key]:[group_display_key]],2,FALSE),"")</f>
        <v/>
      </c>
    </row>
    <row r="1211" spans="8:8" x14ac:dyDescent="0.2">
      <c r="H1211" s="11" t="str">
        <f>IFERROR(VLOOKUP(tbl_product_scores[[#This Row],[product_key]],tbl_products[[product_key]:[group_display_key]],2,FALSE),"")</f>
        <v/>
      </c>
    </row>
    <row r="1212" spans="8:8" x14ac:dyDescent="0.2">
      <c r="H1212" s="11" t="str">
        <f>IFERROR(VLOOKUP(tbl_product_scores[[#This Row],[product_key]],tbl_products[[product_key]:[group_display_key]],2,FALSE),"")</f>
        <v/>
      </c>
    </row>
    <row r="1213" spans="8:8" x14ac:dyDescent="0.2">
      <c r="H1213" s="11" t="str">
        <f>IFERROR(VLOOKUP(tbl_product_scores[[#This Row],[product_key]],tbl_products[[product_key]:[group_display_key]],2,FALSE),"")</f>
        <v/>
      </c>
    </row>
    <row r="1214" spans="8:8" x14ac:dyDescent="0.2">
      <c r="H1214" s="11" t="str">
        <f>IFERROR(VLOOKUP(tbl_product_scores[[#This Row],[product_key]],tbl_products[[product_key]:[group_display_key]],2,FALSE),"")</f>
        <v/>
      </c>
    </row>
    <row r="1215" spans="8:8" x14ac:dyDescent="0.2">
      <c r="H1215" s="11" t="str">
        <f>IFERROR(VLOOKUP(tbl_product_scores[[#This Row],[product_key]],tbl_products[[product_key]:[group_display_key]],2,FALSE),"")</f>
        <v/>
      </c>
    </row>
    <row r="1216" spans="8:8" x14ac:dyDescent="0.2">
      <c r="H1216" s="11" t="str">
        <f>IFERROR(VLOOKUP(tbl_product_scores[[#This Row],[product_key]],tbl_products[[product_key]:[group_display_key]],2,FALSE),"")</f>
        <v/>
      </c>
    </row>
    <row r="1217" spans="8:8" x14ac:dyDescent="0.2">
      <c r="H1217" s="11" t="str">
        <f>IFERROR(VLOOKUP(tbl_product_scores[[#This Row],[product_key]],tbl_products[[product_key]:[group_display_key]],2,FALSE),"")</f>
        <v/>
      </c>
    </row>
    <row r="1218" spans="8:8" x14ac:dyDescent="0.2">
      <c r="H1218" s="11" t="str">
        <f>IFERROR(VLOOKUP(tbl_product_scores[[#This Row],[product_key]],tbl_products[[product_key]:[group_display_key]],2,FALSE),"")</f>
        <v/>
      </c>
    </row>
    <row r="1219" spans="8:8" x14ac:dyDescent="0.2">
      <c r="H1219" s="11" t="str">
        <f>IFERROR(VLOOKUP(tbl_product_scores[[#This Row],[product_key]],tbl_products[[product_key]:[group_display_key]],2,FALSE),"")</f>
        <v/>
      </c>
    </row>
    <row r="1220" spans="8:8" x14ac:dyDescent="0.2">
      <c r="H1220" s="11" t="str">
        <f>IFERROR(VLOOKUP(tbl_product_scores[[#This Row],[product_key]],tbl_products[[product_key]:[group_display_key]],2,FALSE),"")</f>
        <v/>
      </c>
    </row>
    <row r="1221" spans="8:8" x14ac:dyDescent="0.2">
      <c r="H1221" s="11" t="str">
        <f>IFERROR(VLOOKUP(tbl_product_scores[[#This Row],[product_key]],tbl_products[[product_key]:[group_display_key]],2,FALSE),"")</f>
        <v/>
      </c>
    </row>
    <row r="1222" spans="8:8" x14ac:dyDescent="0.2">
      <c r="H1222" s="11" t="str">
        <f>IFERROR(VLOOKUP(tbl_product_scores[[#This Row],[product_key]],tbl_products[[product_key]:[group_display_key]],2,FALSE),"")</f>
        <v/>
      </c>
    </row>
    <row r="1223" spans="8:8" x14ac:dyDescent="0.2">
      <c r="H1223" s="11" t="str">
        <f>IFERROR(VLOOKUP(tbl_product_scores[[#This Row],[product_key]],tbl_products[[product_key]:[group_display_key]],2,FALSE),"")</f>
        <v/>
      </c>
    </row>
    <row r="1224" spans="8:8" x14ac:dyDescent="0.2">
      <c r="H1224" s="11" t="str">
        <f>IFERROR(VLOOKUP(tbl_product_scores[[#This Row],[product_key]],tbl_products[[product_key]:[group_display_key]],2,FALSE),"")</f>
        <v/>
      </c>
    </row>
    <row r="1225" spans="8:8" x14ac:dyDescent="0.2">
      <c r="H1225" s="11" t="str">
        <f>IFERROR(VLOOKUP(tbl_product_scores[[#This Row],[product_key]],tbl_products[[product_key]:[group_display_key]],2,FALSE),"")</f>
        <v/>
      </c>
    </row>
    <row r="1226" spans="8:8" x14ac:dyDescent="0.2">
      <c r="H1226" s="11" t="str">
        <f>IFERROR(VLOOKUP(tbl_product_scores[[#This Row],[product_key]],tbl_products[[product_key]:[group_display_key]],2,FALSE),"")</f>
        <v/>
      </c>
    </row>
    <row r="1227" spans="8:8" x14ac:dyDescent="0.2">
      <c r="H1227" s="11" t="str">
        <f>IFERROR(VLOOKUP(tbl_product_scores[[#This Row],[product_key]],tbl_products[[product_key]:[group_display_key]],2,FALSE),"")</f>
        <v/>
      </c>
    </row>
    <row r="1228" spans="8:8" x14ac:dyDescent="0.2">
      <c r="H1228" s="11" t="str">
        <f>IFERROR(VLOOKUP(tbl_product_scores[[#This Row],[product_key]],tbl_products[[product_key]:[group_display_key]],2,FALSE),"")</f>
        <v/>
      </c>
    </row>
    <row r="1229" spans="8:8" x14ac:dyDescent="0.2">
      <c r="H1229" s="11" t="str">
        <f>IFERROR(VLOOKUP(tbl_product_scores[[#This Row],[product_key]],tbl_products[[product_key]:[group_display_key]],2,FALSE),"")</f>
        <v/>
      </c>
    </row>
    <row r="1230" spans="8:8" x14ac:dyDescent="0.2">
      <c r="H1230" s="11" t="str">
        <f>IFERROR(VLOOKUP(tbl_product_scores[[#This Row],[product_key]],tbl_products[[product_key]:[group_display_key]],2,FALSE),"")</f>
        <v/>
      </c>
    </row>
    <row r="1231" spans="8:8" x14ac:dyDescent="0.2">
      <c r="H1231" s="11" t="str">
        <f>IFERROR(VLOOKUP(tbl_product_scores[[#This Row],[product_key]],tbl_products[[product_key]:[group_display_key]],2,FALSE),"")</f>
        <v/>
      </c>
    </row>
    <row r="1232" spans="8:8" x14ac:dyDescent="0.2">
      <c r="H1232" s="11" t="str">
        <f>IFERROR(VLOOKUP(tbl_product_scores[[#This Row],[product_key]],tbl_products[[product_key]:[group_display_key]],2,FALSE),"")</f>
        <v/>
      </c>
    </row>
    <row r="1233" spans="8:8" x14ac:dyDescent="0.2">
      <c r="H1233" s="11" t="str">
        <f>IFERROR(VLOOKUP(tbl_product_scores[[#This Row],[product_key]],tbl_products[[product_key]:[group_display_key]],2,FALSE),"")</f>
        <v/>
      </c>
    </row>
    <row r="1234" spans="8:8" x14ac:dyDescent="0.2">
      <c r="H1234" s="11" t="str">
        <f>IFERROR(VLOOKUP(tbl_product_scores[[#This Row],[product_key]],tbl_products[[product_key]:[group_display_key]],2,FALSE),"")</f>
        <v/>
      </c>
    </row>
    <row r="1235" spans="8:8" x14ac:dyDescent="0.2">
      <c r="H1235" s="11" t="str">
        <f>IFERROR(VLOOKUP(tbl_product_scores[[#This Row],[product_key]],tbl_products[[product_key]:[group_display_key]],2,FALSE),"")</f>
        <v/>
      </c>
    </row>
    <row r="1236" spans="8:8" x14ac:dyDescent="0.2">
      <c r="H1236" s="11" t="str">
        <f>IFERROR(VLOOKUP(tbl_product_scores[[#This Row],[product_key]],tbl_products[[product_key]:[group_display_key]],2,FALSE),"")</f>
        <v/>
      </c>
    </row>
    <row r="1237" spans="8:8" x14ac:dyDescent="0.2">
      <c r="H1237" s="11" t="str">
        <f>IFERROR(VLOOKUP(tbl_product_scores[[#This Row],[product_key]],tbl_products[[product_key]:[group_display_key]],2,FALSE),"")</f>
        <v/>
      </c>
    </row>
    <row r="1238" spans="8:8" x14ac:dyDescent="0.2">
      <c r="H1238" s="11" t="str">
        <f>IFERROR(VLOOKUP(tbl_product_scores[[#This Row],[product_key]],tbl_products[[product_key]:[group_display_key]],2,FALSE),"")</f>
        <v/>
      </c>
    </row>
    <row r="1239" spans="8:8" x14ac:dyDescent="0.2">
      <c r="H1239" s="11" t="str">
        <f>IFERROR(VLOOKUP(tbl_product_scores[[#This Row],[product_key]],tbl_products[[product_key]:[group_display_key]],2,FALSE),"")</f>
        <v/>
      </c>
    </row>
    <row r="1240" spans="8:8" x14ac:dyDescent="0.2">
      <c r="H1240" s="11" t="str">
        <f>IFERROR(VLOOKUP(tbl_product_scores[[#This Row],[product_key]],tbl_products[[product_key]:[group_display_key]],2,FALSE),"")</f>
        <v/>
      </c>
    </row>
    <row r="1241" spans="8:8" x14ac:dyDescent="0.2">
      <c r="H1241" s="11" t="str">
        <f>IFERROR(VLOOKUP(tbl_product_scores[[#This Row],[product_key]],tbl_products[[product_key]:[group_display_key]],2,FALSE),"")</f>
        <v/>
      </c>
    </row>
    <row r="1242" spans="8:8" x14ac:dyDescent="0.2">
      <c r="H1242" s="11" t="str">
        <f>IFERROR(VLOOKUP(tbl_product_scores[[#This Row],[product_key]],tbl_products[[product_key]:[group_display_key]],2,FALSE),"")</f>
        <v/>
      </c>
    </row>
    <row r="1243" spans="8:8" x14ac:dyDescent="0.2">
      <c r="H1243" s="11" t="str">
        <f>IFERROR(VLOOKUP(tbl_product_scores[[#This Row],[product_key]],tbl_products[[product_key]:[group_display_key]],2,FALSE),"")</f>
        <v/>
      </c>
    </row>
    <row r="1244" spans="8:8" x14ac:dyDescent="0.2">
      <c r="H1244" s="11" t="str">
        <f>IFERROR(VLOOKUP(tbl_product_scores[[#This Row],[product_key]],tbl_products[[product_key]:[group_display_key]],2,FALSE),"")</f>
        <v/>
      </c>
    </row>
    <row r="1245" spans="8:8" x14ac:dyDescent="0.2">
      <c r="H1245" s="11" t="str">
        <f>IFERROR(VLOOKUP(tbl_product_scores[[#This Row],[product_key]],tbl_products[[product_key]:[group_display_key]],2,FALSE),"")</f>
        <v/>
      </c>
    </row>
    <row r="1246" spans="8:8" x14ac:dyDescent="0.2">
      <c r="H1246" s="11" t="str">
        <f>IFERROR(VLOOKUP(tbl_product_scores[[#This Row],[product_key]],tbl_products[[product_key]:[group_display_key]],2,FALSE),"")</f>
        <v/>
      </c>
    </row>
    <row r="1247" spans="8:8" x14ac:dyDescent="0.2">
      <c r="H1247" s="11" t="str">
        <f>IFERROR(VLOOKUP(tbl_product_scores[[#This Row],[product_key]],tbl_products[[product_key]:[group_display_key]],2,FALSE),"")</f>
        <v/>
      </c>
    </row>
    <row r="1248" spans="8:8" x14ac:dyDescent="0.2">
      <c r="H1248" s="11" t="str">
        <f>IFERROR(VLOOKUP(tbl_product_scores[[#This Row],[product_key]],tbl_products[[product_key]:[group_display_key]],2,FALSE),"")</f>
        <v/>
      </c>
    </row>
    <row r="1249" spans="8:8" x14ac:dyDescent="0.2">
      <c r="H1249" s="11" t="str">
        <f>IFERROR(VLOOKUP(tbl_product_scores[[#This Row],[product_key]],tbl_products[[product_key]:[group_display_key]],2,FALSE),"")</f>
        <v/>
      </c>
    </row>
    <row r="1250" spans="8:8" x14ac:dyDescent="0.2">
      <c r="H1250" s="11" t="str">
        <f>IFERROR(VLOOKUP(tbl_product_scores[[#This Row],[product_key]],tbl_products[[product_key]:[group_display_key]],2,FALSE),"")</f>
        <v/>
      </c>
    </row>
    <row r="1251" spans="8:8" x14ac:dyDescent="0.2">
      <c r="H1251" s="11" t="str">
        <f>IFERROR(VLOOKUP(tbl_product_scores[[#This Row],[product_key]],tbl_products[[product_key]:[group_display_key]],2,FALSE),"")</f>
        <v/>
      </c>
    </row>
    <row r="1252" spans="8:8" x14ac:dyDescent="0.2">
      <c r="H1252" s="11" t="str">
        <f>IFERROR(VLOOKUP(tbl_product_scores[[#This Row],[product_key]],tbl_products[[product_key]:[group_display_key]],2,FALSE),"")</f>
        <v/>
      </c>
    </row>
    <row r="1253" spans="8:8" x14ac:dyDescent="0.2">
      <c r="H1253" s="11" t="str">
        <f>IFERROR(VLOOKUP(tbl_product_scores[[#This Row],[product_key]],tbl_products[[product_key]:[group_display_key]],2,FALSE),"")</f>
        <v/>
      </c>
    </row>
    <row r="1254" spans="8:8" x14ac:dyDescent="0.2">
      <c r="H1254" s="11" t="str">
        <f>IFERROR(VLOOKUP(tbl_product_scores[[#This Row],[product_key]],tbl_products[[product_key]:[group_display_key]],2,FALSE),"")</f>
        <v/>
      </c>
    </row>
    <row r="1255" spans="8:8" x14ac:dyDescent="0.2">
      <c r="H1255" s="11" t="str">
        <f>IFERROR(VLOOKUP(tbl_product_scores[[#This Row],[product_key]],tbl_products[[product_key]:[group_display_key]],2,FALSE),"")</f>
        <v/>
      </c>
    </row>
    <row r="1256" spans="8:8" x14ac:dyDescent="0.2">
      <c r="H1256" s="11" t="str">
        <f>IFERROR(VLOOKUP(tbl_product_scores[[#This Row],[product_key]],tbl_products[[product_key]:[group_display_key]],2,FALSE),"")</f>
        <v/>
      </c>
    </row>
    <row r="1257" spans="8:8" x14ac:dyDescent="0.2">
      <c r="H1257" s="11" t="str">
        <f>IFERROR(VLOOKUP(tbl_product_scores[[#This Row],[product_key]],tbl_products[[product_key]:[group_display_key]],2,FALSE),"")</f>
        <v/>
      </c>
    </row>
    <row r="1258" spans="8:8" x14ac:dyDescent="0.2">
      <c r="H1258" s="11" t="str">
        <f>IFERROR(VLOOKUP(tbl_product_scores[[#This Row],[product_key]],tbl_products[[product_key]:[group_display_key]],2,FALSE),"")</f>
        <v/>
      </c>
    </row>
    <row r="1259" spans="8:8" x14ac:dyDescent="0.2">
      <c r="H1259" s="11" t="str">
        <f>IFERROR(VLOOKUP(tbl_product_scores[[#This Row],[product_key]],tbl_products[[product_key]:[group_display_key]],2,FALSE),"")</f>
        <v/>
      </c>
    </row>
    <row r="1260" spans="8:8" x14ac:dyDescent="0.2">
      <c r="H1260" s="11" t="str">
        <f>IFERROR(VLOOKUP(tbl_product_scores[[#This Row],[product_key]],tbl_products[[product_key]:[group_display_key]],2,FALSE),"")</f>
        <v/>
      </c>
    </row>
    <row r="1261" spans="8:8" x14ac:dyDescent="0.2">
      <c r="H1261" s="11" t="str">
        <f>IFERROR(VLOOKUP(tbl_product_scores[[#This Row],[product_key]],tbl_products[[product_key]:[group_display_key]],2,FALSE),"")</f>
        <v/>
      </c>
    </row>
    <row r="1262" spans="8:8" x14ac:dyDescent="0.2">
      <c r="H1262" s="11" t="str">
        <f>IFERROR(VLOOKUP(tbl_product_scores[[#This Row],[product_key]],tbl_products[[product_key]:[group_display_key]],2,FALSE),"")</f>
        <v/>
      </c>
    </row>
    <row r="1263" spans="8:8" x14ac:dyDescent="0.2">
      <c r="H1263" s="11" t="str">
        <f>IFERROR(VLOOKUP(tbl_product_scores[[#This Row],[product_key]],tbl_products[[product_key]:[group_display_key]],2,FALSE),"")</f>
        <v/>
      </c>
    </row>
    <row r="1264" spans="8:8" x14ac:dyDescent="0.2">
      <c r="H1264" s="11" t="str">
        <f>IFERROR(VLOOKUP(tbl_product_scores[[#This Row],[product_key]],tbl_products[[product_key]:[group_display_key]],2,FALSE),"")</f>
        <v/>
      </c>
    </row>
    <row r="1265" spans="8:8" x14ac:dyDescent="0.2">
      <c r="H1265" s="11" t="str">
        <f>IFERROR(VLOOKUP(tbl_product_scores[[#This Row],[product_key]],tbl_products[[product_key]:[group_display_key]],2,FALSE),"")</f>
        <v/>
      </c>
    </row>
    <row r="1266" spans="8:8" x14ac:dyDescent="0.2">
      <c r="H1266" s="11" t="str">
        <f>IFERROR(VLOOKUP(tbl_product_scores[[#This Row],[product_key]],tbl_products[[product_key]:[group_display_key]],2,FALSE),"")</f>
        <v/>
      </c>
    </row>
    <row r="1267" spans="8:8" x14ac:dyDescent="0.2">
      <c r="H1267" s="11" t="str">
        <f>IFERROR(VLOOKUP(tbl_product_scores[[#This Row],[product_key]],tbl_products[[product_key]:[group_display_key]],2,FALSE),"")</f>
        <v/>
      </c>
    </row>
    <row r="1268" spans="8:8" x14ac:dyDescent="0.2">
      <c r="H1268" s="11" t="str">
        <f>IFERROR(VLOOKUP(tbl_product_scores[[#This Row],[product_key]],tbl_products[[product_key]:[group_display_key]],2,FALSE),"")</f>
        <v/>
      </c>
    </row>
    <row r="1269" spans="8:8" x14ac:dyDescent="0.2">
      <c r="H1269" s="11" t="str">
        <f>IFERROR(VLOOKUP(tbl_product_scores[[#This Row],[product_key]],tbl_products[[product_key]:[group_display_key]],2,FALSE),"")</f>
        <v/>
      </c>
    </row>
    <row r="1270" spans="8:8" x14ac:dyDescent="0.2">
      <c r="H1270" s="11" t="str">
        <f>IFERROR(VLOOKUP(tbl_product_scores[[#This Row],[product_key]],tbl_products[[product_key]:[group_display_key]],2,FALSE),"")</f>
        <v/>
      </c>
    </row>
    <row r="1271" spans="8:8" x14ac:dyDescent="0.2">
      <c r="H1271" s="11" t="str">
        <f>IFERROR(VLOOKUP(tbl_product_scores[[#This Row],[product_key]],tbl_products[[product_key]:[group_display_key]],2,FALSE),"")</f>
        <v/>
      </c>
    </row>
    <row r="1272" spans="8:8" x14ac:dyDescent="0.2">
      <c r="H1272" s="11" t="str">
        <f>IFERROR(VLOOKUP(tbl_product_scores[[#This Row],[product_key]],tbl_products[[product_key]:[group_display_key]],2,FALSE),"")</f>
        <v/>
      </c>
    </row>
    <row r="1273" spans="8:8" x14ac:dyDescent="0.2">
      <c r="H1273" s="11" t="str">
        <f>IFERROR(VLOOKUP(tbl_product_scores[[#This Row],[product_key]],tbl_products[[product_key]:[group_display_key]],2,FALSE),"")</f>
        <v/>
      </c>
    </row>
    <row r="1274" spans="8:8" x14ac:dyDescent="0.2">
      <c r="H1274" s="11" t="str">
        <f>IFERROR(VLOOKUP(tbl_product_scores[[#This Row],[product_key]],tbl_products[[product_key]:[group_display_key]],2,FALSE),"")</f>
        <v/>
      </c>
    </row>
    <row r="1275" spans="8:8" x14ac:dyDescent="0.2">
      <c r="H1275" s="11" t="str">
        <f>IFERROR(VLOOKUP(tbl_product_scores[[#This Row],[product_key]],tbl_products[[product_key]:[group_display_key]],2,FALSE),"")</f>
        <v/>
      </c>
    </row>
    <row r="1276" spans="8:8" x14ac:dyDescent="0.2">
      <c r="H1276" s="11" t="str">
        <f>IFERROR(VLOOKUP(tbl_product_scores[[#This Row],[product_key]],tbl_products[[product_key]:[group_display_key]],2,FALSE),"")</f>
        <v/>
      </c>
    </row>
    <row r="1277" spans="8:8" x14ac:dyDescent="0.2">
      <c r="H1277" s="11" t="str">
        <f>IFERROR(VLOOKUP(tbl_product_scores[[#This Row],[product_key]],tbl_products[[product_key]:[group_display_key]],2,FALSE),"")</f>
        <v/>
      </c>
    </row>
    <row r="1278" spans="8:8" x14ac:dyDescent="0.2">
      <c r="H1278" s="11" t="str">
        <f>IFERROR(VLOOKUP(tbl_product_scores[[#This Row],[product_key]],tbl_products[[product_key]:[group_display_key]],2,FALSE),"")</f>
        <v/>
      </c>
    </row>
    <row r="1279" spans="8:8" x14ac:dyDescent="0.2">
      <c r="H1279" s="11" t="str">
        <f>IFERROR(VLOOKUP(tbl_product_scores[[#This Row],[product_key]],tbl_products[[product_key]:[group_display_key]],2,FALSE),"")</f>
        <v/>
      </c>
    </row>
    <row r="1280" spans="8:8" x14ac:dyDescent="0.2">
      <c r="H1280" s="11" t="str">
        <f>IFERROR(VLOOKUP(tbl_product_scores[[#This Row],[product_key]],tbl_products[[product_key]:[group_display_key]],2,FALSE),"")</f>
        <v/>
      </c>
    </row>
    <row r="1281" spans="8:8" x14ac:dyDescent="0.2">
      <c r="H1281" s="11" t="str">
        <f>IFERROR(VLOOKUP(tbl_product_scores[[#This Row],[product_key]],tbl_products[[product_key]:[group_display_key]],2,FALSE),"")</f>
        <v/>
      </c>
    </row>
    <row r="1282" spans="8:8" x14ac:dyDescent="0.2">
      <c r="H1282" s="11" t="str">
        <f>IFERROR(VLOOKUP(tbl_product_scores[[#This Row],[product_key]],tbl_products[[product_key]:[group_display_key]],2,FALSE),"")</f>
        <v/>
      </c>
    </row>
    <row r="1283" spans="8:8" x14ac:dyDescent="0.2">
      <c r="H1283" s="11" t="str">
        <f>IFERROR(VLOOKUP(tbl_product_scores[[#This Row],[product_key]],tbl_products[[product_key]:[group_display_key]],2,FALSE),"")</f>
        <v/>
      </c>
    </row>
    <row r="1284" spans="8:8" x14ac:dyDescent="0.2">
      <c r="H1284" s="11" t="str">
        <f>IFERROR(VLOOKUP(tbl_product_scores[[#This Row],[product_key]],tbl_products[[product_key]:[group_display_key]],2,FALSE),"")</f>
        <v/>
      </c>
    </row>
    <row r="1285" spans="8:8" x14ac:dyDescent="0.2">
      <c r="H1285" s="11" t="str">
        <f>IFERROR(VLOOKUP(tbl_product_scores[[#This Row],[product_key]],tbl_products[[product_key]:[group_display_key]],2,FALSE),"")</f>
        <v/>
      </c>
    </row>
    <row r="1286" spans="8:8" x14ac:dyDescent="0.2">
      <c r="H1286" s="11" t="str">
        <f>IFERROR(VLOOKUP(tbl_product_scores[[#This Row],[product_key]],tbl_products[[product_key]:[group_display_key]],2,FALSE),"")</f>
        <v/>
      </c>
    </row>
    <row r="1287" spans="8:8" x14ac:dyDescent="0.2">
      <c r="H1287" s="11" t="str">
        <f>IFERROR(VLOOKUP(tbl_product_scores[[#This Row],[product_key]],tbl_products[[product_key]:[group_display_key]],2,FALSE),"")</f>
        <v/>
      </c>
    </row>
    <row r="1288" spans="8:8" x14ac:dyDescent="0.2">
      <c r="H1288" s="11" t="str">
        <f>IFERROR(VLOOKUP(tbl_product_scores[[#This Row],[product_key]],tbl_products[[product_key]:[group_display_key]],2,FALSE),"")</f>
        <v/>
      </c>
    </row>
    <row r="1289" spans="8:8" x14ac:dyDescent="0.2">
      <c r="H1289" s="11" t="str">
        <f>IFERROR(VLOOKUP(tbl_product_scores[[#This Row],[product_key]],tbl_products[[product_key]:[group_display_key]],2,FALSE),"")</f>
        <v/>
      </c>
    </row>
    <row r="1290" spans="8:8" x14ac:dyDescent="0.2">
      <c r="H1290" s="11" t="str">
        <f>IFERROR(VLOOKUP(tbl_product_scores[[#This Row],[product_key]],tbl_products[[product_key]:[group_display_key]],2,FALSE),"")</f>
        <v/>
      </c>
    </row>
    <row r="1291" spans="8:8" x14ac:dyDescent="0.2">
      <c r="H1291" s="11" t="str">
        <f>IFERROR(VLOOKUP(tbl_product_scores[[#This Row],[product_key]],tbl_products[[product_key]:[group_display_key]],2,FALSE),"")</f>
        <v/>
      </c>
    </row>
    <row r="1292" spans="8:8" x14ac:dyDescent="0.2">
      <c r="H1292" s="11" t="str">
        <f>IFERROR(VLOOKUP(tbl_product_scores[[#This Row],[product_key]],tbl_products[[product_key]:[group_display_key]],2,FALSE),"")</f>
        <v/>
      </c>
    </row>
    <row r="1293" spans="8:8" x14ac:dyDescent="0.2">
      <c r="H1293" s="11" t="str">
        <f>IFERROR(VLOOKUP(tbl_product_scores[[#This Row],[product_key]],tbl_products[[product_key]:[group_display_key]],2,FALSE),"")</f>
        <v/>
      </c>
    </row>
    <row r="1294" spans="8:8" x14ac:dyDescent="0.2">
      <c r="H1294" s="11" t="str">
        <f>IFERROR(VLOOKUP(tbl_product_scores[[#This Row],[product_key]],tbl_products[[product_key]:[group_display_key]],2,FALSE),"")</f>
        <v/>
      </c>
    </row>
    <row r="1295" spans="8:8" x14ac:dyDescent="0.2">
      <c r="H1295" s="11" t="str">
        <f>IFERROR(VLOOKUP(tbl_product_scores[[#This Row],[product_key]],tbl_products[[product_key]:[group_display_key]],2,FALSE),"")</f>
        <v/>
      </c>
    </row>
    <row r="1296" spans="8:8" x14ac:dyDescent="0.2">
      <c r="H1296" s="11" t="str">
        <f>IFERROR(VLOOKUP(tbl_product_scores[[#This Row],[product_key]],tbl_products[[product_key]:[group_display_key]],2,FALSE),"")</f>
        <v/>
      </c>
    </row>
    <row r="1297" spans="8:8" x14ac:dyDescent="0.2">
      <c r="H1297" s="11" t="str">
        <f>IFERROR(VLOOKUP(tbl_product_scores[[#This Row],[product_key]],tbl_products[[product_key]:[group_display_key]],2,FALSE),"")</f>
        <v/>
      </c>
    </row>
    <row r="1298" spans="8:8" x14ac:dyDescent="0.2">
      <c r="H1298" s="11" t="str">
        <f>IFERROR(VLOOKUP(tbl_product_scores[[#This Row],[product_key]],tbl_products[[product_key]:[group_display_key]],2,FALSE),"")</f>
        <v/>
      </c>
    </row>
    <row r="1299" spans="8:8" x14ac:dyDescent="0.2">
      <c r="H1299" s="11" t="str">
        <f>IFERROR(VLOOKUP(tbl_product_scores[[#This Row],[product_key]],tbl_products[[product_key]:[group_display_key]],2,FALSE),"")</f>
        <v/>
      </c>
    </row>
    <row r="1300" spans="8:8" x14ac:dyDescent="0.2">
      <c r="H1300" s="11" t="str">
        <f>IFERROR(VLOOKUP(tbl_product_scores[[#This Row],[product_key]],tbl_products[[product_key]:[group_display_key]],2,FALSE),"")</f>
        <v/>
      </c>
    </row>
    <row r="1301" spans="8:8" x14ac:dyDescent="0.2">
      <c r="H1301" s="11" t="str">
        <f>IFERROR(VLOOKUP(tbl_product_scores[[#This Row],[product_key]],tbl_products[[product_key]:[group_display_key]],2,FALSE),"")</f>
        <v/>
      </c>
    </row>
    <row r="1302" spans="8:8" x14ac:dyDescent="0.2">
      <c r="H1302" s="11" t="str">
        <f>IFERROR(VLOOKUP(tbl_product_scores[[#This Row],[product_key]],tbl_products[[product_key]:[group_display_key]],2,FALSE),"")</f>
        <v/>
      </c>
    </row>
    <row r="1303" spans="8:8" x14ac:dyDescent="0.2">
      <c r="H1303" s="11" t="str">
        <f>IFERROR(VLOOKUP(tbl_product_scores[[#This Row],[product_key]],tbl_products[[product_key]:[group_display_key]],2,FALSE),"")</f>
        <v/>
      </c>
    </row>
    <row r="1304" spans="8:8" x14ac:dyDescent="0.2">
      <c r="H1304" s="11" t="str">
        <f>IFERROR(VLOOKUP(tbl_product_scores[[#This Row],[product_key]],tbl_products[[product_key]:[group_display_key]],2,FALSE),"")</f>
        <v/>
      </c>
    </row>
    <row r="1305" spans="8:8" x14ac:dyDescent="0.2">
      <c r="H1305" s="11" t="str">
        <f>IFERROR(VLOOKUP(tbl_product_scores[[#This Row],[product_key]],tbl_products[[product_key]:[group_display_key]],2,FALSE),"")</f>
        <v/>
      </c>
    </row>
    <row r="1306" spans="8:8" x14ac:dyDescent="0.2">
      <c r="H1306" s="11" t="str">
        <f>IFERROR(VLOOKUP(tbl_product_scores[[#This Row],[product_key]],tbl_products[[product_key]:[group_display_key]],2,FALSE),"")</f>
        <v/>
      </c>
    </row>
    <row r="1307" spans="8:8" x14ac:dyDescent="0.2">
      <c r="H1307" s="11" t="str">
        <f>IFERROR(VLOOKUP(tbl_product_scores[[#This Row],[product_key]],tbl_products[[product_key]:[group_display_key]],2,FALSE),"")</f>
        <v/>
      </c>
    </row>
    <row r="1308" spans="8:8" x14ac:dyDescent="0.2">
      <c r="H1308" s="11" t="str">
        <f>IFERROR(VLOOKUP(tbl_product_scores[[#This Row],[product_key]],tbl_products[[product_key]:[group_display_key]],2,FALSE),"")</f>
        <v/>
      </c>
    </row>
    <row r="1309" spans="8:8" x14ac:dyDescent="0.2">
      <c r="H1309" s="11" t="str">
        <f>IFERROR(VLOOKUP(tbl_product_scores[[#This Row],[product_key]],tbl_products[[product_key]:[group_display_key]],2,FALSE),"")</f>
        <v/>
      </c>
    </row>
    <row r="1310" spans="8:8" x14ac:dyDescent="0.2">
      <c r="H1310" s="11" t="str">
        <f>IFERROR(VLOOKUP(tbl_product_scores[[#This Row],[product_key]],tbl_products[[product_key]:[group_display_key]],2,FALSE),"")</f>
        <v/>
      </c>
    </row>
    <row r="1311" spans="8:8" x14ac:dyDescent="0.2">
      <c r="H1311" s="11" t="str">
        <f>IFERROR(VLOOKUP(tbl_product_scores[[#This Row],[product_key]],tbl_products[[product_key]:[group_display_key]],2,FALSE),"")</f>
        <v/>
      </c>
    </row>
    <row r="1312" spans="8:8" x14ac:dyDescent="0.2">
      <c r="H1312" s="11" t="str">
        <f>IFERROR(VLOOKUP(tbl_product_scores[[#This Row],[product_key]],tbl_products[[product_key]:[group_display_key]],2,FALSE),"")</f>
        <v/>
      </c>
    </row>
    <row r="1313" spans="8:8" x14ac:dyDescent="0.2">
      <c r="H1313" s="11" t="str">
        <f>IFERROR(VLOOKUP(tbl_product_scores[[#This Row],[product_key]],tbl_products[[product_key]:[group_display_key]],2,FALSE),"")</f>
        <v/>
      </c>
    </row>
    <row r="1314" spans="8:8" x14ac:dyDescent="0.2">
      <c r="H1314" s="11" t="str">
        <f>IFERROR(VLOOKUP(tbl_product_scores[[#This Row],[product_key]],tbl_products[[product_key]:[group_display_key]],2,FALSE),"")</f>
        <v/>
      </c>
    </row>
    <row r="1315" spans="8:8" x14ac:dyDescent="0.2">
      <c r="H1315" s="11" t="str">
        <f>IFERROR(VLOOKUP(tbl_product_scores[[#This Row],[product_key]],tbl_products[[product_key]:[group_display_key]],2,FALSE),"")</f>
        <v/>
      </c>
    </row>
    <row r="1316" spans="8:8" x14ac:dyDescent="0.2">
      <c r="H1316" s="11" t="str">
        <f>IFERROR(VLOOKUP(tbl_product_scores[[#This Row],[product_key]],tbl_products[[product_key]:[group_display_key]],2,FALSE),"")</f>
        <v/>
      </c>
    </row>
    <row r="1317" spans="8:8" x14ac:dyDescent="0.2">
      <c r="H1317" s="11" t="str">
        <f>IFERROR(VLOOKUP(tbl_product_scores[[#This Row],[product_key]],tbl_products[[product_key]:[group_display_key]],2,FALSE),"")</f>
        <v/>
      </c>
    </row>
    <row r="1318" spans="8:8" x14ac:dyDescent="0.2">
      <c r="H1318" s="11" t="str">
        <f>IFERROR(VLOOKUP(tbl_product_scores[[#This Row],[product_key]],tbl_products[[product_key]:[group_display_key]],2,FALSE),"")</f>
        <v/>
      </c>
    </row>
    <row r="1319" spans="8:8" x14ac:dyDescent="0.2">
      <c r="H1319" s="11" t="str">
        <f>IFERROR(VLOOKUP(tbl_product_scores[[#This Row],[product_key]],tbl_products[[product_key]:[group_display_key]],2,FALSE),"")</f>
        <v/>
      </c>
    </row>
    <row r="1320" spans="8:8" x14ac:dyDescent="0.2">
      <c r="H1320" s="11" t="str">
        <f>IFERROR(VLOOKUP(tbl_product_scores[[#This Row],[product_key]],tbl_products[[product_key]:[group_display_key]],2,FALSE),"")</f>
        <v/>
      </c>
    </row>
    <row r="1321" spans="8:8" x14ac:dyDescent="0.2">
      <c r="H1321" s="11" t="str">
        <f>IFERROR(VLOOKUP(tbl_product_scores[[#This Row],[product_key]],tbl_products[[product_key]:[group_display_key]],2,FALSE),"")</f>
        <v/>
      </c>
    </row>
    <row r="1322" spans="8:8" x14ac:dyDescent="0.2">
      <c r="H1322" s="11" t="str">
        <f>IFERROR(VLOOKUP(tbl_product_scores[[#This Row],[product_key]],tbl_products[[product_key]:[group_display_key]],2,FALSE),"")</f>
        <v/>
      </c>
    </row>
    <row r="1323" spans="8:8" x14ac:dyDescent="0.2">
      <c r="H1323" s="11" t="str">
        <f>IFERROR(VLOOKUP(tbl_product_scores[[#This Row],[product_key]],tbl_products[[product_key]:[group_display_key]],2,FALSE),"")</f>
        <v/>
      </c>
    </row>
    <row r="1324" spans="8:8" x14ac:dyDescent="0.2">
      <c r="H1324" s="11" t="str">
        <f>IFERROR(VLOOKUP(tbl_product_scores[[#This Row],[product_key]],tbl_products[[product_key]:[group_display_key]],2,FALSE),"")</f>
        <v/>
      </c>
    </row>
    <row r="1325" spans="8:8" x14ac:dyDescent="0.2">
      <c r="H1325" s="11" t="str">
        <f>IFERROR(VLOOKUP(tbl_product_scores[[#This Row],[product_key]],tbl_products[[product_key]:[group_display_key]],2,FALSE),"")</f>
        <v/>
      </c>
    </row>
    <row r="1326" spans="8:8" x14ac:dyDescent="0.2">
      <c r="H1326" s="11" t="str">
        <f>IFERROR(VLOOKUP(tbl_product_scores[[#This Row],[product_key]],tbl_products[[product_key]:[group_display_key]],2,FALSE),"")</f>
        <v/>
      </c>
    </row>
    <row r="1327" spans="8:8" x14ac:dyDescent="0.2">
      <c r="H1327" s="11" t="str">
        <f>IFERROR(VLOOKUP(tbl_product_scores[[#This Row],[product_key]],tbl_products[[product_key]:[group_display_key]],2,FALSE),"")</f>
        <v/>
      </c>
    </row>
    <row r="1328" spans="8:8" x14ac:dyDescent="0.2">
      <c r="H1328" s="11" t="str">
        <f>IFERROR(VLOOKUP(tbl_product_scores[[#This Row],[product_key]],tbl_products[[product_key]:[group_display_key]],2,FALSE),"")</f>
        <v/>
      </c>
    </row>
    <row r="1329" spans="8:8" x14ac:dyDescent="0.2">
      <c r="H1329" s="11" t="str">
        <f>IFERROR(VLOOKUP(tbl_product_scores[[#This Row],[product_key]],tbl_products[[product_key]:[group_display_key]],2,FALSE),"")</f>
        <v/>
      </c>
    </row>
    <row r="1330" spans="8:8" x14ac:dyDescent="0.2">
      <c r="H1330" s="11" t="str">
        <f>IFERROR(VLOOKUP(tbl_product_scores[[#This Row],[product_key]],tbl_products[[product_key]:[group_display_key]],2,FALSE),"")</f>
        <v/>
      </c>
    </row>
    <row r="1331" spans="8:8" x14ac:dyDescent="0.2">
      <c r="H1331" s="11" t="str">
        <f>IFERROR(VLOOKUP(tbl_product_scores[[#This Row],[product_key]],tbl_products[[product_key]:[group_display_key]],2,FALSE),"")</f>
        <v/>
      </c>
    </row>
    <row r="1332" spans="8:8" x14ac:dyDescent="0.2">
      <c r="H1332" s="11" t="str">
        <f>IFERROR(VLOOKUP(tbl_product_scores[[#This Row],[product_key]],tbl_products[[product_key]:[group_display_key]],2,FALSE),"")</f>
        <v/>
      </c>
    </row>
    <row r="1333" spans="8:8" x14ac:dyDescent="0.2">
      <c r="H1333" s="11" t="str">
        <f>IFERROR(VLOOKUP(tbl_product_scores[[#This Row],[product_key]],tbl_products[[product_key]:[group_display_key]],2,FALSE),"")</f>
        <v/>
      </c>
    </row>
    <row r="1334" spans="8:8" x14ac:dyDescent="0.2">
      <c r="H1334" s="11" t="str">
        <f>IFERROR(VLOOKUP(tbl_product_scores[[#This Row],[product_key]],tbl_products[[product_key]:[group_display_key]],2,FALSE),"")</f>
        <v/>
      </c>
    </row>
    <row r="1335" spans="8:8" x14ac:dyDescent="0.2">
      <c r="H1335" s="11" t="str">
        <f>IFERROR(VLOOKUP(tbl_product_scores[[#This Row],[product_key]],tbl_products[[product_key]:[group_display_key]],2,FALSE),"")</f>
        <v/>
      </c>
    </row>
    <row r="1336" spans="8:8" x14ac:dyDescent="0.2">
      <c r="H1336" s="11" t="str">
        <f>IFERROR(VLOOKUP(tbl_product_scores[[#This Row],[product_key]],tbl_products[[product_key]:[group_display_key]],2,FALSE),"")</f>
        <v/>
      </c>
    </row>
    <row r="1337" spans="8:8" x14ac:dyDescent="0.2">
      <c r="H1337" s="11" t="str">
        <f>IFERROR(VLOOKUP(tbl_product_scores[[#This Row],[product_key]],tbl_products[[product_key]:[group_display_key]],2,FALSE),"")</f>
        <v/>
      </c>
    </row>
    <row r="1338" spans="8:8" x14ac:dyDescent="0.2">
      <c r="H1338" s="11" t="str">
        <f>IFERROR(VLOOKUP(tbl_product_scores[[#This Row],[product_key]],tbl_products[[product_key]:[group_display_key]],2,FALSE),"")</f>
        <v/>
      </c>
    </row>
    <row r="1339" spans="8:8" x14ac:dyDescent="0.2">
      <c r="H1339" s="11" t="str">
        <f>IFERROR(VLOOKUP(tbl_product_scores[[#This Row],[product_key]],tbl_products[[product_key]:[group_display_key]],2,FALSE),"")</f>
        <v/>
      </c>
    </row>
    <row r="1340" spans="8:8" x14ac:dyDescent="0.2">
      <c r="H1340" s="11" t="str">
        <f>IFERROR(VLOOKUP(tbl_product_scores[[#This Row],[product_key]],tbl_products[[product_key]:[group_display_key]],2,FALSE),"")</f>
        <v/>
      </c>
    </row>
    <row r="1341" spans="8:8" x14ac:dyDescent="0.2">
      <c r="H1341" s="11" t="str">
        <f>IFERROR(VLOOKUP(tbl_product_scores[[#This Row],[product_key]],tbl_products[[product_key]:[group_display_key]],2,FALSE),"")</f>
        <v/>
      </c>
    </row>
    <row r="1342" spans="8:8" x14ac:dyDescent="0.2">
      <c r="H1342" s="11" t="str">
        <f>IFERROR(VLOOKUP(tbl_product_scores[[#This Row],[product_key]],tbl_products[[product_key]:[group_display_key]],2,FALSE),"")</f>
        <v/>
      </c>
    </row>
    <row r="1343" spans="8:8" x14ac:dyDescent="0.2">
      <c r="H1343" s="11" t="str">
        <f>IFERROR(VLOOKUP(tbl_product_scores[[#This Row],[product_key]],tbl_products[[product_key]:[group_display_key]],2,FALSE),"")</f>
        <v/>
      </c>
    </row>
    <row r="1344" spans="8:8" x14ac:dyDescent="0.2">
      <c r="H1344" s="11" t="str">
        <f>IFERROR(VLOOKUP(tbl_product_scores[[#This Row],[product_key]],tbl_products[[product_key]:[group_display_key]],2,FALSE),"")</f>
        <v/>
      </c>
    </row>
    <row r="1345" spans="8:8" x14ac:dyDescent="0.2">
      <c r="H1345" s="11" t="str">
        <f>IFERROR(VLOOKUP(tbl_product_scores[[#This Row],[product_key]],tbl_products[[product_key]:[group_display_key]],2,FALSE),"")</f>
        <v/>
      </c>
    </row>
    <row r="1346" spans="8:8" x14ac:dyDescent="0.2">
      <c r="H1346" s="11" t="str">
        <f>IFERROR(VLOOKUP(tbl_product_scores[[#This Row],[product_key]],tbl_products[[product_key]:[group_display_key]],2,FALSE),"")</f>
        <v/>
      </c>
    </row>
    <row r="1347" spans="8:8" x14ac:dyDescent="0.2">
      <c r="H1347" s="11" t="str">
        <f>IFERROR(VLOOKUP(tbl_product_scores[[#This Row],[product_key]],tbl_products[[product_key]:[group_display_key]],2,FALSE),"")</f>
        <v/>
      </c>
    </row>
    <row r="1348" spans="8:8" x14ac:dyDescent="0.2">
      <c r="H1348" s="11" t="str">
        <f>IFERROR(VLOOKUP(tbl_product_scores[[#This Row],[product_key]],tbl_products[[product_key]:[group_display_key]],2,FALSE),"")</f>
        <v/>
      </c>
    </row>
    <row r="1349" spans="8:8" x14ac:dyDescent="0.2">
      <c r="H1349" s="11" t="str">
        <f>IFERROR(VLOOKUP(tbl_product_scores[[#This Row],[product_key]],tbl_products[[product_key]:[group_display_key]],2,FALSE),"")</f>
        <v/>
      </c>
    </row>
    <row r="1350" spans="8:8" x14ac:dyDescent="0.2">
      <c r="H1350" s="11" t="str">
        <f>IFERROR(VLOOKUP(tbl_product_scores[[#This Row],[product_key]],tbl_products[[product_key]:[group_display_key]],2,FALSE),"")</f>
        <v/>
      </c>
    </row>
    <row r="1351" spans="8:8" x14ac:dyDescent="0.2">
      <c r="H1351" s="11" t="str">
        <f>IFERROR(VLOOKUP(tbl_product_scores[[#This Row],[product_key]],tbl_products[[product_key]:[group_display_key]],2,FALSE),"")</f>
        <v/>
      </c>
    </row>
    <row r="1352" spans="8:8" x14ac:dyDescent="0.2">
      <c r="H1352" s="11" t="str">
        <f>IFERROR(VLOOKUP(tbl_product_scores[[#This Row],[product_key]],tbl_products[[product_key]:[group_display_key]],2,FALSE),"")</f>
        <v/>
      </c>
    </row>
    <row r="1353" spans="8:8" x14ac:dyDescent="0.2">
      <c r="H1353" s="11" t="str">
        <f>IFERROR(VLOOKUP(tbl_product_scores[[#This Row],[product_key]],tbl_products[[product_key]:[group_display_key]],2,FALSE),"")</f>
        <v/>
      </c>
    </row>
    <row r="1354" spans="8:8" x14ac:dyDescent="0.2">
      <c r="H1354" s="11" t="str">
        <f>IFERROR(VLOOKUP(tbl_product_scores[[#This Row],[product_key]],tbl_products[[product_key]:[group_display_key]],2,FALSE),"")</f>
        <v/>
      </c>
    </row>
    <row r="1355" spans="8:8" x14ac:dyDescent="0.2">
      <c r="H1355" s="11" t="str">
        <f>IFERROR(VLOOKUP(tbl_product_scores[[#This Row],[product_key]],tbl_products[[product_key]:[group_display_key]],2,FALSE),"")</f>
        <v/>
      </c>
    </row>
    <row r="1356" spans="8:8" x14ac:dyDescent="0.2">
      <c r="H1356" s="11" t="str">
        <f>IFERROR(VLOOKUP(tbl_product_scores[[#This Row],[product_key]],tbl_products[[product_key]:[group_display_key]],2,FALSE),"")</f>
        <v/>
      </c>
    </row>
    <row r="1357" spans="8:8" x14ac:dyDescent="0.2">
      <c r="H1357" s="11" t="str">
        <f>IFERROR(VLOOKUP(tbl_product_scores[[#This Row],[product_key]],tbl_products[[product_key]:[group_display_key]],2,FALSE),"")</f>
        <v/>
      </c>
    </row>
    <row r="1358" spans="8:8" x14ac:dyDescent="0.2">
      <c r="H1358" s="11" t="str">
        <f>IFERROR(VLOOKUP(tbl_product_scores[[#This Row],[product_key]],tbl_products[[product_key]:[group_display_key]],2,FALSE),"")</f>
        <v/>
      </c>
    </row>
    <row r="1359" spans="8:8" x14ac:dyDescent="0.2">
      <c r="H1359" s="11" t="str">
        <f>IFERROR(VLOOKUP(tbl_product_scores[[#This Row],[product_key]],tbl_products[[product_key]:[group_display_key]],2,FALSE),"")</f>
        <v/>
      </c>
    </row>
    <row r="1360" spans="8:8" x14ac:dyDescent="0.2">
      <c r="H1360" s="11" t="str">
        <f>IFERROR(VLOOKUP(tbl_product_scores[[#This Row],[product_key]],tbl_products[[product_key]:[group_display_key]],2,FALSE),"")</f>
        <v/>
      </c>
    </row>
    <row r="1361" spans="8:8" x14ac:dyDescent="0.2">
      <c r="H1361" s="11" t="str">
        <f>IFERROR(VLOOKUP(tbl_product_scores[[#This Row],[product_key]],tbl_products[[product_key]:[group_display_key]],2,FALSE),"")</f>
        <v/>
      </c>
    </row>
    <row r="1362" spans="8:8" x14ac:dyDescent="0.2">
      <c r="H1362" s="11" t="str">
        <f>IFERROR(VLOOKUP(tbl_product_scores[[#This Row],[product_key]],tbl_products[[product_key]:[group_display_key]],2,FALSE),"")</f>
        <v/>
      </c>
    </row>
    <row r="1363" spans="8:8" x14ac:dyDescent="0.2">
      <c r="H1363" s="11" t="str">
        <f>IFERROR(VLOOKUP(tbl_product_scores[[#This Row],[product_key]],tbl_products[[product_key]:[group_display_key]],2,FALSE),"")</f>
        <v/>
      </c>
    </row>
    <row r="1364" spans="8:8" x14ac:dyDescent="0.2">
      <c r="H1364" s="11" t="str">
        <f>IFERROR(VLOOKUP(tbl_product_scores[[#This Row],[product_key]],tbl_products[[product_key]:[group_display_key]],2,FALSE),"")</f>
        <v/>
      </c>
    </row>
    <row r="1365" spans="8:8" x14ac:dyDescent="0.2">
      <c r="H1365" s="11" t="str">
        <f>IFERROR(VLOOKUP(tbl_product_scores[[#This Row],[product_key]],tbl_products[[product_key]:[group_display_key]],2,FALSE),"")</f>
        <v/>
      </c>
    </row>
    <row r="1366" spans="8:8" x14ac:dyDescent="0.2">
      <c r="H1366" s="11" t="str">
        <f>IFERROR(VLOOKUP(tbl_product_scores[[#This Row],[product_key]],tbl_products[[product_key]:[group_display_key]],2,FALSE),"")</f>
        <v/>
      </c>
    </row>
    <row r="1367" spans="8:8" x14ac:dyDescent="0.2">
      <c r="H1367" s="11" t="str">
        <f>IFERROR(VLOOKUP(tbl_product_scores[[#This Row],[product_key]],tbl_products[[product_key]:[group_display_key]],2,FALSE),"")</f>
        <v/>
      </c>
    </row>
    <row r="1368" spans="8:8" x14ac:dyDescent="0.2">
      <c r="H1368" s="11" t="str">
        <f>IFERROR(VLOOKUP(tbl_product_scores[[#This Row],[product_key]],tbl_products[[product_key]:[group_display_key]],2,FALSE),"")</f>
        <v/>
      </c>
    </row>
    <row r="1369" spans="8:8" x14ac:dyDescent="0.2">
      <c r="H1369" s="11" t="str">
        <f>IFERROR(VLOOKUP(tbl_product_scores[[#This Row],[product_key]],tbl_products[[product_key]:[group_display_key]],2,FALSE),"")</f>
        <v/>
      </c>
    </row>
    <row r="1370" spans="8:8" x14ac:dyDescent="0.2">
      <c r="H1370" s="11" t="str">
        <f>IFERROR(VLOOKUP(tbl_product_scores[[#This Row],[product_key]],tbl_products[[product_key]:[group_display_key]],2,FALSE),"")</f>
        <v/>
      </c>
    </row>
    <row r="1371" spans="8:8" x14ac:dyDescent="0.2">
      <c r="H1371" s="11" t="str">
        <f>IFERROR(VLOOKUP(tbl_product_scores[[#This Row],[product_key]],tbl_products[[product_key]:[group_display_key]],2,FALSE),"")</f>
        <v/>
      </c>
    </row>
    <row r="1372" spans="8:8" x14ac:dyDescent="0.2">
      <c r="H1372" s="11" t="str">
        <f>IFERROR(VLOOKUP(tbl_product_scores[[#This Row],[product_key]],tbl_products[[product_key]:[group_display_key]],2,FALSE),"")</f>
        <v/>
      </c>
    </row>
    <row r="1373" spans="8:8" x14ac:dyDescent="0.2">
      <c r="H1373" s="11" t="str">
        <f>IFERROR(VLOOKUP(tbl_product_scores[[#This Row],[product_key]],tbl_products[[product_key]:[group_display_key]],2,FALSE),"")</f>
        <v/>
      </c>
    </row>
    <row r="1374" spans="8:8" x14ac:dyDescent="0.2">
      <c r="H1374" s="11" t="str">
        <f>IFERROR(VLOOKUP(tbl_product_scores[[#This Row],[product_key]],tbl_products[[product_key]:[group_display_key]],2,FALSE),"")</f>
        <v/>
      </c>
    </row>
    <row r="1375" spans="8:8" x14ac:dyDescent="0.2">
      <c r="H1375" s="11" t="str">
        <f>IFERROR(VLOOKUP(tbl_product_scores[[#This Row],[product_key]],tbl_products[[product_key]:[group_display_key]],2,FALSE),"")</f>
        <v/>
      </c>
    </row>
    <row r="1376" spans="8:8" x14ac:dyDescent="0.2">
      <c r="H1376" s="11" t="str">
        <f>IFERROR(VLOOKUP(tbl_product_scores[[#This Row],[product_key]],tbl_products[[product_key]:[group_display_key]],2,FALSE),"")</f>
        <v/>
      </c>
    </row>
    <row r="1377" spans="8:8" x14ac:dyDescent="0.2">
      <c r="H1377" s="11" t="str">
        <f>IFERROR(VLOOKUP(tbl_product_scores[[#This Row],[product_key]],tbl_products[[product_key]:[group_display_key]],2,FALSE),"")</f>
        <v/>
      </c>
    </row>
    <row r="1378" spans="8:8" x14ac:dyDescent="0.2">
      <c r="H1378" s="11" t="str">
        <f>IFERROR(VLOOKUP(tbl_product_scores[[#This Row],[product_key]],tbl_products[[product_key]:[group_display_key]],2,FALSE),"")</f>
        <v/>
      </c>
    </row>
    <row r="1379" spans="8:8" x14ac:dyDescent="0.2">
      <c r="H1379" s="11" t="str">
        <f>IFERROR(VLOOKUP(tbl_product_scores[[#This Row],[product_key]],tbl_products[[product_key]:[group_display_key]],2,FALSE),"")</f>
        <v/>
      </c>
    </row>
    <row r="1380" spans="8:8" x14ac:dyDescent="0.2">
      <c r="H1380" s="11" t="str">
        <f>IFERROR(VLOOKUP(tbl_product_scores[[#This Row],[product_key]],tbl_products[[product_key]:[group_display_key]],2,FALSE),"")</f>
        <v/>
      </c>
    </row>
    <row r="1381" spans="8:8" x14ac:dyDescent="0.2">
      <c r="H1381" s="11" t="str">
        <f>IFERROR(VLOOKUP(tbl_product_scores[[#This Row],[product_key]],tbl_products[[product_key]:[group_display_key]],2,FALSE),"")</f>
        <v/>
      </c>
    </row>
    <row r="1382" spans="8:8" x14ac:dyDescent="0.2">
      <c r="H1382" s="11" t="str">
        <f>IFERROR(VLOOKUP(tbl_product_scores[[#This Row],[product_key]],tbl_products[[product_key]:[group_display_key]],2,FALSE),"")</f>
        <v/>
      </c>
    </row>
    <row r="1383" spans="8:8" x14ac:dyDescent="0.2">
      <c r="H1383" s="11" t="str">
        <f>IFERROR(VLOOKUP(tbl_product_scores[[#This Row],[product_key]],tbl_products[[product_key]:[group_display_key]],2,FALSE),"")</f>
        <v/>
      </c>
    </row>
    <row r="1384" spans="8:8" x14ac:dyDescent="0.2">
      <c r="H1384" s="11" t="str">
        <f>IFERROR(VLOOKUP(tbl_product_scores[[#This Row],[product_key]],tbl_products[[product_key]:[group_display_key]],2,FALSE),"")</f>
        <v/>
      </c>
    </row>
    <row r="1385" spans="8:8" x14ac:dyDescent="0.2">
      <c r="H1385" s="11" t="str">
        <f>IFERROR(VLOOKUP(tbl_product_scores[[#This Row],[product_key]],tbl_products[[product_key]:[group_display_key]],2,FALSE),"")</f>
        <v/>
      </c>
    </row>
    <row r="1386" spans="8:8" x14ac:dyDescent="0.2">
      <c r="H1386" s="11" t="str">
        <f>IFERROR(VLOOKUP(tbl_product_scores[[#This Row],[product_key]],tbl_products[[product_key]:[group_display_key]],2,FALSE),"")</f>
        <v/>
      </c>
    </row>
    <row r="1387" spans="8:8" x14ac:dyDescent="0.2">
      <c r="H1387" s="11" t="str">
        <f>IFERROR(VLOOKUP(tbl_product_scores[[#This Row],[product_key]],tbl_products[[product_key]:[group_display_key]],2,FALSE),"")</f>
        <v/>
      </c>
    </row>
    <row r="1388" spans="8:8" x14ac:dyDescent="0.2">
      <c r="H1388" s="11" t="str">
        <f>IFERROR(VLOOKUP(tbl_product_scores[[#This Row],[product_key]],tbl_products[[product_key]:[group_display_key]],2,FALSE),"")</f>
        <v/>
      </c>
    </row>
    <row r="1389" spans="8:8" x14ac:dyDescent="0.2">
      <c r="H1389" s="11" t="str">
        <f>IFERROR(VLOOKUP(tbl_product_scores[[#This Row],[product_key]],tbl_products[[product_key]:[group_display_key]],2,FALSE),"")</f>
        <v/>
      </c>
    </row>
    <row r="1390" spans="8:8" x14ac:dyDescent="0.2">
      <c r="H1390" s="11" t="str">
        <f>IFERROR(VLOOKUP(tbl_product_scores[[#This Row],[product_key]],tbl_products[[product_key]:[group_display_key]],2,FALSE),"")</f>
        <v/>
      </c>
    </row>
    <row r="1391" spans="8:8" x14ac:dyDescent="0.2">
      <c r="H1391" s="11" t="str">
        <f>IFERROR(VLOOKUP(tbl_product_scores[[#This Row],[product_key]],tbl_products[[product_key]:[group_display_key]],2,FALSE),"")</f>
        <v/>
      </c>
    </row>
    <row r="1392" spans="8:8" x14ac:dyDescent="0.2">
      <c r="H1392" s="11" t="str">
        <f>IFERROR(VLOOKUP(tbl_product_scores[[#This Row],[product_key]],tbl_products[[product_key]:[group_display_key]],2,FALSE),"")</f>
        <v/>
      </c>
    </row>
    <row r="1393" spans="8:8" x14ac:dyDescent="0.2">
      <c r="H1393" s="11" t="str">
        <f>IFERROR(VLOOKUP(tbl_product_scores[[#This Row],[product_key]],tbl_products[[product_key]:[group_display_key]],2,FALSE),"")</f>
        <v/>
      </c>
    </row>
    <row r="1394" spans="8:8" x14ac:dyDescent="0.2">
      <c r="H1394" s="11" t="str">
        <f>IFERROR(VLOOKUP(tbl_product_scores[[#This Row],[product_key]],tbl_products[[product_key]:[group_display_key]],2,FALSE),"")</f>
        <v/>
      </c>
    </row>
    <row r="1395" spans="8:8" x14ac:dyDescent="0.2">
      <c r="H1395" s="11" t="str">
        <f>IFERROR(VLOOKUP(tbl_product_scores[[#This Row],[product_key]],tbl_products[[product_key]:[group_display_key]],2,FALSE),"")</f>
        <v/>
      </c>
    </row>
    <row r="1396" spans="8:8" x14ac:dyDescent="0.2">
      <c r="H1396" s="11" t="str">
        <f>IFERROR(VLOOKUP(tbl_product_scores[[#This Row],[product_key]],tbl_products[[product_key]:[group_display_key]],2,FALSE),"")</f>
        <v/>
      </c>
    </row>
    <row r="1397" spans="8:8" x14ac:dyDescent="0.2">
      <c r="H1397" s="11" t="str">
        <f>IFERROR(VLOOKUP(tbl_product_scores[[#This Row],[product_key]],tbl_products[[product_key]:[group_display_key]],2,FALSE),"")</f>
        <v/>
      </c>
    </row>
    <row r="1398" spans="8:8" x14ac:dyDescent="0.2">
      <c r="H1398" s="11" t="str">
        <f>IFERROR(VLOOKUP(tbl_product_scores[[#This Row],[product_key]],tbl_products[[product_key]:[group_display_key]],2,FALSE),"")</f>
        <v/>
      </c>
    </row>
    <row r="1399" spans="8:8" x14ac:dyDescent="0.2">
      <c r="H1399" s="11" t="str">
        <f>IFERROR(VLOOKUP(tbl_product_scores[[#This Row],[product_key]],tbl_products[[product_key]:[group_display_key]],2,FALSE),"")</f>
        <v/>
      </c>
    </row>
    <row r="1400" spans="8:8" x14ac:dyDescent="0.2">
      <c r="H1400" s="11" t="str">
        <f>IFERROR(VLOOKUP(tbl_product_scores[[#This Row],[product_key]],tbl_products[[product_key]:[group_display_key]],2,FALSE),"")</f>
        <v/>
      </c>
    </row>
    <row r="1401" spans="8:8" x14ac:dyDescent="0.2">
      <c r="H1401" s="11" t="str">
        <f>IFERROR(VLOOKUP(tbl_product_scores[[#This Row],[product_key]],tbl_products[[product_key]:[group_display_key]],2,FALSE),"")</f>
        <v/>
      </c>
    </row>
    <row r="1402" spans="8:8" x14ac:dyDescent="0.2">
      <c r="H1402" s="11" t="str">
        <f>IFERROR(VLOOKUP(tbl_product_scores[[#This Row],[product_key]],tbl_products[[product_key]:[group_display_key]],2,FALSE),"")</f>
        <v/>
      </c>
    </row>
    <row r="1403" spans="8:8" x14ac:dyDescent="0.2">
      <c r="H1403" s="11" t="str">
        <f>IFERROR(VLOOKUP(tbl_product_scores[[#This Row],[product_key]],tbl_products[[product_key]:[group_display_key]],2,FALSE),"")</f>
        <v/>
      </c>
    </row>
    <row r="1404" spans="8:8" x14ac:dyDescent="0.2">
      <c r="H1404" s="11" t="str">
        <f>IFERROR(VLOOKUP(tbl_product_scores[[#This Row],[product_key]],tbl_products[[product_key]:[group_display_key]],2,FALSE),"")</f>
        <v/>
      </c>
    </row>
    <row r="1405" spans="8:8" x14ac:dyDescent="0.2">
      <c r="H1405" s="11" t="str">
        <f>IFERROR(VLOOKUP(tbl_product_scores[[#This Row],[product_key]],tbl_products[[product_key]:[group_display_key]],2,FALSE),"")</f>
        <v/>
      </c>
    </row>
    <row r="1406" spans="8:8" x14ac:dyDescent="0.2">
      <c r="H1406" s="11" t="str">
        <f>IFERROR(VLOOKUP(tbl_product_scores[[#This Row],[product_key]],tbl_products[[product_key]:[group_display_key]],2,FALSE),"")</f>
        <v/>
      </c>
    </row>
    <row r="1407" spans="8:8" x14ac:dyDescent="0.2">
      <c r="H1407" s="11" t="str">
        <f>IFERROR(VLOOKUP(tbl_product_scores[[#This Row],[product_key]],tbl_products[[product_key]:[group_display_key]],2,FALSE),"")</f>
        <v/>
      </c>
    </row>
    <row r="1408" spans="8:8" x14ac:dyDescent="0.2">
      <c r="H1408" s="11" t="str">
        <f>IFERROR(VLOOKUP(tbl_product_scores[[#This Row],[product_key]],tbl_products[[product_key]:[group_display_key]],2,FALSE),"")</f>
        <v/>
      </c>
    </row>
    <row r="1409" spans="8:8" x14ac:dyDescent="0.2">
      <c r="H1409" s="11" t="str">
        <f>IFERROR(VLOOKUP(tbl_product_scores[[#This Row],[product_key]],tbl_products[[product_key]:[group_display_key]],2,FALSE),"")</f>
        <v/>
      </c>
    </row>
    <row r="1410" spans="8:8" x14ac:dyDescent="0.2">
      <c r="H1410" s="11" t="str">
        <f>IFERROR(VLOOKUP(tbl_product_scores[[#This Row],[product_key]],tbl_products[[product_key]:[group_display_key]],2,FALSE),"")</f>
        <v/>
      </c>
    </row>
    <row r="1411" spans="8:8" x14ac:dyDescent="0.2">
      <c r="H1411" s="11" t="str">
        <f>IFERROR(VLOOKUP(tbl_product_scores[[#This Row],[product_key]],tbl_products[[product_key]:[group_display_key]],2,FALSE),"")</f>
        <v/>
      </c>
    </row>
    <row r="1412" spans="8:8" x14ac:dyDescent="0.2">
      <c r="H1412" s="11" t="str">
        <f>IFERROR(VLOOKUP(tbl_product_scores[[#This Row],[product_key]],tbl_products[[product_key]:[group_display_key]],2,FALSE),"")</f>
        <v/>
      </c>
    </row>
    <row r="1413" spans="8:8" x14ac:dyDescent="0.2">
      <c r="H1413" s="11" t="str">
        <f>IFERROR(VLOOKUP(tbl_product_scores[[#This Row],[product_key]],tbl_products[[product_key]:[group_display_key]],2,FALSE),"")</f>
        <v/>
      </c>
    </row>
    <row r="1414" spans="8:8" x14ac:dyDescent="0.2">
      <c r="H1414" s="11" t="str">
        <f>IFERROR(VLOOKUP(tbl_product_scores[[#This Row],[product_key]],tbl_products[[product_key]:[group_display_key]],2,FALSE),"")</f>
        <v/>
      </c>
    </row>
    <row r="1415" spans="8:8" x14ac:dyDescent="0.2">
      <c r="H1415" s="11" t="str">
        <f>IFERROR(VLOOKUP(tbl_product_scores[[#This Row],[product_key]],tbl_products[[product_key]:[group_display_key]],2,FALSE),"")</f>
        <v/>
      </c>
    </row>
    <row r="1416" spans="8:8" x14ac:dyDescent="0.2">
      <c r="H1416" s="11" t="str">
        <f>IFERROR(VLOOKUP(tbl_product_scores[[#This Row],[product_key]],tbl_products[[product_key]:[group_display_key]],2,FALSE),"")</f>
        <v/>
      </c>
    </row>
    <row r="1417" spans="8:8" x14ac:dyDescent="0.2">
      <c r="H1417" s="11" t="str">
        <f>IFERROR(VLOOKUP(tbl_product_scores[[#This Row],[product_key]],tbl_products[[product_key]:[group_display_key]],2,FALSE),"")</f>
        <v/>
      </c>
    </row>
    <row r="1418" spans="8:8" x14ac:dyDescent="0.2">
      <c r="H1418" s="11" t="str">
        <f>IFERROR(VLOOKUP(tbl_product_scores[[#This Row],[product_key]],tbl_products[[product_key]:[group_display_key]],2,FALSE),"")</f>
        <v/>
      </c>
    </row>
    <row r="1419" spans="8:8" x14ac:dyDescent="0.2">
      <c r="H1419" s="11" t="str">
        <f>IFERROR(VLOOKUP(tbl_product_scores[[#This Row],[product_key]],tbl_products[[product_key]:[group_display_key]],2,FALSE),"")</f>
        <v/>
      </c>
    </row>
    <row r="1420" spans="8:8" x14ac:dyDescent="0.2">
      <c r="H1420" s="11" t="str">
        <f>IFERROR(VLOOKUP(tbl_product_scores[[#This Row],[product_key]],tbl_products[[product_key]:[group_display_key]],2,FALSE),"")</f>
        <v/>
      </c>
    </row>
    <row r="1421" spans="8:8" x14ac:dyDescent="0.2">
      <c r="H1421" s="11" t="str">
        <f>IFERROR(VLOOKUP(tbl_product_scores[[#This Row],[product_key]],tbl_products[[product_key]:[group_display_key]],2,FALSE),"")</f>
        <v/>
      </c>
    </row>
    <row r="1422" spans="8:8" x14ac:dyDescent="0.2">
      <c r="H1422" s="11" t="str">
        <f>IFERROR(VLOOKUP(tbl_product_scores[[#This Row],[product_key]],tbl_products[[product_key]:[group_display_key]],2,FALSE),"")</f>
        <v/>
      </c>
    </row>
    <row r="1423" spans="8:8" x14ac:dyDescent="0.2">
      <c r="H1423" s="11" t="str">
        <f>IFERROR(VLOOKUP(tbl_product_scores[[#This Row],[product_key]],tbl_products[[product_key]:[group_display_key]],2,FALSE),"")</f>
        <v/>
      </c>
    </row>
    <row r="1424" spans="8:8" x14ac:dyDescent="0.2">
      <c r="H1424" s="11" t="str">
        <f>IFERROR(VLOOKUP(tbl_product_scores[[#This Row],[product_key]],tbl_products[[product_key]:[group_display_key]],2,FALSE),"")</f>
        <v/>
      </c>
    </row>
    <row r="1425" spans="8:8" x14ac:dyDescent="0.2">
      <c r="H1425" s="11" t="str">
        <f>IFERROR(VLOOKUP(tbl_product_scores[[#This Row],[product_key]],tbl_products[[product_key]:[group_display_key]],2,FALSE),"")</f>
        <v/>
      </c>
    </row>
    <row r="1426" spans="8:8" x14ac:dyDescent="0.2">
      <c r="H1426" s="11" t="str">
        <f>IFERROR(VLOOKUP(tbl_product_scores[[#This Row],[product_key]],tbl_products[[product_key]:[group_display_key]],2,FALSE),"")</f>
        <v/>
      </c>
    </row>
    <row r="1427" spans="8:8" x14ac:dyDescent="0.2">
      <c r="H1427" s="11" t="str">
        <f>IFERROR(VLOOKUP(tbl_product_scores[[#This Row],[product_key]],tbl_products[[product_key]:[group_display_key]],2,FALSE),"")</f>
        <v/>
      </c>
    </row>
    <row r="1428" spans="8:8" x14ac:dyDescent="0.2">
      <c r="H1428" s="11" t="str">
        <f>IFERROR(VLOOKUP(tbl_product_scores[[#This Row],[product_key]],tbl_products[[product_key]:[group_display_key]],2,FALSE),"")</f>
        <v/>
      </c>
    </row>
    <row r="1429" spans="8:8" x14ac:dyDescent="0.2">
      <c r="H1429" s="11" t="str">
        <f>IFERROR(VLOOKUP(tbl_product_scores[[#This Row],[product_key]],tbl_products[[product_key]:[group_display_key]],2,FALSE),"")</f>
        <v/>
      </c>
    </row>
    <row r="1430" spans="8:8" x14ac:dyDescent="0.2">
      <c r="H1430" s="11" t="str">
        <f>IFERROR(VLOOKUP(tbl_product_scores[[#This Row],[product_key]],tbl_products[[product_key]:[group_display_key]],2,FALSE),"")</f>
        <v/>
      </c>
    </row>
    <row r="1431" spans="8:8" x14ac:dyDescent="0.2">
      <c r="H1431" s="11" t="str">
        <f>IFERROR(VLOOKUP(tbl_product_scores[[#This Row],[product_key]],tbl_products[[product_key]:[group_display_key]],2,FALSE),"")</f>
        <v/>
      </c>
    </row>
    <row r="1432" spans="8:8" x14ac:dyDescent="0.2">
      <c r="H1432" s="11" t="str">
        <f>IFERROR(VLOOKUP(tbl_product_scores[[#This Row],[product_key]],tbl_products[[product_key]:[group_display_key]],2,FALSE),"")</f>
        <v/>
      </c>
    </row>
    <row r="1433" spans="8:8" x14ac:dyDescent="0.2">
      <c r="H1433" s="11" t="str">
        <f>IFERROR(VLOOKUP(tbl_product_scores[[#This Row],[product_key]],tbl_products[[product_key]:[group_display_key]],2,FALSE),"")</f>
        <v/>
      </c>
    </row>
    <row r="1434" spans="8:8" x14ac:dyDescent="0.2">
      <c r="H1434" s="11" t="str">
        <f>IFERROR(VLOOKUP(tbl_product_scores[[#This Row],[product_key]],tbl_products[[product_key]:[group_display_key]],2,FALSE),"")</f>
        <v/>
      </c>
    </row>
    <row r="1435" spans="8:8" x14ac:dyDescent="0.2">
      <c r="H1435" s="11" t="str">
        <f>IFERROR(VLOOKUP(tbl_product_scores[[#This Row],[product_key]],tbl_products[[product_key]:[group_display_key]],2,FALSE),"")</f>
        <v/>
      </c>
    </row>
    <row r="1436" spans="8:8" x14ac:dyDescent="0.2">
      <c r="H1436" s="11" t="str">
        <f>IFERROR(VLOOKUP(tbl_product_scores[[#This Row],[product_key]],tbl_products[[product_key]:[group_display_key]],2,FALSE),"")</f>
        <v/>
      </c>
    </row>
    <row r="1437" spans="8:8" x14ac:dyDescent="0.2">
      <c r="H1437" s="11" t="str">
        <f>IFERROR(VLOOKUP(tbl_product_scores[[#This Row],[product_key]],tbl_products[[product_key]:[group_display_key]],2,FALSE),"")</f>
        <v/>
      </c>
    </row>
    <row r="1438" spans="8:8" x14ac:dyDescent="0.2">
      <c r="H1438" s="11" t="str">
        <f>IFERROR(VLOOKUP(tbl_product_scores[[#This Row],[product_key]],tbl_products[[product_key]:[group_display_key]],2,FALSE),"")</f>
        <v/>
      </c>
    </row>
    <row r="1439" spans="8:8" x14ac:dyDescent="0.2">
      <c r="H1439" s="11" t="str">
        <f>IFERROR(VLOOKUP(tbl_product_scores[[#This Row],[product_key]],tbl_products[[product_key]:[group_display_key]],2,FALSE),"")</f>
        <v/>
      </c>
    </row>
    <row r="1440" spans="8:8" x14ac:dyDescent="0.2">
      <c r="H1440" s="11" t="str">
        <f>IFERROR(VLOOKUP(tbl_product_scores[[#This Row],[product_key]],tbl_products[[product_key]:[group_display_key]],2,FALSE),"")</f>
        <v/>
      </c>
    </row>
    <row r="1441" spans="8:8" x14ac:dyDescent="0.2">
      <c r="H1441" s="11" t="str">
        <f>IFERROR(VLOOKUP(tbl_product_scores[[#This Row],[product_key]],tbl_products[[product_key]:[group_display_key]],2,FALSE),"")</f>
        <v/>
      </c>
    </row>
    <row r="1442" spans="8:8" x14ac:dyDescent="0.2">
      <c r="H1442" s="11" t="str">
        <f>IFERROR(VLOOKUP(tbl_product_scores[[#This Row],[product_key]],tbl_products[[product_key]:[group_display_key]],2,FALSE),"")</f>
        <v/>
      </c>
    </row>
    <row r="1443" spans="8:8" x14ac:dyDescent="0.2">
      <c r="H1443" s="11" t="str">
        <f>IFERROR(VLOOKUP(tbl_product_scores[[#This Row],[product_key]],tbl_products[[product_key]:[group_display_key]],2,FALSE),"")</f>
        <v/>
      </c>
    </row>
    <row r="1444" spans="8:8" x14ac:dyDescent="0.2">
      <c r="H1444" s="11" t="str">
        <f>IFERROR(VLOOKUP(tbl_product_scores[[#This Row],[product_key]],tbl_products[[product_key]:[group_display_key]],2,FALSE),"")</f>
        <v/>
      </c>
    </row>
    <row r="1445" spans="8:8" x14ac:dyDescent="0.2">
      <c r="H1445" s="11" t="str">
        <f>IFERROR(VLOOKUP(tbl_product_scores[[#This Row],[product_key]],tbl_products[[product_key]:[group_display_key]],2,FALSE),"")</f>
        <v/>
      </c>
    </row>
    <row r="1446" spans="8:8" x14ac:dyDescent="0.2">
      <c r="H1446" s="11" t="str">
        <f>IFERROR(VLOOKUP(tbl_product_scores[[#This Row],[product_key]],tbl_products[[product_key]:[group_display_key]],2,FALSE),"")</f>
        <v/>
      </c>
    </row>
    <row r="1447" spans="8:8" x14ac:dyDescent="0.2">
      <c r="H1447" s="11" t="str">
        <f>IFERROR(VLOOKUP(tbl_product_scores[[#This Row],[product_key]],tbl_products[[product_key]:[group_display_key]],2,FALSE),"")</f>
        <v/>
      </c>
    </row>
    <row r="1448" spans="8:8" x14ac:dyDescent="0.2">
      <c r="H1448" s="11" t="str">
        <f>IFERROR(VLOOKUP(tbl_product_scores[[#This Row],[product_key]],tbl_products[[product_key]:[group_display_key]],2,FALSE),"")</f>
        <v/>
      </c>
    </row>
    <row r="1449" spans="8:8" x14ac:dyDescent="0.2">
      <c r="H1449" s="11" t="str">
        <f>IFERROR(VLOOKUP(tbl_product_scores[[#This Row],[product_key]],tbl_products[[product_key]:[group_display_key]],2,FALSE),"")</f>
        <v/>
      </c>
    </row>
    <row r="1450" spans="8:8" x14ac:dyDescent="0.2">
      <c r="H1450" s="11" t="str">
        <f>IFERROR(VLOOKUP(tbl_product_scores[[#This Row],[product_key]],tbl_products[[product_key]:[group_display_key]],2,FALSE),"")</f>
        <v/>
      </c>
    </row>
    <row r="1451" spans="8:8" x14ac:dyDescent="0.2">
      <c r="H1451" s="11" t="str">
        <f>IFERROR(VLOOKUP(tbl_product_scores[[#This Row],[product_key]],tbl_products[[product_key]:[group_display_key]],2,FALSE),"")</f>
        <v/>
      </c>
    </row>
    <row r="1452" spans="8:8" x14ac:dyDescent="0.2">
      <c r="H1452" s="11" t="str">
        <f>IFERROR(VLOOKUP(tbl_product_scores[[#This Row],[product_key]],tbl_products[[product_key]:[group_display_key]],2,FALSE),"")</f>
        <v/>
      </c>
    </row>
    <row r="1453" spans="8:8" x14ac:dyDescent="0.2">
      <c r="H1453" s="11" t="str">
        <f>IFERROR(VLOOKUP(tbl_product_scores[[#This Row],[product_key]],tbl_products[[product_key]:[group_display_key]],2,FALSE),"")</f>
        <v/>
      </c>
    </row>
    <row r="1454" spans="8:8" x14ac:dyDescent="0.2">
      <c r="H1454" s="11" t="str">
        <f>IFERROR(VLOOKUP(tbl_product_scores[[#This Row],[product_key]],tbl_products[[product_key]:[group_display_key]],2,FALSE),"")</f>
        <v/>
      </c>
    </row>
    <row r="1455" spans="8:8" x14ac:dyDescent="0.2">
      <c r="H1455" s="11" t="str">
        <f>IFERROR(VLOOKUP(tbl_product_scores[[#This Row],[product_key]],tbl_products[[product_key]:[group_display_key]],2,FALSE),"")</f>
        <v/>
      </c>
    </row>
    <row r="1456" spans="8:8" x14ac:dyDescent="0.2">
      <c r="H1456" s="11" t="str">
        <f>IFERROR(VLOOKUP(tbl_product_scores[[#This Row],[product_key]],tbl_products[[product_key]:[group_display_key]],2,FALSE),"")</f>
        <v/>
      </c>
    </row>
    <row r="1457" spans="8:8" x14ac:dyDescent="0.2">
      <c r="H1457" s="11" t="str">
        <f>IFERROR(VLOOKUP(tbl_product_scores[[#This Row],[product_key]],tbl_products[[product_key]:[group_display_key]],2,FALSE),"")</f>
        <v/>
      </c>
    </row>
    <row r="1458" spans="8:8" x14ac:dyDescent="0.2">
      <c r="H1458" s="11" t="str">
        <f>IFERROR(VLOOKUP(tbl_product_scores[[#This Row],[product_key]],tbl_products[[product_key]:[group_display_key]],2,FALSE),"")</f>
        <v/>
      </c>
    </row>
    <row r="1459" spans="8:8" x14ac:dyDescent="0.2">
      <c r="H1459" s="11" t="str">
        <f>IFERROR(VLOOKUP(tbl_product_scores[[#This Row],[product_key]],tbl_products[[product_key]:[group_display_key]],2,FALSE),"")</f>
        <v/>
      </c>
    </row>
    <row r="1460" spans="8:8" x14ac:dyDescent="0.2">
      <c r="H1460" s="11" t="str">
        <f>IFERROR(VLOOKUP(tbl_product_scores[[#This Row],[product_key]],tbl_products[[product_key]:[group_display_key]],2,FALSE),"")</f>
        <v/>
      </c>
    </row>
    <row r="1461" spans="8:8" x14ac:dyDescent="0.2">
      <c r="H1461" s="11" t="str">
        <f>IFERROR(VLOOKUP(tbl_product_scores[[#This Row],[product_key]],tbl_products[[product_key]:[group_display_key]],2,FALSE),"")</f>
        <v/>
      </c>
    </row>
    <row r="1462" spans="8:8" x14ac:dyDescent="0.2">
      <c r="H1462" s="11" t="str">
        <f>IFERROR(VLOOKUP(tbl_product_scores[[#This Row],[product_key]],tbl_products[[product_key]:[group_display_key]],2,FALSE),"")</f>
        <v/>
      </c>
    </row>
    <row r="1463" spans="8:8" x14ac:dyDescent="0.2">
      <c r="H1463" s="11" t="str">
        <f>IFERROR(VLOOKUP(tbl_product_scores[[#This Row],[product_key]],tbl_products[[product_key]:[group_display_key]],2,FALSE),"")</f>
        <v/>
      </c>
    </row>
    <row r="1464" spans="8:8" x14ac:dyDescent="0.2">
      <c r="H1464" s="11" t="str">
        <f>IFERROR(VLOOKUP(tbl_product_scores[[#This Row],[product_key]],tbl_products[[product_key]:[group_display_key]],2,FALSE),"")</f>
        <v/>
      </c>
    </row>
    <row r="1465" spans="8:8" x14ac:dyDescent="0.2">
      <c r="H1465" s="11" t="str">
        <f>IFERROR(VLOOKUP(tbl_product_scores[[#This Row],[product_key]],tbl_products[[product_key]:[group_display_key]],2,FALSE),"")</f>
        <v/>
      </c>
    </row>
    <row r="1466" spans="8:8" x14ac:dyDescent="0.2">
      <c r="H1466" s="11" t="str">
        <f>IFERROR(VLOOKUP(tbl_product_scores[[#This Row],[product_key]],tbl_products[[product_key]:[group_display_key]],2,FALSE),"")</f>
        <v/>
      </c>
    </row>
    <row r="1467" spans="8:8" x14ac:dyDescent="0.2">
      <c r="H1467" s="11" t="str">
        <f>IFERROR(VLOOKUP(tbl_product_scores[[#This Row],[product_key]],tbl_products[[product_key]:[group_display_key]],2,FALSE),"")</f>
        <v/>
      </c>
    </row>
    <row r="1468" spans="8:8" x14ac:dyDescent="0.2">
      <c r="H1468" s="11" t="str">
        <f>IFERROR(VLOOKUP(tbl_product_scores[[#This Row],[product_key]],tbl_products[[product_key]:[group_display_key]],2,FALSE),"")</f>
        <v/>
      </c>
    </row>
    <row r="1469" spans="8:8" x14ac:dyDescent="0.2">
      <c r="H1469" s="11" t="str">
        <f>IFERROR(VLOOKUP(tbl_product_scores[[#This Row],[product_key]],tbl_products[[product_key]:[group_display_key]],2,FALSE),"")</f>
        <v/>
      </c>
    </row>
    <row r="1470" spans="8:8" x14ac:dyDescent="0.2">
      <c r="H1470" s="11" t="str">
        <f>IFERROR(VLOOKUP(tbl_product_scores[[#This Row],[product_key]],tbl_products[[product_key]:[group_display_key]],2,FALSE),"")</f>
        <v/>
      </c>
    </row>
    <row r="1471" spans="8:8" x14ac:dyDescent="0.2">
      <c r="H1471" s="11" t="str">
        <f>IFERROR(VLOOKUP(tbl_product_scores[[#This Row],[product_key]],tbl_products[[product_key]:[group_display_key]],2,FALSE),"")</f>
        <v/>
      </c>
    </row>
    <row r="1472" spans="8:8" x14ac:dyDescent="0.2">
      <c r="H1472" s="11" t="str">
        <f>IFERROR(VLOOKUP(tbl_product_scores[[#This Row],[product_key]],tbl_products[[product_key]:[group_display_key]],2,FALSE),"")</f>
        <v/>
      </c>
    </row>
    <row r="1473" spans="8:8" x14ac:dyDescent="0.2">
      <c r="H1473" s="11" t="str">
        <f>IFERROR(VLOOKUP(tbl_product_scores[[#This Row],[product_key]],tbl_products[[product_key]:[group_display_key]],2,FALSE),"")</f>
        <v/>
      </c>
    </row>
    <row r="1474" spans="8:8" x14ac:dyDescent="0.2">
      <c r="H1474" s="11" t="str">
        <f>IFERROR(VLOOKUP(tbl_product_scores[[#This Row],[product_key]],tbl_products[[product_key]:[group_display_key]],2,FALSE),"")</f>
        <v/>
      </c>
    </row>
    <row r="1475" spans="8:8" x14ac:dyDescent="0.2">
      <c r="H1475" s="11" t="str">
        <f>IFERROR(VLOOKUP(tbl_product_scores[[#This Row],[product_key]],tbl_products[[product_key]:[group_display_key]],2,FALSE),"")</f>
        <v/>
      </c>
    </row>
    <row r="1476" spans="8:8" x14ac:dyDescent="0.2">
      <c r="H1476" s="11" t="str">
        <f>IFERROR(VLOOKUP(tbl_product_scores[[#This Row],[product_key]],tbl_products[[product_key]:[group_display_key]],2,FALSE),"")</f>
        <v/>
      </c>
    </row>
    <row r="1477" spans="8:8" x14ac:dyDescent="0.2">
      <c r="H1477" s="11" t="str">
        <f>IFERROR(VLOOKUP(tbl_product_scores[[#This Row],[product_key]],tbl_products[[product_key]:[group_display_key]],2,FALSE),"")</f>
        <v/>
      </c>
    </row>
    <row r="1478" spans="8:8" x14ac:dyDescent="0.2">
      <c r="H1478" s="11" t="str">
        <f>IFERROR(VLOOKUP(tbl_product_scores[[#This Row],[product_key]],tbl_products[[product_key]:[group_display_key]],2,FALSE),"")</f>
        <v/>
      </c>
    </row>
    <row r="1479" spans="8:8" x14ac:dyDescent="0.2">
      <c r="H1479" s="11" t="str">
        <f>IFERROR(VLOOKUP(tbl_product_scores[[#This Row],[product_key]],tbl_products[[product_key]:[group_display_key]],2,FALSE),"")</f>
        <v/>
      </c>
    </row>
    <row r="1480" spans="8:8" x14ac:dyDescent="0.2">
      <c r="H1480" s="11" t="str">
        <f>IFERROR(VLOOKUP(tbl_product_scores[[#This Row],[product_key]],tbl_products[[product_key]:[group_display_key]],2,FALSE),"")</f>
        <v/>
      </c>
    </row>
    <row r="1481" spans="8:8" x14ac:dyDescent="0.2">
      <c r="H1481" s="11" t="str">
        <f>IFERROR(VLOOKUP(tbl_product_scores[[#This Row],[product_key]],tbl_products[[product_key]:[group_display_key]],2,FALSE),"")</f>
        <v/>
      </c>
    </row>
    <row r="1482" spans="8:8" x14ac:dyDescent="0.2">
      <c r="H1482" s="11" t="str">
        <f>IFERROR(VLOOKUP(tbl_product_scores[[#This Row],[product_key]],tbl_products[[product_key]:[group_display_key]],2,FALSE),"")</f>
        <v/>
      </c>
    </row>
    <row r="1483" spans="8:8" x14ac:dyDescent="0.2">
      <c r="H1483" s="11" t="str">
        <f>IFERROR(VLOOKUP(tbl_product_scores[[#This Row],[product_key]],tbl_products[[product_key]:[group_display_key]],2,FALSE),"")</f>
        <v/>
      </c>
    </row>
    <row r="1484" spans="8:8" x14ac:dyDescent="0.2">
      <c r="H1484" s="11" t="str">
        <f>IFERROR(VLOOKUP(tbl_product_scores[[#This Row],[product_key]],tbl_products[[product_key]:[group_display_key]],2,FALSE),"")</f>
        <v/>
      </c>
    </row>
    <row r="1485" spans="8:8" x14ac:dyDescent="0.2">
      <c r="H1485" s="11" t="str">
        <f>IFERROR(VLOOKUP(tbl_product_scores[[#This Row],[product_key]],tbl_products[[product_key]:[group_display_key]],2,FALSE),"")</f>
        <v/>
      </c>
    </row>
    <row r="1486" spans="8:8" x14ac:dyDescent="0.2">
      <c r="H1486" s="11" t="str">
        <f>IFERROR(VLOOKUP(tbl_product_scores[[#This Row],[product_key]],tbl_products[[product_key]:[group_display_key]],2,FALSE),"")</f>
        <v/>
      </c>
    </row>
    <row r="1487" spans="8:8" x14ac:dyDescent="0.2">
      <c r="H1487" s="11" t="str">
        <f>IFERROR(VLOOKUP(tbl_product_scores[[#This Row],[product_key]],tbl_products[[product_key]:[group_display_key]],2,FALSE),"")</f>
        <v/>
      </c>
    </row>
    <row r="1488" spans="8:8" x14ac:dyDescent="0.2">
      <c r="H1488" s="11" t="str">
        <f>IFERROR(VLOOKUP(tbl_product_scores[[#This Row],[product_key]],tbl_products[[product_key]:[group_display_key]],2,FALSE),"")</f>
        <v/>
      </c>
    </row>
    <row r="1489" spans="8:8" x14ac:dyDescent="0.2">
      <c r="H1489" s="11" t="str">
        <f>IFERROR(VLOOKUP(tbl_product_scores[[#This Row],[product_key]],tbl_products[[product_key]:[group_display_key]],2,FALSE),"")</f>
        <v/>
      </c>
    </row>
    <row r="1490" spans="8:8" x14ac:dyDescent="0.2">
      <c r="H1490" s="11" t="str">
        <f>IFERROR(VLOOKUP(tbl_product_scores[[#This Row],[product_key]],tbl_products[[product_key]:[group_display_key]],2,FALSE),"")</f>
        <v/>
      </c>
    </row>
    <row r="1491" spans="8:8" x14ac:dyDescent="0.2">
      <c r="H1491" s="11" t="str">
        <f>IFERROR(VLOOKUP(tbl_product_scores[[#This Row],[product_key]],tbl_products[[product_key]:[group_display_key]],2,FALSE),"")</f>
        <v/>
      </c>
    </row>
    <row r="1492" spans="8:8" x14ac:dyDescent="0.2">
      <c r="H1492" s="11" t="str">
        <f>IFERROR(VLOOKUP(tbl_product_scores[[#This Row],[product_key]],tbl_products[[product_key]:[group_display_key]],2,FALSE),"")</f>
        <v/>
      </c>
    </row>
    <row r="1493" spans="8:8" x14ac:dyDescent="0.2">
      <c r="H1493" s="11" t="str">
        <f>IFERROR(VLOOKUP(tbl_product_scores[[#This Row],[product_key]],tbl_products[[product_key]:[group_display_key]],2,FALSE),"")</f>
        <v/>
      </c>
    </row>
    <row r="1494" spans="8:8" x14ac:dyDescent="0.2">
      <c r="H1494" s="11" t="str">
        <f>IFERROR(VLOOKUP(tbl_product_scores[[#This Row],[product_key]],tbl_products[[product_key]:[group_display_key]],2,FALSE),"")</f>
        <v/>
      </c>
    </row>
    <row r="1495" spans="8:8" x14ac:dyDescent="0.2">
      <c r="H1495" s="11" t="str">
        <f>IFERROR(VLOOKUP(tbl_product_scores[[#This Row],[product_key]],tbl_products[[product_key]:[group_display_key]],2,FALSE),"")</f>
        <v/>
      </c>
    </row>
    <row r="1496" spans="8:8" x14ac:dyDescent="0.2">
      <c r="H1496" s="11" t="str">
        <f>IFERROR(VLOOKUP(tbl_product_scores[[#This Row],[product_key]],tbl_products[[product_key]:[group_display_key]],2,FALSE),"")</f>
        <v/>
      </c>
    </row>
    <row r="1497" spans="8:8" x14ac:dyDescent="0.2">
      <c r="H1497" s="11" t="str">
        <f>IFERROR(VLOOKUP(tbl_product_scores[[#This Row],[product_key]],tbl_products[[product_key]:[group_display_key]],2,FALSE),"")</f>
        <v/>
      </c>
    </row>
    <row r="1498" spans="8:8" x14ac:dyDescent="0.2">
      <c r="H1498" s="11" t="str">
        <f>IFERROR(VLOOKUP(tbl_product_scores[[#This Row],[product_key]],tbl_products[[product_key]:[group_display_key]],2,FALSE),"")</f>
        <v/>
      </c>
    </row>
    <row r="1499" spans="8:8" x14ac:dyDescent="0.2">
      <c r="H1499" s="11" t="str">
        <f>IFERROR(VLOOKUP(tbl_product_scores[[#This Row],[product_key]],tbl_products[[product_key]:[group_display_key]],2,FALSE),"")</f>
        <v/>
      </c>
    </row>
    <row r="1500" spans="8:8" x14ac:dyDescent="0.2">
      <c r="H1500" s="11" t="str">
        <f>IFERROR(VLOOKUP(tbl_product_scores[[#This Row],[product_key]],tbl_products[[product_key]:[group_display_key]],2,FALSE),"")</f>
        <v/>
      </c>
    </row>
    <row r="1501" spans="8:8" x14ac:dyDescent="0.2">
      <c r="H1501" s="11" t="str">
        <f>IFERROR(VLOOKUP(tbl_product_scores[[#This Row],[product_key]],tbl_products[[product_key]:[group_display_key]],2,FALSE),"")</f>
        <v/>
      </c>
    </row>
    <row r="1502" spans="8:8" x14ac:dyDescent="0.2">
      <c r="H1502" s="11" t="str">
        <f>IFERROR(VLOOKUP(tbl_product_scores[[#This Row],[product_key]],tbl_products[[product_key]:[group_display_key]],2,FALSE),"")</f>
        <v/>
      </c>
    </row>
    <row r="1503" spans="8:8" x14ac:dyDescent="0.2">
      <c r="H1503" s="11" t="str">
        <f>IFERROR(VLOOKUP(tbl_product_scores[[#This Row],[product_key]],tbl_products[[product_key]:[group_display_key]],2,FALSE),"")</f>
        <v/>
      </c>
    </row>
    <row r="1504" spans="8:8" x14ac:dyDescent="0.2">
      <c r="H1504" s="11" t="str">
        <f>IFERROR(VLOOKUP(tbl_product_scores[[#This Row],[product_key]],tbl_products[[product_key]:[group_display_key]],2,FALSE),"")</f>
        <v/>
      </c>
    </row>
    <row r="1505" spans="8:8" x14ac:dyDescent="0.2">
      <c r="H1505" s="11" t="str">
        <f>IFERROR(VLOOKUP(tbl_product_scores[[#This Row],[product_key]],tbl_products[[product_key]:[group_display_key]],2,FALSE),"")</f>
        <v/>
      </c>
    </row>
    <row r="1506" spans="8:8" x14ac:dyDescent="0.2">
      <c r="H1506" s="11" t="str">
        <f>IFERROR(VLOOKUP(tbl_product_scores[[#This Row],[product_key]],tbl_products[[product_key]:[group_display_key]],2,FALSE),"")</f>
        <v/>
      </c>
    </row>
    <row r="1507" spans="8:8" x14ac:dyDescent="0.2">
      <c r="H1507" s="11" t="str">
        <f>IFERROR(VLOOKUP(tbl_product_scores[[#This Row],[product_key]],tbl_products[[product_key]:[group_display_key]],2,FALSE),"")</f>
        <v/>
      </c>
    </row>
    <row r="1508" spans="8:8" x14ac:dyDescent="0.2">
      <c r="H1508" s="11" t="str">
        <f>IFERROR(VLOOKUP(tbl_product_scores[[#This Row],[product_key]],tbl_products[[product_key]:[group_display_key]],2,FALSE),"")</f>
        <v/>
      </c>
    </row>
    <row r="1509" spans="8:8" x14ac:dyDescent="0.2">
      <c r="H1509" s="11" t="str">
        <f>IFERROR(VLOOKUP(tbl_product_scores[[#This Row],[product_key]],tbl_products[[product_key]:[group_display_key]],2,FALSE),"")</f>
        <v/>
      </c>
    </row>
    <row r="1510" spans="8:8" x14ac:dyDescent="0.2">
      <c r="H1510" s="11" t="str">
        <f>IFERROR(VLOOKUP(tbl_product_scores[[#This Row],[product_key]],tbl_products[[product_key]:[group_display_key]],2,FALSE),"")</f>
        <v/>
      </c>
    </row>
    <row r="1511" spans="8:8" x14ac:dyDescent="0.2">
      <c r="H1511" s="11" t="str">
        <f>IFERROR(VLOOKUP(tbl_product_scores[[#This Row],[product_key]],tbl_products[[product_key]:[group_display_key]],2,FALSE),"")</f>
        <v/>
      </c>
    </row>
    <row r="1512" spans="8:8" x14ac:dyDescent="0.2">
      <c r="H1512" s="11" t="str">
        <f>IFERROR(VLOOKUP(tbl_product_scores[[#This Row],[product_key]],tbl_products[[product_key]:[group_display_key]],2,FALSE),"")</f>
        <v/>
      </c>
    </row>
    <row r="1513" spans="8:8" x14ac:dyDescent="0.2">
      <c r="H1513" s="11" t="str">
        <f>IFERROR(VLOOKUP(tbl_product_scores[[#This Row],[product_key]],tbl_products[[product_key]:[group_display_key]],2,FALSE),"")</f>
        <v/>
      </c>
    </row>
    <row r="1514" spans="8:8" x14ac:dyDescent="0.2">
      <c r="H1514" s="11" t="str">
        <f>IFERROR(VLOOKUP(tbl_product_scores[[#This Row],[product_key]],tbl_products[[product_key]:[group_display_key]],2,FALSE),"")</f>
        <v/>
      </c>
    </row>
    <row r="1515" spans="8:8" x14ac:dyDescent="0.2">
      <c r="H1515" s="11" t="str">
        <f>IFERROR(VLOOKUP(tbl_product_scores[[#This Row],[product_key]],tbl_products[[product_key]:[group_display_key]],2,FALSE),"")</f>
        <v/>
      </c>
    </row>
    <row r="1516" spans="8:8" x14ac:dyDescent="0.2">
      <c r="H1516" s="11" t="str">
        <f>IFERROR(VLOOKUP(tbl_product_scores[[#This Row],[product_key]],tbl_products[[product_key]:[group_display_key]],2,FALSE),"")</f>
        <v/>
      </c>
    </row>
    <row r="1517" spans="8:8" x14ac:dyDescent="0.2">
      <c r="H1517" s="11" t="str">
        <f>IFERROR(VLOOKUP(tbl_product_scores[[#This Row],[product_key]],tbl_products[[product_key]:[group_display_key]],2,FALSE),"")</f>
        <v/>
      </c>
    </row>
    <row r="1518" spans="8:8" x14ac:dyDescent="0.2">
      <c r="H1518" s="11" t="str">
        <f>IFERROR(VLOOKUP(tbl_product_scores[[#This Row],[product_key]],tbl_products[[product_key]:[group_display_key]],2,FALSE),"")</f>
        <v/>
      </c>
    </row>
    <row r="1519" spans="8:8" x14ac:dyDescent="0.2">
      <c r="H1519" s="11" t="str">
        <f>IFERROR(VLOOKUP(tbl_product_scores[[#This Row],[product_key]],tbl_products[[product_key]:[group_display_key]],2,FALSE),"")</f>
        <v/>
      </c>
    </row>
    <row r="1520" spans="8:8" x14ac:dyDescent="0.2">
      <c r="H1520" s="11" t="str">
        <f>IFERROR(VLOOKUP(tbl_product_scores[[#This Row],[product_key]],tbl_products[[product_key]:[group_display_key]],2,FALSE),"")</f>
        <v/>
      </c>
    </row>
    <row r="1521" spans="8:8" x14ac:dyDescent="0.2">
      <c r="H1521" s="11" t="str">
        <f>IFERROR(VLOOKUP(tbl_product_scores[[#This Row],[product_key]],tbl_products[[product_key]:[group_display_key]],2,FALSE),"")</f>
        <v/>
      </c>
    </row>
    <row r="1522" spans="8:8" x14ac:dyDescent="0.2">
      <c r="H1522" s="11" t="str">
        <f>IFERROR(VLOOKUP(tbl_product_scores[[#This Row],[product_key]],tbl_products[[product_key]:[group_display_key]],2,FALSE),"")</f>
        <v/>
      </c>
    </row>
    <row r="1523" spans="8:8" x14ac:dyDescent="0.2">
      <c r="H1523" s="11" t="str">
        <f>IFERROR(VLOOKUP(tbl_product_scores[[#This Row],[product_key]],tbl_products[[product_key]:[group_display_key]],2,FALSE),"")</f>
        <v/>
      </c>
    </row>
    <row r="1524" spans="8:8" x14ac:dyDescent="0.2">
      <c r="H1524" s="11" t="str">
        <f>IFERROR(VLOOKUP(tbl_product_scores[[#This Row],[product_key]],tbl_products[[product_key]:[group_display_key]],2,FALSE),"")</f>
        <v/>
      </c>
    </row>
    <row r="1525" spans="8:8" x14ac:dyDescent="0.2">
      <c r="H1525" s="11" t="str">
        <f>IFERROR(VLOOKUP(tbl_product_scores[[#This Row],[product_key]],tbl_products[[product_key]:[group_display_key]],2,FALSE),"")</f>
        <v/>
      </c>
    </row>
    <row r="1526" spans="8:8" x14ac:dyDescent="0.2">
      <c r="H1526" s="11" t="str">
        <f>IFERROR(VLOOKUP(tbl_product_scores[[#This Row],[product_key]],tbl_products[[product_key]:[group_display_key]],2,FALSE),"")</f>
        <v/>
      </c>
    </row>
    <row r="1527" spans="8:8" x14ac:dyDescent="0.2">
      <c r="H1527" s="11" t="str">
        <f>IFERROR(VLOOKUP(tbl_product_scores[[#This Row],[product_key]],tbl_products[[product_key]:[group_display_key]],2,FALSE),"")</f>
        <v/>
      </c>
    </row>
    <row r="1528" spans="8:8" x14ac:dyDescent="0.2">
      <c r="H1528" s="11" t="str">
        <f>IFERROR(VLOOKUP(tbl_product_scores[[#This Row],[product_key]],tbl_products[[product_key]:[group_display_key]],2,FALSE),"")</f>
        <v/>
      </c>
    </row>
    <row r="1529" spans="8:8" x14ac:dyDescent="0.2">
      <c r="H1529" s="11" t="str">
        <f>IFERROR(VLOOKUP(tbl_product_scores[[#This Row],[product_key]],tbl_products[[product_key]:[group_display_key]],2,FALSE),"")</f>
        <v/>
      </c>
    </row>
    <row r="1530" spans="8:8" x14ac:dyDescent="0.2">
      <c r="H1530" s="11" t="str">
        <f>IFERROR(VLOOKUP(tbl_product_scores[[#This Row],[product_key]],tbl_products[[product_key]:[group_display_key]],2,FALSE),"")</f>
        <v/>
      </c>
    </row>
    <row r="1531" spans="8:8" x14ac:dyDescent="0.2">
      <c r="H1531" s="11" t="str">
        <f>IFERROR(VLOOKUP(tbl_product_scores[[#This Row],[product_key]],tbl_products[[product_key]:[group_display_key]],2,FALSE),"")</f>
        <v/>
      </c>
    </row>
    <row r="1532" spans="8:8" x14ac:dyDescent="0.2">
      <c r="H1532" s="11" t="str">
        <f>IFERROR(VLOOKUP(tbl_product_scores[[#This Row],[product_key]],tbl_products[[product_key]:[group_display_key]],2,FALSE),"")</f>
        <v/>
      </c>
    </row>
    <row r="1533" spans="8:8" x14ac:dyDescent="0.2">
      <c r="H1533" s="11" t="str">
        <f>IFERROR(VLOOKUP(tbl_product_scores[[#This Row],[product_key]],tbl_products[[product_key]:[group_display_key]],2,FALSE),"")</f>
        <v/>
      </c>
    </row>
    <row r="1534" spans="8:8" x14ac:dyDescent="0.2">
      <c r="H1534" s="11" t="str">
        <f>IFERROR(VLOOKUP(tbl_product_scores[[#This Row],[product_key]],tbl_products[[product_key]:[group_display_key]],2,FALSE),"")</f>
        <v/>
      </c>
    </row>
    <row r="1535" spans="8:8" x14ac:dyDescent="0.2">
      <c r="H1535" s="11" t="str">
        <f>IFERROR(VLOOKUP(tbl_product_scores[[#This Row],[product_key]],tbl_products[[product_key]:[group_display_key]],2,FALSE),"")</f>
        <v/>
      </c>
    </row>
    <row r="1536" spans="8:8" x14ac:dyDescent="0.2">
      <c r="H1536" s="11" t="str">
        <f>IFERROR(VLOOKUP(tbl_product_scores[[#This Row],[product_key]],tbl_products[[product_key]:[group_display_key]],2,FALSE),"")</f>
        <v/>
      </c>
    </row>
    <row r="1537" spans="8:8" x14ac:dyDescent="0.2">
      <c r="H1537" s="11" t="str">
        <f>IFERROR(VLOOKUP(tbl_product_scores[[#This Row],[product_key]],tbl_products[[product_key]:[group_display_key]],2,FALSE),"")</f>
        <v/>
      </c>
    </row>
    <row r="1538" spans="8:8" x14ac:dyDescent="0.2">
      <c r="H1538" s="11" t="str">
        <f>IFERROR(VLOOKUP(tbl_product_scores[[#This Row],[product_key]],tbl_products[[product_key]:[group_display_key]],2,FALSE),"")</f>
        <v/>
      </c>
    </row>
    <row r="1539" spans="8:8" x14ac:dyDescent="0.2">
      <c r="H1539" s="11" t="str">
        <f>IFERROR(VLOOKUP(tbl_product_scores[[#This Row],[product_key]],tbl_products[[product_key]:[group_display_key]],2,FALSE),"")</f>
        <v/>
      </c>
    </row>
    <row r="1540" spans="8:8" x14ac:dyDescent="0.2">
      <c r="H1540" s="11" t="str">
        <f>IFERROR(VLOOKUP(tbl_product_scores[[#This Row],[product_key]],tbl_products[[product_key]:[group_display_key]],2,FALSE),"")</f>
        <v/>
      </c>
    </row>
    <row r="1541" spans="8:8" x14ac:dyDescent="0.2">
      <c r="H1541" s="11" t="str">
        <f>IFERROR(VLOOKUP(tbl_product_scores[[#This Row],[product_key]],tbl_products[[product_key]:[group_display_key]],2,FALSE),"")</f>
        <v/>
      </c>
    </row>
    <row r="1542" spans="8:8" x14ac:dyDescent="0.2">
      <c r="H1542" s="11" t="str">
        <f>IFERROR(VLOOKUP(tbl_product_scores[[#This Row],[product_key]],tbl_products[[product_key]:[group_display_key]],2,FALSE),"")</f>
        <v/>
      </c>
    </row>
    <row r="1543" spans="8:8" x14ac:dyDescent="0.2">
      <c r="H1543" s="11" t="str">
        <f>IFERROR(VLOOKUP(tbl_product_scores[[#This Row],[product_key]],tbl_products[[product_key]:[group_display_key]],2,FALSE),"")</f>
        <v/>
      </c>
    </row>
    <row r="1544" spans="8:8" x14ac:dyDescent="0.2">
      <c r="H1544" s="11" t="str">
        <f>IFERROR(VLOOKUP(tbl_product_scores[[#This Row],[product_key]],tbl_products[[product_key]:[group_display_key]],2,FALSE),"")</f>
        <v/>
      </c>
    </row>
    <row r="1545" spans="8:8" x14ac:dyDescent="0.2">
      <c r="H1545" s="11" t="str">
        <f>IFERROR(VLOOKUP(tbl_product_scores[[#This Row],[product_key]],tbl_products[[product_key]:[group_display_key]],2,FALSE),"")</f>
        <v/>
      </c>
    </row>
    <row r="1546" spans="8:8" x14ac:dyDescent="0.2">
      <c r="H1546" s="11" t="str">
        <f>IFERROR(VLOOKUP(tbl_product_scores[[#This Row],[product_key]],tbl_products[[product_key]:[group_display_key]],2,FALSE),"")</f>
        <v/>
      </c>
    </row>
    <row r="1547" spans="8:8" x14ac:dyDescent="0.2">
      <c r="H1547" s="11" t="str">
        <f>IFERROR(VLOOKUP(tbl_product_scores[[#This Row],[product_key]],tbl_products[[product_key]:[group_display_key]],2,FALSE),"")</f>
        <v/>
      </c>
    </row>
    <row r="1548" spans="8:8" x14ac:dyDescent="0.2">
      <c r="H1548" s="11" t="str">
        <f>IFERROR(VLOOKUP(tbl_product_scores[[#This Row],[product_key]],tbl_products[[product_key]:[group_display_key]],2,FALSE),"")</f>
        <v/>
      </c>
    </row>
    <row r="1549" spans="8:8" x14ac:dyDescent="0.2">
      <c r="H1549" s="11" t="str">
        <f>IFERROR(VLOOKUP(tbl_product_scores[[#This Row],[product_key]],tbl_products[[product_key]:[group_display_key]],2,FALSE),"")</f>
        <v/>
      </c>
    </row>
    <row r="1550" spans="8:8" x14ac:dyDescent="0.2">
      <c r="H1550" s="11" t="str">
        <f>IFERROR(VLOOKUP(tbl_product_scores[[#This Row],[product_key]],tbl_products[[product_key]:[group_display_key]],2,FALSE),"")</f>
        <v/>
      </c>
    </row>
    <row r="1551" spans="8:8" x14ac:dyDescent="0.2">
      <c r="H1551" s="11" t="str">
        <f>IFERROR(VLOOKUP(tbl_product_scores[[#This Row],[product_key]],tbl_products[[product_key]:[group_display_key]],2,FALSE),"")</f>
        <v/>
      </c>
    </row>
    <row r="1552" spans="8:8" x14ac:dyDescent="0.2">
      <c r="H1552" s="11" t="str">
        <f>IFERROR(VLOOKUP(tbl_product_scores[[#This Row],[product_key]],tbl_products[[product_key]:[group_display_key]],2,FALSE),"")</f>
        <v/>
      </c>
    </row>
    <row r="1553" spans="8:8" x14ac:dyDescent="0.2">
      <c r="H1553" s="11" t="str">
        <f>IFERROR(VLOOKUP(tbl_product_scores[[#This Row],[product_key]],tbl_products[[product_key]:[group_display_key]],2,FALSE),"")</f>
        <v/>
      </c>
    </row>
    <row r="1554" spans="8:8" x14ac:dyDescent="0.2">
      <c r="H1554" s="11" t="str">
        <f>IFERROR(VLOOKUP(tbl_product_scores[[#This Row],[product_key]],tbl_products[[product_key]:[group_display_key]],2,FALSE),"")</f>
        <v/>
      </c>
    </row>
    <row r="1555" spans="8:8" x14ac:dyDescent="0.2">
      <c r="H1555" s="11" t="str">
        <f>IFERROR(VLOOKUP(tbl_product_scores[[#This Row],[product_key]],tbl_products[[product_key]:[group_display_key]],2,FALSE),"")</f>
        <v/>
      </c>
    </row>
    <row r="1556" spans="8:8" x14ac:dyDescent="0.2">
      <c r="H1556" s="11" t="str">
        <f>IFERROR(VLOOKUP(tbl_product_scores[[#This Row],[product_key]],tbl_products[[product_key]:[group_display_key]],2,FALSE),"")</f>
        <v/>
      </c>
    </row>
    <row r="1557" spans="8:8" x14ac:dyDescent="0.2">
      <c r="H1557" s="11" t="str">
        <f>IFERROR(VLOOKUP(tbl_product_scores[[#This Row],[product_key]],tbl_products[[product_key]:[group_display_key]],2,FALSE),"")</f>
        <v/>
      </c>
    </row>
    <row r="1558" spans="8:8" x14ac:dyDescent="0.2">
      <c r="H1558" s="11" t="str">
        <f>IFERROR(VLOOKUP(tbl_product_scores[[#This Row],[product_key]],tbl_products[[product_key]:[group_display_key]],2,FALSE),"")</f>
        <v/>
      </c>
    </row>
    <row r="1559" spans="8:8" x14ac:dyDescent="0.2">
      <c r="H1559" s="11" t="str">
        <f>IFERROR(VLOOKUP(tbl_product_scores[[#This Row],[product_key]],tbl_products[[product_key]:[group_display_key]],2,FALSE),"")</f>
        <v/>
      </c>
    </row>
    <row r="1560" spans="8:8" x14ac:dyDescent="0.2">
      <c r="H1560" s="11" t="str">
        <f>IFERROR(VLOOKUP(tbl_product_scores[[#This Row],[product_key]],tbl_products[[product_key]:[group_display_key]],2,FALSE),"")</f>
        <v/>
      </c>
    </row>
    <row r="1561" spans="8:8" x14ac:dyDescent="0.2">
      <c r="H1561" s="11" t="str">
        <f>IFERROR(VLOOKUP(tbl_product_scores[[#This Row],[product_key]],tbl_products[[product_key]:[group_display_key]],2,FALSE),"")</f>
        <v/>
      </c>
    </row>
    <row r="1562" spans="8:8" x14ac:dyDescent="0.2">
      <c r="H1562" s="11" t="str">
        <f>IFERROR(VLOOKUP(tbl_product_scores[[#This Row],[product_key]],tbl_products[[product_key]:[group_display_key]],2,FALSE),"")</f>
        <v/>
      </c>
    </row>
    <row r="1563" spans="8:8" x14ac:dyDescent="0.2">
      <c r="H1563" s="11" t="str">
        <f>IFERROR(VLOOKUP(tbl_product_scores[[#This Row],[product_key]],tbl_products[[product_key]:[group_display_key]],2,FALSE),"")</f>
        <v/>
      </c>
    </row>
    <row r="1564" spans="8:8" x14ac:dyDescent="0.2">
      <c r="H1564" s="11" t="str">
        <f>IFERROR(VLOOKUP(tbl_product_scores[[#This Row],[product_key]],tbl_products[[product_key]:[group_display_key]],2,FALSE),"")</f>
        <v/>
      </c>
    </row>
    <row r="1565" spans="8:8" x14ac:dyDescent="0.2">
      <c r="H1565" s="11" t="str">
        <f>IFERROR(VLOOKUP(tbl_product_scores[[#This Row],[product_key]],tbl_products[[product_key]:[group_display_key]],2,FALSE),"")</f>
        <v/>
      </c>
    </row>
    <row r="1566" spans="8:8" x14ac:dyDescent="0.2">
      <c r="H1566" s="11" t="str">
        <f>IFERROR(VLOOKUP(tbl_product_scores[[#This Row],[product_key]],tbl_products[[product_key]:[group_display_key]],2,FALSE),"")</f>
        <v/>
      </c>
    </row>
    <row r="1567" spans="8:8" x14ac:dyDescent="0.2">
      <c r="H1567" s="11" t="str">
        <f>IFERROR(VLOOKUP(tbl_product_scores[[#This Row],[product_key]],tbl_products[[product_key]:[group_display_key]],2,FALSE),"")</f>
        <v/>
      </c>
    </row>
    <row r="1568" spans="8:8" x14ac:dyDescent="0.2">
      <c r="H1568" s="11" t="str">
        <f>IFERROR(VLOOKUP(tbl_product_scores[[#This Row],[product_key]],tbl_products[[product_key]:[group_display_key]],2,FALSE),"")</f>
        <v/>
      </c>
    </row>
    <row r="1569" spans="8:8" x14ac:dyDescent="0.2">
      <c r="H1569" s="11" t="str">
        <f>IFERROR(VLOOKUP(tbl_product_scores[[#This Row],[product_key]],tbl_products[[product_key]:[group_display_key]],2,FALSE),"")</f>
        <v/>
      </c>
    </row>
    <row r="1570" spans="8:8" x14ac:dyDescent="0.2">
      <c r="H1570" s="11" t="str">
        <f>IFERROR(VLOOKUP(tbl_product_scores[[#This Row],[product_key]],tbl_products[[product_key]:[group_display_key]],2,FALSE),"")</f>
        <v/>
      </c>
    </row>
    <row r="1571" spans="8:8" x14ac:dyDescent="0.2">
      <c r="H1571" s="11" t="str">
        <f>IFERROR(VLOOKUP(tbl_product_scores[[#This Row],[product_key]],tbl_products[[product_key]:[group_display_key]],2,FALSE),"")</f>
        <v/>
      </c>
    </row>
    <row r="1572" spans="8:8" x14ac:dyDescent="0.2">
      <c r="H1572" s="11" t="str">
        <f>IFERROR(VLOOKUP(tbl_product_scores[[#This Row],[product_key]],tbl_products[[product_key]:[group_display_key]],2,FALSE),"")</f>
        <v/>
      </c>
    </row>
    <row r="1573" spans="8:8" x14ac:dyDescent="0.2">
      <c r="H1573" s="11" t="str">
        <f>IFERROR(VLOOKUP(tbl_product_scores[[#This Row],[product_key]],tbl_products[[product_key]:[group_display_key]],2,FALSE),"")</f>
        <v/>
      </c>
    </row>
    <row r="1574" spans="8:8" x14ac:dyDescent="0.2">
      <c r="H1574" s="11" t="str">
        <f>IFERROR(VLOOKUP(tbl_product_scores[[#This Row],[product_key]],tbl_products[[product_key]:[group_display_key]],2,FALSE),"")</f>
        <v/>
      </c>
    </row>
    <row r="1575" spans="8:8" x14ac:dyDescent="0.2">
      <c r="H1575" s="11" t="str">
        <f>IFERROR(VLOOKUP(tbl_product_scores[[#This Row],[product_key]],tbl_products[[product_key]:[group_display_key]],2,FALSE),"")</f>
        <v/>
      </c>
    </row>
    <row r="1576" spans="8:8" x14ac:dyDescent="0.2">
      <c r="H1576" s="11" t="str">
        <f>IFERROR(VLOOKUP(tbl_product_scores[[#This Row],[product_key]],tbl_products[[product_key]:[group_display_key]],2,FALSE),"")</f>
        <v/>
      </c>
    </row>
    <row r="1577" spans="8:8" x14ac:dyDescent="0.2">
      <c r="H1577" s="11" t="str">
        <f>IFERROR(VLOOKUP(tbl_product_scores[[#This Row],[product_key]],tbl_products[[product_key]:[group_display_key]],2,FALSE),"")</f>
        <v/>
      </c>
    </row>
    <row r="1578" spans="8:8" x14ac:dyDescent="0.2">
      <c r="H1578" s="11" t="str">
        <f>IFERROR(VLOOKUP(tbl_product_scores[[#This Row],[product_key]],tbl_products[[product_key]:[group_display_key]],2,FALSE),"")</f>
        <v/>
      </c>
    </row>
    <row r="1579" spans="8:8" x14ac:dyDescent="0.2">
      <c r="H1579" s="11" t="str">
        <f>IFERROR(VLOOKUP(tbl_product_scores[[#This Row],[product_key]],tbl_products[[product_key]:[group_display_key]],2,FALSE),"")</f>
        <v/>
      </c>
    </row>
    <row r="1580" spans="8:8" x14ac:dyDescent="0.2">
      <c r="H1580" s="11" t="str">
        <f>IFERROR(VLOOKUP(tbl_product_scores[[#This Row],[product_key]],tbl_products[[product_key]:[group_display_key]],2,FALSE),"")</f>
        <v/>
      </c>
    </row>
    <row r="1581" spans="8:8" x14ac:dyDescent="0.2">
      <c r="H1581" s="11" t="str">
        <f>IFERROR(VLOOKUP(tbl_product_scores[[#This Row],[product_key]],tbl_products[[product_key]:[group_display_key]],2,FALSE),"")</f>
        <v/>
      </c>
    </row>
    <row r="1582" spans="8:8" x14ac:dyDescent="0.2">
      <c r="H1582" s="11" t="str">
        <f>IFERROR(VLOOKUP(tbl_product_scores[[#This Row],[product_key]],tbl_products[[product_key]:[group_display_key]],2,FALSE),"")</f>
        <v/>
      </c>
    </row>
    <row r="1583" spans="8:8" x14ac:dyDescent="0.2">
      <c r="H1583" s="11" t="str">
        <f>IFERROR(VLOOKUP(tbl_product_scores[[#This Row],[product_key]],tbl_products[[product_key]:[group_display_key]],2,FALSE),"")</f>
        <v/>
      </c>
    </row>
    <row r="1584" spans="8:8" x14ac:dyDescent="0.2">
      <c r="H1584" s="11" t="str">
        <f>IFERROR(VLOOKUP(tbl_product_scores[[#This Row],[product_key]],tbl_products[[product_key]:[group_display_key]],2,FALSE),"")</f>
        <v/>
      </c>
    </row>
    <row r="1585" spans="8:8" x14ac:dyDescent="0.2">
      <c r="H1585" s="11" t="str">
        <f>IFERROR(VLOOKUP(tbl_product_scores[[#This Row],[product_key]],tbl_products[[product_key]:[group_display_key]],2,FALSE),"")</f>
        <v/>
      </c>
    </row>
    <row r="1586" spans="8:8" x14ac:dyDescent="0.2">
      <c r="H1586" s="11" t="str">
        <f>IFERROR(VLOOKUP(tbl_product_scores[[#This Row],[product_key]],tbl_products[[product_key]:[group_display_key]],2,FALSE),"")</f>
        <v/>
      </c>
    </row>
    <row r="1587" spans="8:8" x14ac:dyDescent="0.2">
      <c r="H1587" s="11" t="str">
        <f>IFERROR(VLOOKUP(tbl_product_scores[[#This Row],[product_key]],tbl_products[[product_key]:[group_display_key]],2,FALSE),"")</f>
        <v/>
      </c>
    </row>
    <row r="1588" spans="8:8" x14ac:dyDescent="0.2">
      <c r="H1588" s="11" t="str">
        <f>IFERROR(VLOOKUP(tbl_product_scores[[#This Row],[product_key]],tbl_products[[product_key]:[group_display_key]],2,FALSE),"")</f>
        <v/>
      </c>
    </row>
    <row r="1589" spans="8:8" x14ac:dyDescent="0.2">
      <c r="H1589" s="11" t="str">
        <f>IFERROR(VLOOKUP(tbl_product_scores[[#This Row],[product_key]],tbl_products[[product_key]:[group_display_key]],2,FALSE),"")</f>
        <v/>
      </c>
    </row>
    <row r="1590" spans="8:8" x14ac:dyDescent="0.2">
      <c r="H1590" s="11" t="str">
        <f>IFERROR(VLOOKUP(tbl_product_scores[[#This Row],[product_key]],tbl_products[[product_key]:[group_display_key]],2,FALSE),"")</f>
        <v/>
      </c>
    </row>
    <row r="1591" spans="8:8" x14ac:dyDescent="0.2">
      <c r="H1591" s="11" t="str">
        <f>IFERROR(VLOOKUP(tbl_product_scores[[#This Row],[product_key]],tbl_products[[product_key]:[group_display_key]],2,FALSE),"")</f>
        <v/>
      </c>
    </row>
    <row r="1592" spans="8:8" x14ac:dyDescent="0.2">
      <c r="H1592" s="11" t="str">
        <f>IFERROR(VLOOKUP(tbl_product_scores[[#This Row],[product_key]],tbl_products[[product_key]:[group_display_key]],2,FALSE),"")</f>
        <v/>
      </c>
    </row>
    <row r="1593" spans="8:8" x14ac:dyDescent="0.2">
      <c r="H1593" s="11" t="str">
        <f>IFERROR(VLOOKUP(tbl_product_scores[[#This Row],[product_key]],tbl_products[[product_key]:[group_display_key]],2,FALSE),"")</f>
        <v/>
      </c>
    </row>
    <row r="1594" spans="8:8" x14ac:dyDescent="0.2">
      <c r="H1594" s="11" t="str">
        <f>IFERROR(VLOOKUP(tbl_product_scores[[#This Row],[product_key]],tbl_products[[product_key]:[group_display_key]],2,FALSE),"")</f>
        <v/>
      </c>
    </row>
    <row r="1595" spans="8:8" x14ac:dyDescent="0.2">
      <c r="H1595" s="11" t="str">
        <f>IFERROR(VLOOKUP(tbl_product_scores[[#This Row],[product_key]],tbl_products[[product_key]:[group_display_key]],2,FALSE),"")</f>
        <v/>
      </c>
    </row>
    <row r="1596" spans="8:8" x14ac:dyDescent="0.2">
      <c r="H1596" s="11" t="str">
        <f>IFERROR(VLOOKUP(tbl_product_scores[[#This Row],[product_key]],tbl_products[[product_key]:[group_display_key]],2,FALSE),"")</f>
        <v/>
      </c>
    </row>
    <row r="1597" spans="8:8" x14ac:dyDescent="0.2">
      <c r="H1597" s="11" t="str">
        <f>IFERROR(VLOOKUP(tbl_product_scores[[#This Row],[product_key]],tbl_products[[product_key]:[group_display_key]],2,FALSE),"")</f>
        <v/>
      </c>
    </row>
    <row r="1598" spans="8:8" x14ac:dyDescent="0.2">
      <c r="H1598" s="11" t="str">
        <f>IFERROR(VLOOKUP(tbl_product_scores[[#This Row],[product_key]],tbl_products[[product_key]:[group_display_key]],2,FALSE),"")</f>
        <v/>
      </c>
    </row>
    <row r="1599" spans="8:8" x14ac:dyDescent="0.2">
      <c r="H1599" s="11" t="str">
        <f>IFERROR(VLOOKUP(tbl_product_scores[[#This Row],[product_key]],tbl_products[[product_key]:[group_display_key]],2,FALSE),"")</f>
        <v/>
      </c>
    </row>
    <row r="1600" spans="8:8" x14ac:dyDescent="0.2">
      <c r="H1600" s="11" t="str">
        <f>IFERROR(VLOOKUP(tbl_product_scores[[#This Row],[product_key]],tbl_products[[product_key]:[group_display_key]],2,FALSE),"")</f>
        <v/>
      </c>
    </row>
    <row r="1601" spans="8:8" x14ac:dyDescent="0.2">
      <c r="H1601" s="11" t="str">
        <f>IFERROR(VLOOKUP(tbl_product_scores[[#This Row],[product_key]],tbl_products[[product_key]:[group_display_key]],2,FALSE),"")</f>
        <v/>
      </c>
    </row>
    <row r="1602" spans="8:8" x14ac:dyDescent="0.2">
      <c r="H1602" s="11" t="str">
        <f>IFERROR(VLOOKUP(tbl_product_scores[[#This Row],[product_key]],tbl_products[[product_key]:[group_display_key]],2,FALSE),"")</f>
        <v/>
      </c>
    </row>
    <row r="1603" spans="8:8" x14ac:dyDescent="0.2">
      <c r="H1603" s="11" t="str">
        <f>IFERROR(VLOOKUP(tbl_product_scores[[#This Row],[product_key]],tbl_products[[product_key]:[group_display_key]],2,FALSE),"")</f>
        <v/>
      </c>
    </row>
    <row r="1604" spans="8:8" x14ac:dyDescent="0.2">
      <c r="H1604" s="11" t="str">
        <f>IFERROR(VLOOKUP(tbl_product_scores[[#This Row],[product_key]],tbl_products[[product_key]:[group_display_key]],2,FALSE),"")</f>
        <v/>
      </c>
    </row>
    <row r="1605" spans="8:8" x14ac:dyDescent="0.2">
      <c r="H1605" s="11" t="str">
        <f>IFERROR(VLOOKUP(tbl_product_scores[[#This Row],[product_key]],tbl_products[[product_key]:[group_display_key]],2,FALSE),"")</f>
        <v/>
      </c>
    </row>
    <row r="1606" spans="8:8" x14ac:dyDescent="0.2">
      <c r="H1606" s="11" t="str">
        <f>IFERROR(VLOOKUP(tbl_product_scores[[#This Row],[product_key]],tbl_products[[product_key]:[group_display_key]],2,FALSE),"")</f>
        <v/>
      </c>
    </row>
    <row r="1607" spans="8:8" x14ac:dyDescent="0.2">
      <c r="H1607" s="11" t="str">
        <f>IFERROR(VLOOKUP(tbl_product_scores[[#This Row],[product_key]],tbl_products[[product_key]:[group_display_key]],2,FALSE),"")</f>
        <v/>
      </c>
    </row>
    <row r="1608" spans="8:8" x14ac:dyDescent="0.2">
      <c r="H1608" s="11" t="str">
        <f>IFERROR(VLOOKUP(tbl_product_scores[[#This Row],[product_key]],tbl_products[[product_key]:[group_display_key]],2,FALSE),"")</f>
        <v/>
      </c>
    </row>
    <row r="1609" spans="8:8" x14ac:dyDescent="0.2">
      <c r="H1609" s="11" t="str">
        <f>IFERROR(VLOOKUP(tbl_product_scores[[#This Row],[product_key]],tbl_products[[product_key]:[group_display_key]],2,FALSE),"")</f>
        <v/>
      </c>
    </row>
    <row r="1610" spans="8:8" x14ac:dyDescent="0.2">
      <c r="H1610" s="11" t="str">
        <f>IFERROR(VLOOKUP(tbl_product_scores[[#This Row],[product_key]],tbl_products[[product_key]:[group_display_key]],2,FALSE),"")</f>
        <v/>
      </c>
    </row>
    <row r="1611" spans="8:8" x14ac:dyDescent="0.2">
      <c r="H1611" s="11" t="str">
        <f>IFERROR(VLOOKUP(tbl_product_scores[[#This Row],[product_key]],tbl_products[[product_key]:[group_display_key]],2,FALSE),"")</f>
        <v/>
      </c>
    </row>
    <row r="1612" spans="8:8" x14ac:dyDescent="0.2">
      <c r="H1612" s="11" t="str">
        <f>IFERROR(VLOOKUP(tbl_product_scores[[#This Row],[product_key]],tbl_products[[product_key]:[group_display_key]],2,FALSE),"")</f>
        <v/>
      </c>
    </row>
    <row r="1613" spans="8:8" x14ac:dyDescent="0.2">
      <c r="H1613" s="11" t="str">
        <f>IFERROR(VLOOKUP(tbl_product_scores[[#This Row],[product_key]],tbl_products[[product_key]:[group_display_key]],2,FALSE),"")</f>
        <v/>
      </c>
    </row>
    <row r="1614" spans="8:8" x14ac:dyDescent="0.2">
      <c r="H1614" s="11" t="str">
        <f>IFERROR(VLOOKUP(tbl_product_scores[[#This Row],[product_key]],tbl_products[[product_key]:[group_display_key]],2,FALSE),"")</f>
        <v/>
      </c>
    </row>
    <row r="1615" spans="8:8" x14ac:dyDescent="0.2">
      <c r="H1615" s="11" t="str">
        <f>IFERROR(VLOOKUP(tbl_product_scores[[#This Row],[product_key]],tbl_products[[product_key]:[group_display_key]],2,FALSE),"")</f>
        <v/>
      </c>
    </row>
    <row r="1616" spans="8:8" x14ac:dyDescent="0.2">
      <c r="H1616" s="11" t="str">
        <f>IFERROR(VLOOKUP(tbl_product_scores[[#This Row],[product_key]],tbl_products[[product_key]:[group_display_key]],2,FALSE),"")</f>
        <v/>
      </c>
    </row>
    <row r="1617" spans="8:8" x14ac:dyDescent="0.2">
      <c r="H1617" s="11" t="str">
        <f>IFERROR(VLOOKUP(tbl_product_scores[[#This Row],[product_key]],tbl_products[[product_key]:[group_display_key]],2,FALSE),"")</f>
        <v/>
      </c>
    </row>
    <row r="1618" spans="8:8" x14ac:dyDescent="0.2">
      <c r="H1618" s="11" t="str">
        <f>IFERROR(VLOOKUP(tbl_product_scores[[#This Row],[product_key]],tbl_products[[product_key]:[group_display_key]],2,FALSE),"")</f>
        <v/>
      </c>
    </row>
    <row r="1619" spans="8:8" x14ac:dyDescent="0.2">
      <c r="H1619" s="11" t="str">
        <f>IFERROR(VLOOKUP(tbl_product_scores[[#This Row],[product_key]],tbl_products[[product_key]:[group_display_key]],2,FALSE),"")</f>
        <v/>
      </c>
    </row>
    <row r="1620" spans="8:8" x14ac:dyDescent="0.2">
      <c r="H1620" s="11" t="str">
        <f>IFERROR(VLOOKUP(tbl_product_scores[[#This Row],[product_key]],tbl_products[[product_key]:[group_display_key]],2,FALSE),"")</f>
        <v/>
      </c>
    </row>
    <row r="1621" spans="8:8" x14ac:dyDescent="0.2">
      <c r="H1621" s="11" t="str">
        <f>IFERROR(VLOOKUP(tbl_product_scores[[#This Row],[product_key]],tbl_products[[product_key]:[group_display_key]],2,FALSE),"")</f>
        <v/>
      </c>
    </row>
    <row r="1622" spans="8:8" x14ac:dyDescent="0.2">
      <c r="H1622" s="11" t="str">
        <f>IFERROR(VLOOKUP(tbl_product_scores[[#This Row],[product_key]],tbl_products[[product_key]:[group_display_key]],2,FALSE),"")</f>
        <v/>
      </c>
    </row>
    <row r="1623" spans="8:8" x14ac:dyDescent="0.2">
      <c r="H1623" s="11" t="str">
        <f>IFERROR(VLOOKUP(tbl_product_scores[[#This Row],[product_key]],tbl_products[[product_key]:[group_display_key]],2,FALSE),"")</f>
        <v/>
      </c>
    </row>
    <row r="1624" spans="8:8" x14ac:dyDescent="0.2">
      <c r="H1624" s="11" t="str">
        <f>IFERROR(VLOOKUP(tbl_product_scores[[#This Row],[product_key]],tbl_products[[product_key]:[group_display_key]],2,FALSE),"")</f>
        <v/>
      </c>
    </row>
    <row r="1625" spans="8:8" x14ac:dyDescent="0.2">
      <c r="H1625" s="11" t="str">
        <f>IFERROR(VLOOKUP(tbl_product_scores[[#This Row],[product_key]],tbl_products[[product_key]:[group_display_key]],2,FALSE),"")</f>
        <v/>
      </c>
    </row>
    <row r="1626" spans="8:8" x14ac:dyDescent="0.2">
      <c r="H1626" s="11" t="str">
        <f>IFERROR(VLOOKUP(tbl_product_scores[[#This Row],[product_key]],tbl_products[[product_key]:[group_display_key]],2,FALSE),"")</f>
        <v/>
      </c>
    </row>
    <row r="1627" spans="8:8" x14ac:dyDescent="0.2">
      <c r="H1627" s="11" t="str">
        <f>IFERROR(VLOOKUP(tbl_product_scores[[#This Row],[product_key]],tbl_products[[product_key]:[group_display_key]],2,FALSE),"")</f>
        <v/>
      </c>
    </row>
    <row r="1628" spans="8:8" x14ac:dyDescent="0.2">
      <c r="H1628" s="11" t="str">
        <f>IFERROR(VLOOKUP(tbl_product_scores[[#This Row],[product_key]],tbl_products[[product_key]:[group_display_key]],2,FALSE),"")</f>
        <v/>
      </c>
    </row>
    <row r="1629" spans="8:8" x14ac:dyDescent="0.2">
      <c r="H1629" s="11" t="str">
        <f>IFERROR(VLOOKUP(tbl_product_scores[[#This Row],[product_key]],tbl_products[[product_key]:[group_display_key]],2,FALSE),"")</f>
        <v/>
      </c>
    </row>
    <row r="1630" spans="8:8" x14ac:dyDescent="0.2">
      <c r="H1630" s="11" t="str">
        <f>IFERROR(VLOOKUP(tbl_product_scores[[#This Row],[product_key]],tbl_products[[product_key]:[group_display_key]],2,FALSE),"")</f>
        <v/>
      </c>
    </row>
    <row r="1631" spans="8:8" x14ac:dyDescent="0.2">
      <c r="H1631" s="11" t="str">
        <f>IFERROR(VLOOKUP(tbl_product_scores[[#This Row],[product_key]],tbl_products[[product_key]:[group_display_key]],2,FALSE),"")</f>
        <v/>
      </c>
    </row>
    <row r="1632" spans="8:8" x14ac:dyDescent="0.2">
      <c r="H1632" s="11" t="str">
        <f>IFERROR(VLOOKUP(tbl_product_scores[[#This Row],[product_key]],tbl_products[[product_key]:[group_display_key]],2,FALSE),"")</f>
        <v/>
      </c>
    </row>
    <row r="1633" spans="8:8" x14ac:dyDescent="0.2">
      <c r="H1633" s="11" t="str">
        <f>IFERROR(VLOOKUP(tbl_product_scores[[#This Row],[product_key]],tbl_products[[product_key]:[group_display_key]],2,FALSE),"")</f>
        <v/>
      </c>
    </row>
    <row r="1634" spans="8:8" x14ac:dyDescent="0.2">
      <c r="H1634" s="11" t="str">
        <f>IFERROR(VLOOKUP(tbl_product_scores[[#This Row],[product_key]],tbl_products[[product_key]:[group_display_key]],2,FALSE),"")</f>
        <v/>
      </c>
    </row>
    <row r="1635" spans="8:8" x14ac:dyDescent="0.2">
      <c r="H1635" s="11" t="str">
        <f>IFERROR(VLOOKUP(tbl_product_scores[[#This Row],[product_key]],tbl_products[[product_key]:[group_display_key]],2,FALSE),"")</f>
        <v/>
      </c>
    </row>
    <row r="1636" spans="8:8" x14ac:dyDescent="0.2">
      <c r="H1636" s="11" t="str">
        <f>IFERROR(VLOOKUP(tbl_product_scores[[#This Row],[product_key]],tbl_products[[product_key]:[group_display_key]],2,FALSE),"")</f>
        <v/>
      </c>
    </row>
    <row r="1637" spans="8:8" x14ac:dyDescent="0.2">
      <c r="H1637" s="11" t="str">
        <f>IFERROR(VLOOKUP(tbl_product_scores[[#This Row],[product_key]],tbl_products[[product_key]:[group_display_key]],2,FALSE),"")</f>
        <v/>
      </c>
    </row>
    <row r="1638" spans="8:8" x14ac:dyDescent="0.2">
      <c r="H1638" s="11" t="str">
        <f>IFERROR(VLOOKUP(tbl_product_scores[[#This Row],[product_key]],tbl_products[[product_key]:[group_display_key]],2,FALSE),"")</f>
        <v/>
      </c>
    </row>
    <row r="1639" spans="8:8" x14ac:dyDescent="0.2">
      <c r="H1639" s="11" t="str">
        <f>IFERROR(VLOOKUP(tbl_product_scores[[#This Row],[product_key]],tbl_products[[product_key]:[group_display_key]],2,FALSE),"")</f>
        <v/>
      </c>
    </row>
    <row r="1640" spans="8:8" x14ac:dyDescent="0.2">
      <c r="H1640" s="11" t="str">
        <f>IFERROR(VLOOKUP(tbl_product_scores[[#This Row],[product_key]],tbl_products[[product_key]:[group_display_key]],2,FALSE),"")</f>
        <v/>
      </c>
    </row>
    <row r="1641" spans="8:8" x14ac:dyDescent="0.2">
      <c r="H1641" s="11" t="str">
        <f>IFERROR(VLOOKUP(tbl_product_scores[[#This Row],[product_key]],tbl_products[[product_key]:[group_display_key]],2,FALSE),"")</f>
        <v/>
      </c>
    </row>
    <row r="1642" spans="8:8" x14ac:dyDescent="0.2">
      <c r="H1642" s="11" t="str">
        <f>IFERROR(VLOOKUP(tbl_product_scores[[#This Row],[product_key]],tbl_products[[product_key]:[group_display_key]],2,FALSE),"")</f>
        <v/>
      </c>
    </row>
    <row r="1643" spans="8:8" x14ac:dyDescent="0.2">
      <c r="H1643" s="11" t="str">
        <f>IFERROR(VLOOKUP(tbl_product_scores[[#This Row],[product_key]],tbl_products[[product_key]:[group_display_key]],2,FALSE),"")</f>
        <v/>
      </c>
    </row>
    <row r="1644" spans="8:8" x14ac:dyDescent="0.2">
      <c r="H1644" s="11" t="str">
        <f>IFERROR(VLOOKUP(tbl_product_scores[[#This Row],[product_key]],tbl_products[[product_key]:[group_display_key]],2,FALSE),"")</f>
        <v/>
      </c>
    </row>
    <row r="1645" spans="8:8" x14ac:dyDescent="0.2">
      <c r="H1645" s="11" t="str">
        <f>IFERROR(VLOOKUP(tbl_product_scores[[#This Row],[product_key]],tbl_products[[product_key]:[group_display_key]],2,FALSE),"")</f>
        <v/>
      </c>
    </row>
    <row r="1646" spans="8:8" x14ac:dyDescent="0.2">
      <c r="H1646" s="11" t="str">
        <f>IFERROR(VLOOKUP(tbl_product_scores[[#This Row],[product_key]],tbl_products[[product_key]:[group_display_key]],2,FALSE),"")</f>
        <v/>
      </c>
    </row>
    <row r="1647" spans="8:8" x14ac:dyDescent="0.2">
      <c r="H1647" s="11" t="str">
        <f>IFERROR(VLOOKUP(tbl_product_scores[[#This Row],[product_key]],tbl_products[[product_key]:[group_display_key]],2,FALSE),"")</f>
        <v/>
      </c>
    </row>
    <row r="1648" spans="8:8" x14ac:dyDescent="0.2">
      <c r="H1648" s="11" t="str">
        <f>IFERROR(VLOOKUP(tbl_product_scores[[#This Row],[product_key]],tbl_products[[product_key]:[group_display_key]],2,FALSE),"")</f>
        <v/>
      </c>
    </row>
    <row r="1649" spans="8:8" x14ac:dyDescent="0.2">
      <c r="H1649" s="11" t="str">
        <f>IFERROR(VLOOKUP(tbl_product_scores[[#This Row],[product_key]],tbl_products[[product_key]:[group_display_key]],2,FALSE),"")</f>
        <v/>
      </c>
    </row>
    <row r="1650" spans="8:8" x14ac:dyDescent="0.2">
      <c r="H1650" s="11" t="str">
        <f>IFERROR(VLOOKUP(tbl_product_scores[[#This Row],[product_key]],tbl_products[[product_key]:[group_display_key]],2,FALSE),"")</f>
        <v/>
      </c>
    </row>
    <row r="1651" spans="8:8" x14ac:dyDescent="0.2">
      <c r="H1651" s="11" t="str">
        <f>IFERROR(VLOOKUP(tbl_product_scores[[#This Row],[product_key]],tbl_products[[product_key]:[group_display_key]],2,FALSE),"")</f>
        <v/>
      </c>
    </row>
    <row r="1652" spans="8:8" x14ac:dyDescent="0.2">
      <c r="H1652" s="11" t="str">
        <f>IFERROR(VLOOKUP(tbl_product_scores[[#This Row],[product_key]],tbl_products[[product_key]:[group_display_key]],2,FALSE),"")</f>
        <v/>
      </c>
    </row>
    <row r="1653" spans="8:8" x14ac:dyDescent="0.2">
      <c r="H1653" s="11" t="str">
        <f>IFERROR(VLOOKUP(tbl_product_scores[[#This Row],[product_key]],tbl_products[[product_key]:[group_display_key]],2,FALSE),"")</f>
        <v/>
      </c>
    </row>
    <row r="1654" spans="8:8" x14ac:dyDescent="0.2">
      <c r="H1654" s="11" t="str">
        <f>IFERROR(VLOOKUP(tbl_product_scores[[#This Row],[product_key]],tbl_products[[product_key]:[group_display_key]],2,FALSE),"")</f>
        <v/>
      </c>
    </row>
    <row r="1655" spans="8:8" x14ac:dyDescent="0.2">
      <c r="H1655" s="11" t="str">
        <f>IFERROR(VLOOKUP(tbl_product_scores[[#This Row],[product_key]],tbl_products[[product_key]:[group_display_key]],2,FALSE),"")</f>
        <v/>
      </c>
    </row>
    <row r="1656" spans="8:8" x14ac:dyDescent="0.2">
      <c r="H1656" s="11" t="str">
        <f>IFERROR(VLOOKUP(tbl_product_scores[[#This Row],[product_key]],tbl_products[[product_key]:[group_display_key]],2,FALSE),"")</f>
        <v/>
      </c>
    </row>
    <row r="1657" spans="8:8" x14ac:dyDescent="0.2">
      <c r="H1657" s="11" t="str">
        <f>IFERROR(VLOOKUP(tbl_product_scores[[#This Row],[product_key]],tbl_products[[product_key]:[group_display_key]],2,FALSE),"")</f>
        <v/>
      </c>
    </row>
    <row r="1658" spans="8:8" x14ac:dyDescent="0.2">
      <c r="H1658" s="11" t="str">
        <f>IFERROR(VLOOKUP(tbl_product_scores[[#This Row],[product_key]],tbl_products[[product_key]:[group_display_key]],2,FALSE),"")</f>
        <v/>
      </c>
    </row>
    <row r="1659" spans="8:8" x14ac:dyDescent="0.2">
      <c r="H1659" s="11" t="str">
        <f>IFERROR(VLOOKUP(tbl_product_scores[[#This Row],[product_key]],tbl_products[[product_key]:[group_display_key]],2,FALSE),"")</f>
        <v/>
      </c>
    </row>
    <row r="1660" spans="8:8" x14ac:dyDescent="0.2">
      <c r="H1660" s="11" t="str">
        <f>IFERROR(VLOOKUP(tbl_product_scores[[#This Row],[product_key]],tbl_products[[product_key]:[group_display_key]],2,FALSE),"")</f>
        <v/>
      </c>
    </row>
    <row r="1661" spans="8:8" x14ac:dyDescent="0.2">
      <c r="H1661" s="11" t="str">
        <f>IFERROR(VLOOKUP(tbl_product_scores[[#This Row],[product_key]],tbl_products[[product_key]:[group_display_key]],2,FALSE),"")</f>
        <v/>
      </c>
    </row>
    <row r="1662" spans="8:8" x14ac:dyDescent="0.2">
      <c r="H1662" s="11" t="str">
        <f>IFERROR(VLOOKUP(tbl_product_scores[[#This Row],[product_key]],tbl_products[[product_key]:[group_display_key]],2,FALSE),"")</f>
        <v/>
      </c>
    </row>
    <row r="1663" spans="8:8" x14ac:dyDescent="0.2">
      <c r="H1663" s="11" t="str">
        <f>IFERROR(VLOOKUP(tbl_product_scores[[#This Row],[product_key]],tbl_products[[product_key]:[group_display_key]],2,FALSE),"")</f>
        <v/>
      </c>
    </row>
    <row r="1664" spans="8:8" x14ac:dyDescent="0.2">
      <c r="H1664" s="11" t="str">
        <f>IFERROR(VLOOKUP(tbl_product_scores[[#This Row],[product_key]],tbl_products[[product_key]:[group_display_key]],2,FALSE),"")</f>
        <v/>
      </c>
    </row>
    <row r="1665" spans="8:8" x14ac:dyDescent="0.2">
      <c r="H1665" s="11" t="str">
        <f>IFERROR(VLOOKUP(tbl_product_scores[[#This Row],[product_key]],tbl_products[[product_key]:[group_display_key]],2,FALSE),"")</f>
        <v/>
      </c>
    </row>
    <row r="1666" spans="8:8" x14ac:dyDescent="0.2">
      <c r="H1666" s="11" t="str">
        <f>IFERROR(VLOOKUP(tbl_product_scores[[#This Row],[product_key]],tbl_products[[product_key]:[group_display_key]],2,FALSE),"")</f>
        <v/>
      </c>
    </row>
    <row r="1667" spans="8:8" x14ac:dyDescent="0.2">
      <c r="H1667" s="11" t="str">
        <f>IFERROR(VLOOKUP(tbl_product_scores[[#This Row],[product_key]],tbl_products[[product_key]:[group_display_key]],2,FALSE),"")</f>
        <v/>
      </c>
    </row>
    <row r="1668" spans="8:8" x14ac:dyDescent="0.2">
      <c r="H1668" s="11" t="str">
        <f>IFERROR(VLOOKUP(tbl_product_scores[[#This Row],[product_key]],tbl_products[[product_key]:[group_display_key]],2,FALSE),"")</f>
        <v/>
      </c>
    </row>
    <row r="1669" spans="8:8" x14ac:dyDescent="0.2">
      <c r="H1669" s="11" t="str">
        <f>IFERROR(VLOOKUP(tbl_product_scores[[#This Row],[product_key]],tbl_products[[product_key]:[group_display_key]],2,FALSE),"")</f>
        <v/>
      </c>
    </row>
    <row r="1670" spans="8:8" x14ac:dyDescent="0.2">
      <c r="H1670" s="11" t="str">
        <f>IFERROR(VLOOKUP(tbl_product_scores[[#This Row],[product_key]],tbl_products[[product_key]:[group_display_key]],2,FALSE),"")</f>
        <v/>
      </c>
    </row>
    <row r="1671" spans="8:8" x14ac:dyDescent="0.2">
      <c r="H1671" s="11" t="str">
        <f>IFERROR(VLOOKUP(tbl_product_scores[[#This Row],[product_key]],tbl_products[[product_key]:[group_display_key]],2,FALSE),"")</f>
        <v/>
      </c>
    </row>
    <row r="1672" spans="8:8" x14ac:dyDescent="0.2">
      <c r="H1672" s="11" t="str">
        <f>IFERROR(VLOOKUP(tbl_product_scores[[#This Row],[product_key]],tbl_products[[product_key]:[group_display_key]],2,FALSE),"")</f>
        <v/>
      </c>
    </row>
    <row r="1673" spans="8:8" x14ac:dyDescent="0.2">
      <c r="H1673" s="11" t="str">
        <f>IFERROR(VLOOKUP(tbl_product_scores[[#This Row],[product_key]],tbl_products[[product_key]:[group_display_key]],2,FALSE),"")</f>
        <v/>
      </c>
    </row>
    <row r="1674" spans="8:8" x14ac:dyDescent="0.2">
      <c r="H1674" s="11" t="str">
        <f>IFERROR(VLOOKUP(tbl_product_scores[[#This Row],[product_key]],tbl_products[[product_key]:[group_display_key]],2,FALSE),"")</f>
        <v/>
      </c>
    </row>
    <row r="1675" spans="8:8" x14ac:dyDescent="0.2">
      <c r="H1675" s="11" t="str">
        <f>IFERROR(VLOOKUP(tbl_product_scores[[#This Row],[product_key]],tbl_products[[product_key]:[group_display_key]],2,FALSE),"")</f>
        <v/>
      </c>
    </row>
    <row r="1676" spans="8:8" x14ac:dyDescent="0.2">
      <c r="H1676" s="11" t="str">
        <f>IFERROR(VLOOKUP(tbl_product_scores[[#This Row],[product_key]],tbl_products[[product_key]:[group_display_key]],2,FALSE),"")</f>
        <v/>
      </c>
    </row>
    <row r="1677" spans="8:8" x14ac:dyDescent="0.2">
      <c r="H1677" s="11" t="str">
        <f>IFERROR(VLOOKUP(tbl_product_scores[[#This Row],[product_key]],tbl_products[[product_key]:[group_display_key]],2,FALSE),"")</f>
        <v/>
      </c>
    </row>
    <row r="1678" spans="8:8" x14ac:dyDescent="0.2">
      <c r="H1678" s="11" t="str">
        <f>IFERROR(VLOOKUP(tbl_product_scores[[#This Row],[product_key]],tbl_products[[product_key]:[group_display_key]],2,FALSE),"")</f>
        <v/>
      </c>
    </row>
    <row r="1679" spans="8:8" x14ac:dyDescent="0.2">
      <c r="H1679" s="11" t="str">
        <f>IFERROR(VLOOKUP(tbl_product_scores[[#This Row],[product_key]],tbl_products[[product_key]:[group_display_key]],2,FALSE),"")</f>
        <v/>
      </c>
    </row>
    <row r="1680" spans="8:8" x14ac:dyDescent="0.2">
      <c r="H1680" s="11" t="str">
        <f>IFERROR(VLOOKUP(tbl_product_scores[[#This Row],[product_key]],tbl_products[[product_key]:[group_display_key]],2,FALSE),"")</f>
        <v/>
      </c>
    </row>
    <row r="1681" spans="8:8" x14ac:dyDescent="0.2">
      <c r="H1681" s="11" t="str">
        <f>IFERROR(VLOOKUP(tbl_product_scores[[#This Row],[product_key]],tbl_products[[product_key]:[group_display_key]],2,FALSE),"")</f>
        <v/>
      </c>
    </row>
    <row r="1682" spans="8:8" x14ac:dyDescent="0.2">
      <c r="H1682" s="11" t="str">
        <f>IFERROR(VLOOKUP(tbl_product_scores[[#This Row],[product_key]],tbl_products[[product_key]:[group_display_key]],2,FALSE),"")</f>
        <v/>
      </c>
    </row>
    <row r="1683" spans="8:8" x14ac:dyDescent="0.2">
      <c r="H1683" s="11" t="str">
        <f>IFERROR(VLOOKUP(tbl_product_scores[[#This Row],[product_key]],tbl_products[[product_key]:[group_display_key]],2,FALSE),"")</f>
        <v/>
      </c>
    </row>
    <row r="1684" spans="8:8" x14ac:dyDescent="0.2">
      <c r="H1684" s="11" t="str">
        <f>IFERROR(VLOOKUP(tbl_product_scores[[#This Row],[product_key]],tbl_products[[product_key]:[group_display_key]],2,FALSE),"")</f>
        <v/>
      </c>
    </row>
    <row r="1685" spans="8:8" x14ac:dyDescent="0.2">
      <c r="H1685" s="11" t="str">
        <f>IFERROR(VLOOKUP(tbl_product_scores[[#This Row],[product_key]],tbl_products[[product_key]:[group_display_key]],2,FALSE),"")</f>
        <v/>
      </c>
    </row>
    <row r="1686" spans="8:8" x14ac:dyDescent="0.2">
      <c r="H1686" s="11" t="str">
        <f>IFERROR(VLOOKUP(tbl_product_scores[[#This Row],[product_key]],tbl_products[[product_key]:[group_display_key]],2,FALSE),"")</f>
        <v/>
      </c>
    </row>
    <row r="1687" spans="8:8" x14ac:dyDescent="0.2">
      <c r="H1687" s="11" t="str">
        <f>IFERROR(VLOOKUP(tbl_product_scores[[#This Row],[product_key]],tbl_products[[product_key]:[group_display_key]],2,FALSE),"")</f>
        <v/>
      </c>
    </row>
    <row r="1688" spans="8:8" x14ac:dyDescent="0.2">
      <c r="H1688" s="11" t="str">
        <f>IFERROR(VLOOKUP(tbl_product_scores[[#This Row],[product_key]],tbl_products[[product_key]:[group_display_key]],2,FALSE),"")</f>
        <v/>
      </c>
    </row>
    <row r="1689" spans="8:8" x14ac:dyDescent="0.2">
      <c r="H1689" s="11" t="str">
        <f>IFERROR(VLOOKUP(tbl_product_scores[[#This Row],[product_key]],tbl_products[[product_key]:[group_display_key]],2,FALSE),"")</f>
        <v/>
      </c>
    </row>
    <row r="1690" spans="8:8" x14ac:dyDescent="0.2">
      <c r="H1690" s="11" t="str">
        <f>IFERROR(VLOOKUP(tbl_product_scores[[#This Row],[product_key]],tbl_products[[product_key]:[group_display_key]],2,FALSE),"")</f>
        <v/>
      </c>
    </row>
    <row r="1691" spans="8:8" x14ac:dyDescent="0.2">
      <c r="H1691" s="11" t="str">
        <f>IFERROR(VLOOKUP(tbl_product_scores[[#This Row],[product_key]],tbl_products[[product_key]:[group_display_key]],2,FALSE),"")</f>
        <v/>
      </c>
    </row>
    <row r="1692" spans="8:8" x14ac:dyDescent="0.2">
      <c r="H1692" s="11" t="str">
        <f>IFERROR(VLOOKUP(tbl_product_scores[[#This Row],[product_key]],tbl_products[[product_key]:[group_display_key]],2,FALSE),"")</f>
        <v/>
      </c>
    </row>
    <row r="1693" spans="8:8" x14ac:dyDescent="0.2">
      <c r="H1693" s="11" t="str">
        <f>IFERROR(VLOOKUP(tbl_product_scores[[#This Row],[product_key]],tbl_products[[product_key]:[group_display_key]],2,FALSE),"")</f>
        <v/>
      </c>
    </row>
    <row r="1694" spans="8:8" x14ac:dyDescent="0.2">
      <c r="H1694" s="11" t="str">
        <f>IFERROR(VLOOKUP(tbl_product_scores[[#This Row],[product_key]],tbl_products[[product_key]:[group_display_key]],2,FALSE),"")</f>
        <v/>
      </c>
    </row>
    <row r="1695" spans="8:8" x14ac:dyDescent="0.2">
      <c r="H1695" s="11" t="str">
        <f>IFERROR(VLOOKUP(tbl_product_scores[[#This Row],[product_key]],tbl_products[[product_key]:[group_display_key]],2,FALSE),"")</f>
        <v/>
      </c>
    </row>
    <row r="1696" spans="8:8" x14ac:dyDescent="0.2">
      <c r="H1696" s="11" t="str">
        <f>IFERROR(VLOOKUP(tbl_product_scores[[#This Row],[product_key]],tbl_products[[product_key]:[group_display_key]],2,FALSE),"")</f>
        <v/>
      </c>
    </row>
    <row r="1697" spans="8:8" x14ac:dyDescent="0.2">
      <c r="H1697" s="11" t="str">
        <f>IFERROR(VLOOKUP(tbl_product_scores[[#This Row],[product_key]],tbl_products[[product_key]:[group_display_key]],2,FALSE),"")</f>
        <v/>
      </c>
    </row>
    <row r="1698" spans="8:8" x14ac:dyDescent="0.2">
      <c r="H1698" s="11" t="str">
        <f>IFERROR(VLOOKUP(tbl_product_scores[[#This Row],[product_key]],tbl_products[[product_key]:[group_display_key]],2,FALSE),"")</f>
        <v/>
      </c>
    </row>
    <row r="1699" spans="8:8" x14ac:dyDescent="0.2">
      <c r="H1699" s="11" t="str">
        <f>IFERROR(VLOOKUP(tbl_product_scores[[#This Row],[product_key]],tbl_products[[product_key]:[group_display_key]],2,FALSE),"")</f>
        <v/>
      </c>
    </row>
    <row r="1700" spans="8:8" x14ac:dyDescent="0.2">
      <c r="H1700" s="11" t="str">
        <f>IFERROR(VLOOKUP(tbl_product_scores[[#This Row],[product_key]],tbl_products[[product_key]:[group_display_key]],2,FALSE),"")</f>
        <v/>
      </c>
    </row>
    <row r="1701" spans="8:8" x14ac:dyDescent="0.2">
      <c r="H1701" s="11" t="str">
        <f>IFERROR(VLOOKUP(tbl_product_scores[[#This Row],[product_key]],tbl_products[[product_key]:[group_display_key]],2,FALSE),"")</f>
        <v/>
      </c>
    </row>
    <row r="1702" spans="8:8" x14ac:dyDescent="0.2">
      <c r="H1702" s="11" t="str">
        <f>IFERROR(VLOOKUP(tbl_product_scores[[#This Row],[product_key]],tbl_products[[product_key]:[group_display_key]],2,FALSE),"")</f>
        <v/>
      </c>
    </row>
    <row r="1703" spans="8:8" x14ac:dyDescent="0.2">
      <c r="H1703" s="11" t="str">
        <f>IFERROR(VLOOKUP(tbl_product_scores[[#This Row],[product_key]],tbl_products[[product_key]:[group_display_key]],2,FALSE),"")</f>
        <v/>
      </c>
    </row>
    <row r="1704" spans="8:8" x14ac:dyDescent="0.2">
      <c r="H1704" s="11" t="str">
        <f>IFERROR(VLOOKUP(tbl_product_scores[[#This Row],[product_key]],tbl_products[[product_key]:[group_display_key]],2,FALSE),"")</f>
        <v/>
      </c>
    </row>
    <row r="1705" spans="8:8" x14ac:dyDescent="0.2">
      <c r="H1705" s="11" t="str">
        <f>IFERROR(VLOOKUP(tbl_product_scores[[#This Row],[product_key]],tbl_products[[product_key]:[group_display_key]],2,FALSE),"")</f>
        <v/>
      </c>
    </row>
    <row r="1706" spans="8:8" x14ac:dyDescent="0.2">
      <c r="H1706" s="11" t="str">
        <f>IFERROR(VLOOKUP(tbl_product_scores[[#This Row],[product_key]],tbl_products[[product_key]:[group_display_key]],2,FALSE),"")</f>
        <v/>
      </c>
    </row>
    <row r="1707" spans="8:8" x14ac:dyDescent="0.2">
      <c r="H1707" s="11" t="str">
        <f>IFERROR(VLOOKUP(tbl_product_scores[[#This Row],[product_key]],tbl_products[[product_key]:[group_display_key]],2,FALSE),"")</f>
        <v/>
      </c>
    </row>
    <row r="1708" spans="8:8" x14ac:dyDescent="0.2">
      <c r="H1708" s="11" t="str">
        <f>IFERROR(VLOOKUP(tbl_product_scores[[#This Row],[product_key]],tbl_products[[product_key]:[group_display_key]],2,FALSE),"")</f>
        <v/>
      </c>
    </row>
    <row r="1709" spans="8:8" x14ac:dyDescent="0.2">
      <c r="H1709" s="11" t="str">
        <f>IFERROR(VLOOKUP(tbl_product_scores[[#This Row],[product_key]],tbl_products[[product_key]:[group_display_key]],2,FALSE),"")</f>
        <v/>
      </c>
    </row>
    <row r="1710" spans="8:8" x14ac:dyDescent="0.2">
      <c r="H1710" s="11" t="str">
        <f>IFERROR(VLOOKUP(tbl_product_scores[[#This Row],[product_key]],tbl_products[[product_key]:[group_display_key]],2,FALSE),"")</f>
        <v/>
      </c>
    </row>
    <row r="1711" spans="8:8" x14ac:dyDescent="0.2">
      <c r="H1711" s="11" t="str">
        <f>IFERROR(VLOOKUP(tbl_product_scores[[#This Row],[product_key]],tbl_products[[product_key]:[group_display_key]],2,FALSE),"")</f>
        <v/>
      </c>
    </row>
    <row r="1712" spans="8:8" x14ac:dyDescent="0.2">
      <c r="H1712" s="11" t="str">
        <f>IFERROR(VLOOKUP(tbl_product_scores[[#This Row],[product_key]],tbl_products[[product_key]:[group_display_key]],2,FALSE),"")</f>
        <v/>
      </c>
    </row>
    <row r="1713" spans="8:8" x14ac:dyDescent="0.2">
      <c r="H1713" s="11" t="str">
        <f>IFERROR(VLOOKUP(tbl_product_scores[[#This Row],[product_key]],tbl_products[[product_key]:[group_display_key]],2,FALSE),"")</f>
        <v/>
      </c>
    </row>
    <row r="1714" spans="8:8" x14ac:dyDescent="0.2">
      <c r="H1714" s="11" t="str">
        <f>IFERROR(VLOOKUP(tbl_product_scores[[#This Row],[product_key]],tbl_products[[product_key]:[group_display_key]],2,FALSE),"")</f>
        <v/>
      </c>
    </row>
    <row r="1715" spans="8:8" x14ac:dyDescent="0.2">
      <c r="H1715" s="11" t="str">
        <f>IFERROR(VLOOKUP(tbl_product_scores[[#This Row],[product_key]],tbl_products[[product_key]:[group_display_key]],2,FALSE),"")</f>
        <v/>
      </c>
    </row>
    <row r="1716" spans="8:8" x14ac:dyDescent="0.2">
      <c r="H1716" s="11" t="str">
        <f>IFERROR(VLOOKUP(tbl_product_scores[[#This Row],[product_key]],tbl_products[[product_key]:[group_display_key]],2,FALSE),"")</f>
        <v/>
      </c>
    </row>
    <row r="1717" spans="8:8" x14ac:dyDescent="0.2">
      <c r="H1717" s="11" t="str">
        <f>IFERROR(VLOOKUP(tbl_product_scores[[#This Row],[product_key]],tbl_products[[product_key]:[group_display_key]],2,FALSE),"")</f>
        <v/>
      </c>
    </row>
    <row r="1718" spans="8:8" x14ac:dyDescent="0.2">
      <c r="H1718" s="11" t="str">
        <f>IFERROR(VLOOKUP(tbl_product_scores[[#This Row],[product_key]],tbl_products[[product_key]:[group_display_key]],2,FALSE),"")</f>
        <v/>
      </c>
    </row>
    <row r="1719" spans="8:8" x14ac:dyDescent="0.2">
      <c r="H1719" s="11" t="str">
        <f>IFERROR(VLOOKUP(tbl_product_scores[[#This Row],[product_key]],tbl_products[[product_key]:[group_display_key]],2,FALSE),"")</f>
        <v/>
      </c>
    </row>
    <row r="1720" spans="8:8" x14ac:dyDescent="0.2">
      <c r="H1720" s="11" t="str">
        <f>IFERROR(VLOOKUP(tbl_product_scores[[#This Row],[product_key]],tbl_products[[product_key]:[group_display_key]],2,FALSE),"")</f>
        <v/>
      </c>
    </row>
    <row r="1721" spans="8:8" x14ac:dyDescent="0.2">
      <c r="H1721" s="11" t="str">
        <f>IFERROR(VLOOKUP(tbl_product_scores[[#This Row],[product_key]],tbl_products[[product_key]:[group_display_key]],2,FALSE),"")</f>
        <v/>
      </c>
    </row>
    <row r="1722" spans="8:8" x14ac:dyDescent="0.2">
      <c r="H1722" s="11" t="str">
        <f>IFERROR(VLOOKUP(tbl_product_scores[[#This Row],[product_key]],tbl_products[[product_key]:[group_display_key]],2,FALSE),"")</f>
        <v/>
      </c>
    </row>
    <row r="1723" spans="8:8" x14ac:dyDescent="0.2">
      <c r="H1723" s="11" t="str">
        <f>IFERROR(VLOOKUP(tbl_product_scores[[#This Row],[product_key]],tbl_products[[product_key]:[group_display_key]],2,FALSE),"")</f>
        <v/>
      </c>
    </row>
    <row r="1724" spans="8:8" x14ac:dyDescent="0.2">
      <c r="H1724" s="11" t="str">
        <f>IFERROR(VLOOKUP(tbl_product_scores[[#This Row],[product_key]],tbl_products[[product_key]:[group_display_key]],2,FALSE),"")</f>
        <v/>
      </c>
    </row>
    <row r="1725" spans="8:8" x14ac:dyDescent="0.2">
      <c r="H1725" s="11" t="str">
        <f>IFERROR(VLOOKUP(tbl_product_scores[[#This Row],[product_key]],tbl_products[[product_key]:[group_display_key]],2,FALSE),"")</f>
        <v/>
      </c>
    </row>
    <row r="1726" spans="8:8" x14ac:dyDescent="0.2">
      <c r="H1726" s="11" t="str">
        <f>IFERROR(VLOOKUP(tbl_product_scores[[#This Row],[product_key]],tbl_products[[product_key]:[group_display_key]],2,FALSE),"")</f>
        <v/>
      </c>
    </row>
    <row r="1727" spans="8:8" x14ac:dyDescent="0.2">
      <c r="H1727" s="11" t="str">
        <f>IFERROR(VLOOKUP(tbl_product_scores[[#This Row],[product_key]],tbl_products[[product_key]:[group_display_key]],2,FALSE),"")</f>
        <v/>
      </c>
    </row>
    <row r="1728" spans="8:8" x14ac:dyDescent="0.2">
      <c r="H1728" s="11" t="str">
        <f>IFERROR(VLOOKUP(tbl_product_scores[[#This Row],[product_key]],tbl_products[[product_key]:[group_display_key]],2,FALSE),"")</f>
        <v/>
      </c>
    </row>
    <row r="1729" spans="8:8" x14ac:dyDescent="0.2">
      <c r="H1729" s="11" t="str">
        <f>IFERROR(VLOOKUP(tbl_product_scores[[#This Row],[product_key]],tbl_products[[product_key]:[group_display_key]],2,FALSE),"")</f>
        <v/>
      </c>
    </row>
    <row r="1730" spans="8:8" x14ac:dyDescent="0.2">
      <c r="H1730" s="11" t="str">
        <f>IFERROR(VLOOKUP(tbl_product_scores[[#This Row],[product_key]],tbl_products[[product_key]:[group_display_key]],2,FALSE),"")</f>
        <v/>
      </c>
    </row>
    <row r="1731" spans="8:8" x14ac:dyDescent="0.2">
      <c r="H1731" s="11" t="str">
        <f>IFERROR(VLOOKUP(tbl_product_scores[[#This Row],[product_key]],tbl_products[[product_key]:[group_display_key]],2,FALSE),"")</f>
        <v/>
      </c>
    </row>
    <row r="1732" spans="8:8" x14ac:dyDescent="0.2">
      <c r="H1732" s="11" t="str">
        <f>IFERROR(VLOOKUP(tbl_product_scores[[#This Row],[product_key]],tbl_products[[product_key]:[group_display_key]],2,FALSE),"")</f>
        <v/>
      </c>
    </row>
    <row r="1733" spans="8:8" x14ac:dyDescent="0.2">
      <c r="H1733" s="11" t="str">
        <f>IFERROR(VLOOKUP(tbl_product_scores[[#This Row],[product_key]],tbl_products[[product_key]:[group_display_key]],2,FALSE),"")</f>
        <v/>
      </c>
    </row>
    <row r="1734" spans="8:8" x14ac:dyDescent="0.2">
      <c r="H1734" s="11" t="str">
        <f>IFERROR(VLOOKUP(tbl_product_scores[[#This Row],[product_key]],tbl_products[[product_key]:[group_display_key]],2,FALSE),"")</f>
        <v/>
      </c>
    </row>
    <row r="1735" spans="8:8" x14ac:dyDescent="0.2">
      <c r="H1735" s="11" t="str">
        <f>IFERROR(VLOOKUP(tbl_product_scores[[#This Row],[product_key]],tbl_products[[product_key]:[group_display_key]],2,FALSE),"")</f>
        <v/>
      </c>
    </row>
    <row r="1736" spans="8:8" x14ac:dyDescent="0.2">
      <c r="H1736" s="11" t="str">
        <f>IFERROR(VLOOKUP(tbl_product_scores[[#This Row],[product_key]],tbl_products[[product_key]:[group_display_key]],2,FALSE),"")</f>
        <v/>
      </c>
    </row>
    <row r="1737" spans="8:8" x14ac:dyDescent="0.2">
      <c r="H1737" s="11" t="str">
        <f>IFERROR(VLOOKUP(tbl_product_scores[[#This Row],[product_key]],tbl_products[[product_key]:[group_display_key]],2,FALSE),"")</f>
        <v/>
      </c>
    </row>
    <row r="1738" spans="8:8" x14ac:dyDescent="0.2">
      <c r="H1738" s="11" t="str">
        <f>IFERROR(VLOOKUP(tbl_product_scores[[#This Row],[product_key]],tbl_products[[product_key]:[group_display_key]],2,FALSE),"")</f>
        <v/>
      </c>
    </row>
    <row r="1739" spans="8:8" x14ac:dyDescent="0.2">
      <c r="H1739" s="11" t="str">
        <f>IFERROR(VLOOKUP(tbl_product_scores[[#This Row],[product_key]],tbl_products[[product_key]:[group_display_key]],2,FALSE),"")</f>
        <v/>
      </c>
    </row>
    <row r="1740" spans="8:8" x14ac:dyDescent="0.2">
      <c r="H1740" s="11" t="str">
        <f>IFERROR(VLOOKUP(tbl_product_scores[[#This Row],[product_key]],tbl_products[[product_key]:[group_display_key]],2,FALSE),"")</f>
        <v/>
      </c>
    </row>
    <row r="1741" spans="8:8" x14ac:dyDescent="0.2">
      <c r="H1741" s="11" t="str">
        <f>IFERROR(VLOOKUP(tbl_product_scores[[#This Row],[product_key]],tbl_products[[product_key]:[group_display_key]],2,FALSE),"")</f>
        <v/>
      </c>
    </row>
    <row r="1742" spans="8:8" x14ac:dyDescent="0.2">
      <c r="H1742" s="11" t="str">
        <f>IFERROR(VLOOKUP(tbl_product_scores[[#This Row],[product_key]],tbl_products[[product_key]:[group_display_key]],2,FALSE),"")</f>
        <v/>
      </c>
    </row>
    <row r="1743" spans="8:8" x14ac:dyDescent="0.2">
      <c r="H1743" s="11" t="str">
        <f>IFERROR(VLOOKUP(tbl_product_scores[[#This Row],[product_key]],tbl_products[[product_key]:[group_display_key]],2,FALSE),"")</f>
        <v/>
      </c>
    </row>
    <row r="1744" spans="8:8" x14ac:dyDescent="0.2">
      <c r="H1744" s="11" t="str">
        <f>IFERROR(VLOOKUP(tbl_product_scores[[#This Row],[product_key]],tbl_products[[product_key]:[group_display_key]],2,FALSE),"")</f>
        <v/>
      </c>
    </row>
    <row r="1745" spans="8:8" x14ac:dyDescent="0.2">
      <c r="H1745" s="11" t="str">
        <f>IFERROR(VLOOKUP(tbl_product_scores[[#This Row],[product_key]],tbl_products[[product_key]:[group_display_key]],2,FALSE),"")</f>
        <v/>
      </c>
    </row>
    <row r="1746" spans="8:8" x14ac:dyDescent="0.2">
      <c r="H1746" s="11" t="str">
        <f>IFERROR(VLOOKUP(tbl_product_scores[[#This Row],[product_key]],tbl_products[[product_key]:[group_display_key]],2,FALSE),"")</f>
        <v/>
      </c>
    </row>
    <row r="1747" spans="8:8" x14ac:dyDescent="0.2">
      <c r="H1747" s="11" t="str">
        <f>IFERROR(VLOOKUP(tbl_product_scores[[#This Row],[product_key]],tbl_products[[product_key]:[group_display_key]],2,FALSE),"")</f>
        <v/>
      </c>
    </row>
    <row r="1748" spans="8:8" x14ac:dyDescent="0.2">
      <c r="H1748" s="11" t="str">
        <f>IFERROR(VLOOKUP(tbl_product_scores[[#This Row],[product_key]],tbl_products[[product_key]:[group_display_key]],2,FALSE),"")</f>
        <v/>
      </c>
    </row>
    <row r="1749" spans="8:8" x14ac:dyDescent="0.2">
      <c r="H1749" s="11" t="str">
        <f>IFERROR(VLOOKUP(tbl_product_scores[[#This Row],[product_key]],tbl_products[[product_key]:[group_display_key]],2,FALSE),"")</f>
        <v/>
      </c>
    </row>
    <row r="1750" spans="8:8" x14ac:dyDescent="0.2">
      <c r="H1750" s="11" t="str">
        <f>IFERROR(VLOOKUP(tbl_product_scores[[#This Row],[product_key]],tbl_products[[product_key]:[group_display_key]],2,FALSE),"")</f>
        <v/>
      </c>
    </row>
    <row r="1751" spans="8:8" x14ac:dyDescent="0.2">
      <c r="H1751" s="11" t="str">
        <f>IFERROR(VLOOKUP(tbl_product_scores[[#This Row],[product_key]],tbl_products[[product_key]:[group_display_key]],2,FALSE),"")</f>
        <v/>
      </c>
    </row>
    <row r="1752" spans="8:8" x14ac:dyDescent="0.2">
      <c r="H1752" s="11" t="str">
        <f>IFERROR(VLOOKUP(tbl_product_scores[[#This Row],[product_key]],tbl_products[[product_key]:[group_display_key]],2,FALSE),"")</f>
        <v/>
      </c>
    </row>
    <row r="1753" spans="8:8" x14ac:dyDescent="0.2">
      <c r="H1753" s="11" t="str">
        <f>IFERROR(VLOOKUP(tbl_product_scores[[#This Row],[product_key]],tbl_products[[product_key]:[group_display_key]],2,FALSE),"")</f>
        <v/>
      </c>
    </row>
    <row r="1754" spans="8:8" x14ac:dyDescent="0.2">
      <c r="H1754" s="11" t="str">
        <f>IFERROR(VLOOKUP(tbl_product_scores[[#This Row],[product_key]],tbl_products[[product_key]:[group_display_key]],2,FALSE),"")</f>
        <v/>
      </c>
    </row>
    <row r="1755" spans="8:8" x14ac:dyDescent="0.2">
      <c r="H1755" s="11" t="str">
        <f>IFERROR(VLOOKUP(tbl_product_scores[[#This Row],[product_key]],tbl_products[[product_key]:[group_display_key]],2,FALSE),"")</f>
        <v/>
      </c>
    </row>
    <row r="1756" spans="8:8" x14ac:dyDescent="0.2">
      <c r="H1756" s="11" t="str">
        <f>IFERROR(VLOOKUP(tbl_product_scores[[#This Row],[product_key]],tbl_products[[product_key]:[group_display_key]],2,FALSE),"")</f>
        <v/>
      </c>
    </row>
    <row r="1757" spans="8:8" x14ac:dyDescent="0.2">
      <c r="H1757" s="11" t="str">
        <f>IFERROR(VLOOKUP(tbl_product_scores[[#This Row],[product_key]],tbl_products[[product_key]:[group_display_key]],2,FALSE),"")</f>
        <v/>
      </c>
    </row>
    <row r="1758" spans="8:8" x14ac:dyDescent="0.2">
      <c r="H1758" s="11" t="str">
        <f>IFERROR(VLOOKUP(tbl_product_scores[[#This Row],[product_key]],tbl_products[[product_key]:[group_display_key]],2,FALSE),"")</f>
        <v/>
      </c>
    </row>
    <row r="1759" spans="8:8" x14ac:dyDescent="0.2">
      <c r="H1759" s="11" t="str">
        <f>IFERROR(VLOOKUP(tbl_product_scores[[#This Row],[product_key]],tbl_products[[product_key]:[group_display_key]],2,FALSE),"")</f>
        <v/>
      </c>
    </row>
    <row r="1760" spans="8:8" x14ac:dyDescent="0.2">
      <c r="H1760" s="11" t="str">
        <f>IFERROR(VLOOKUP(tbl_product_scores[[#This Row],[product_key]],tbl_products[[product_key]:[group_display_key]],2,FALSE),"")</f>
        <v/>
      </c>
    </row>
    <row r="1761" spans="8:8" x14ac:dyDescent="0.2">
      <c r="H1761" s="11" t="str">
        <f>IFERROR(VLOOKUP(tbl_product_scores[[#This Row],[product_key]],tbl_products[[product_key]:[group_display_key]],2,FALSE),"")</f>
        <v/>
      </c>
    </row>
    <row r="1762" spans="8:8" x14ac:dyDescent="0.2">
      <c r="H1762" s="11" t="str">
        <f>IFERROR(VLOOKUP(tbl_product_scores[[#This Row],[product_key]],tbl_products[[product_key]:[group_display_key]],2,FALSE),"")</f>
        <v/>
      </c>
    </row>
    <row r="1763" spans="8:8" x14ac:dyDescent="0.2">
      <c r="H1763" s="11" t="str">
        <f>IFERROR(VLOOKUP(tbl_product_scores[[#This Row],[product_key]],tbl_products[[product_key]:[group_display_key]],2,FALSE),"")</f>
        <v/>
      </c>
    </row>
    <row r="1764" spans="8:8" x14ac:dyDescent="0.2">
      <c r="H1764" s="11" t="str">
        <f>IFERROR(VLOOKUP(tbl_product_scores[[#This Row],[product_key]],tbl_products[[product_key]:[group_display_key]],2,FALSE),"")</f>
        <v/>
      </c>
    </row>
    <row r="1765" spans="8:8" x14ac:dyDescent="0.2">
      <c r="H1765" s="11" t="str">
        <f>IFERROR(VLOOKUP(tbl_product_scores[[#This Row],[product_key]],tbl_products[[product_key]:[group_display_key]],2,FALSE),"")</f>
        <v/>
      </c>
    </row>
    <row r="1766" spans="8:8" x14ac:dyDescent="0.2">
      <c r="H1766" s="11" t="str">
        <f>IFERROR(VLOOKUP(tbl_product_scores[[#This Row],[product_key]],tbl_products[[product_key]:[group_display_key]],2,FALSE),"")</f>
        <v/>
      </c>
    </row>
    <row r="1767" spans="8:8" x14ac:dyDescent="0.2">
      <c r="H1767" s="11" t="str">
        <f>IFERROR(VLOOKUP(tbl_product_scores[[#This Row],[product_key]],tbl_products[[product_key]:[group_display_key]],2,FALSE),"")</f>
        <v/>
      </c>
    </row>
    <row r="1768" spans="8:8" x14ac:dyDescent="0.2">
      <c r="H1768" s="11" t="str">
        <f>IFERROR(VLOOKUP(tbl_product_scores[[#This Row],[product_key]],tbl_products[[product_key]:[group_display_key]],2,FALSE),"")</f>
        <v/>
      </c>
    </row>
    <row r="1769" spans="8:8" x14ac:dyDescent="0.2">
      <c r="H1769" s="11" t="str">
        <f>IFERROR(VLOOKUP(tbl_product_scores[[#This Row],[product_key]],tbl_products[[product_key]:[group_display_key]],2,FALSE),"")</f>
        <v/>
      </c>
    </row>
    <row r="1770" spans="8:8" x14ac:dyDescent="0.2">
      <c r="H1770" s="11" t="str">
        <f>IFERROR(VLOOKUP(tbl_product_scores[[#This Row],[product_key]],tbl_products[[product_key]:[group_display_key]],2,FALSE),"")</f>
        <v/>
      </c>
    </row>
    <row r="1771" spans="8:8" x14ac:dyDescent="0.2">
      <c r="H1771" s="11" t="str">
        <f>IFERROR(VLOOKUP(tbl_product_scores[[#This Row],[product_key]],tbl_products[[product_key]:[group_display_key]],2,FALSE),"")</f>
        <v/>
      </c>
    </row>
    <row r="1772" spans="8:8" x14ac:dyDescent="0.2">
      <c r="H1772" s="11" t="str">
        <f>IFERROR(VLOOKUP(tbl_product_scores[[#This Row],[product_key]],tbl_products[[product_key]:[group_display_key]],2,FALSE),"")</f>
        <v/>
      </c>
    </row>
    <row r="1773" spans="8:8" x14ac:dyDescent="0.2">
      <c r="H1773" s="11" t="str">
        <f>IFERROR(VLOOKUP(tbl_product_scores[[#This Row],[product_key]],tbl_products[[product_key]:[group_display_key]],2,FALSE),"")</f>
        <v/>
      </c>
    </row>
    <row r="1774" spans="8:8" x14ac:dyDescent="0.2">
      <c r="H1774" s="11" t="str">
        <f>IFERROR(VLOOKUP(tbl_product_scores[[#This Row],[product_key]],tbl_products[[product_key]:[group_display_key]],2,FALSE),"")</f>
        <v/>
      </c>
    </row>
    <row r="1775" spans="8:8" x14ac:dyDescent="0.2">
      <c r="H1775" s="11" t="str">
        <f>IFERROR(VLOOKUP(tbl_product_scores[[#This Row],[product_key]],tbl_products[[product_key]:[group_display_key]],2,FALSE),"")</f>
        <v/>
      </c>
    </row>
    <row r="1776" spans="8:8" x14ac:dyDescent="0.2">
      <c r="H1776" s="11" t="str">
        <f>IFERROR(VLOOKUP(tbl_product_scores[[#This Row],[product_key]],tbl_products[[product_key]:[group_display_key]],2,FALSE),"")</f>
        <v/>
      </c>
    </row>
    <row r="1777" spans="8:8" x14ac:dyDescent="0.2">
      <c r="H1777" s="11" t="str">
        <f>IFERROR(VLOOKUP(tbl_product_scores[[#This Row],[product_key]],tbl_products[[product_key]:[group_display_key]],2,FALSE),"")</f>
        <v/>
      </c>
    </row>
    <row r="1778" spans="8:8" x14ac:dyDescent="0.2">
      <c r="H1778" s="11" t="str">
        <f>IFERROR(VLOOKUP(tbl_product_scores[[#This Row],[product_key]],tbl_products[[product_key]:[group_display_key]],2,FALSE),"")</f>
        <v/>
      </c>
    </row>
    <row r="1779" spans="8:8" x14ac:dyDescent="0.2">
      <c r="H1779" s="11" t="str">
        <f>IFERROR(VLOOKUP(tbl_product_scores[[#This Row],[product_key]],tbl_products[[product_key]:[group_display_key]],2,FALSE),"")</f>
        <v/>
      </c>
    </row>
    <row r="1780" spans="8:8" x14ac:dyDescent="0.2">
      <c r="H1780" s="11" t="str">
        <f>IFERROR(VLOOKUP(tbl_product_scores[[#This Row],[product_key]],tbl_products[[product_key]:[group_display_key]],2,FALSE),"")</f>
        <v/>
      </c>
    </row>
    <row r="1781" spans="8:8" x14ac:dyDescent="0.2">
      <c r="H1781" s="11" t="str">
        <f>IFERROR(VLOOKUP(tbl_product_scores[[#This Row],[product_key]],tbl_products[[product_key]:[group_display_key]],2,FALSE),"")</f>
        <v/>
      </c>
    </row>
    <row r="1782" spans="8:8" x14ac:dyDescent="0.2">
      <c r="H1782" s="11" t="str">
        <f>IFERROR(VLOOKUP(tbl_product_scores[[#This Row],[product_key]],tbl_products[[product_key]:[group_display_key]],2,FALSE),"")</f>
        <v/>
      </c>
    </row>
    <row r="1783" spans="8:8" x14ac:dyDescent="0.2">
      <c r="H1783" s="11" t="str">
        <f>IFERROR(VLOOKUP(tbl_product_scores[[#This Row],[product_key]],tbl_products[[product_key]:[group_display_key]],2,FALSE),"")</f>
        <v/>
      </c>
    </row>
    <row r="1784" spans="8:8" x14ac:dyDescent="0.2">
      <c r="H1784" s="11" t="str">
        <f>IFERROR(VLOOKUP(tbl_product_scores[[#This Row],[product_key]],tbl_products[[product_key]:[group_display_key]],2,FALSE),"")</f>
        <v/>
      </c>
    </row>
    <row r="1785" spans="8:8" x14ac:dyDescent="0.2">
      <c r="H1785" s="11" t="str">
        <f>IFERROR(VLOOKUP(tbl_product_scores[[#This Row],[product_key]],tbl_products[[product_key]:[group_display_key]],2,FALSE),"")</f>
        <v/>
      </c>
    </row>
    <row r="1786" spans="8:8" x14ac:dyDescent="0.2">
      <c r="H1786" s="11" t="str">
        <f>IFERROR(VLOOKUP(tbl_product_scores[[#This Row],[product_key]],tbl_products[[product_key]:[group_display_key]],2,FALSE),"")</f>
        <v/>
      </c>
    </row>
    <row r="1787" spans="8:8" x14ac:dyDescent="0.2">
      <c r="H1787" s="11" t="str">
        <f>IFERROR(VLOOKUP(tbl_product_scores[[#This Row],[product_key]],tbl_products[[product_key]:[group_display_key]],2,FALSE),"")</f>
        <v/>
      </c>
    </row>
    <row r="1788" spans="8:8" x14ac:dyDescent="0.2">
      <c r="H1788" s="11" t="str">
        <f>IFERROR(VLOOKUP(tbl_product_scores[[#This Row],[product_key]],tbl_products[[product_key]:[group_display_key]],2,FALSE),"")</f>
        <v/>
      </c>
    </row>
    <row r="1789" spans="8:8" x14ac:dyDescent="0.2">
      <c r="H1789" s="11" t="str">
        <f>IFERROR(VLOOKUP(tbl_product_scores[[#This Row],[product_key]],tbl_products[[product_key]:[group_display_key]],2,FALSE),"")</f>
        <v/>
      </c>
    </row>
    <row r="1790" spans="8:8" x14ac:dyDescent="0.2">
      <c r="H1790" s="11" t="str">
        <f>IFERROR(VLOOKUP(tbl_product_scores[[#This Row],[product_key]],tbl_products[[product_key]:[group_display_key]],2,FALSE),"")</f>
        <v/>
      </c>
    </row>
    <row r="1791" spans="8:8" x14ac:dyDescent="0.2">
      <c r="H1791" s="11" t="str">
        <f>IFERROR(VLOOKUP(tbl_product_scores[[#This Row],[product_key]],tbl_products[[product_key]:[group_display_key]],2,FALSE),"")</f>
        <v/>
      </c>
    </row>
    <row r="1792" spans="8:8" x14ac:dyDescent="0.2">
      <c r="H1792" s="11" t="str">
        <f>IFERROR(VLOOKUP(tbl_product_scores[[#This Row],[product_key]],tbl_products[[product_key]:[group_display_key]],2,FALSE),"")</f>
        <v/>
      </c>
    </row>
    <row r="1793" spans="8:8" x14ac:dyDescent="0.2">
      <c r="H1793" s="11" t="str">
        <f>IFERROR(VLOOKUP(tbl_product_scores[[#This Row],[product_key]],tbl_products[[product_key]:[group_display_key]],2,FALSE),"")</f>
        <v/>
      </c>
    </row>
    <row r="1794" spans="8:8" x14ac:dyDescent="0.2">
      <c r="H1794" s="11" t="str">
        <f>IFERROR(VLOOKUP(tbl_product_scores[[#This Row],[product_key]],tbl_products[[product_key]:[group_display_key]],2,FALSE),"")</f>
        <v/>
      </c>
    </row>
    <row r="1795" spans="8:8" x14ac:dyDescent="0.2">
      <c r="H1795" s="11" t="str">
        <f>IFERROR(VLOOKUP(tbl_product_scores[[#This Row],[product_key]],tbl_products[[product_key]:[group_display_key]],2,FALSE),"")</f>
        <v/>
      </c>
    </row>
    <row r="1796" spans="8:8" x14ac:dyDescent="0.2">
      <c r="H1796" s="11" t="str">
        <f>IFERROR(VLOOKUP(tbl_product_scores[[#This Row],[product_key]],tbl_products[[product_key]:[group_display_key]],2,FALSE),"")</f>
        <v/>
      </c>
    </row>
    <row r="1797" spans="8:8" x14ac:dyDescent="0.2">
      <c r="H1797" s="11" t="str">
        <f>IFERROR(VLOOKUP(tbl_product_scores[[#This Row],[product_key]],tbl_products[[product_key]:[group_display_key]],2,FALSE),"")</f>
        <v/>
      </c>
    </row>
    <row r="1798" spans="8:8" x14ac:dyDescent="0.2">
      <c r="H1798" s="11" t="str">
        <f>IFERROR(VLOOKUP(tbl_product_scores[[#This Row],[product_key]],tbl_products[[product_key]:[group_display_key]],2,FALSE),"")</f>
        <v/>
      </c>
    </row>
    <row r="1799" spans="8:8" x14ac:dyDescent="0.2">
      <c r="H1799" s="11" t="str">
        <f>IFERROR(VLOOKUP(tbl_product_scores[[#This Row],[product_key]],tbl_products[[product_key]:[group_display_key]],2,FALSE),"")</f>
        <v/>
      </c>
    </row>
    <row r="1800" spans="8:8" x14ac:dyDescent="0.2">
      <c r="H1800" s="11" t="str">
        <f>IFERROR(VLOOKUP(tbl_product_scores[[#This Row],[product_key]],tbl_products[[product_key]:[group_display_key]],2,FALSE),"")</f>
        <v/>
      </c>
    </row>
    <row r="1801" spans="8:8" x14ac:dyDescent="0.2">
      <c r="H1801" s="11" t="str">
        <f>IFERROR(VLOOKUP(tbl_product_scores[[#This Row],[product_key]],tbl_products[[product_key]:[group_display_key]],2,FALSE),"")</f>
        <v/>
      </c>
    </row>
    <row r="1802" spans="8:8" x14ac:dyDescent="0.2">
      <c r="H1802" s="11" t="str">
        <f>IFERROR(VLOOKUP(tbl_product_scores[[#This Row],[product_key]],tbl_products[[product_key]:[group_display_key]],2,FALSE),"")</f>
        <v/>
      </c>
    </row>
    <row r="1803" spans="8:8" x14ac:dyDescent="0.2">
      <c r="H1803" s="11" t="str">
        <f>IFERROR(VLOOKUP(tbl_product_scores[[#This Row],[product_key]],tbl_products[[product_key]:[group_display_key]],2,FALSE),"")</f>
        <v/>
      </c>
    </row>
    <row r="1804" spans="8:8" x14ac:dyDescent="0.2">
      <c r="H1804" s="11" t="str">
        <f>IFERROR(VLOOKUP(tbl_product_scores[[#This Row],[product_key]],tbl_products[[product_key]:[group_display_key]],2,FALSE),"")</f>
        <v/>
      </c>
    </row>
    <row r="1805" spans="8:8" x14ac:dyDescent="0.2">
      <c r="H1805" s="11" t="str">
        <f>IFERROR(VLOOKUP(tbl_product_scores[[#This Row],[product_key]],tbl_products[[product_key]:[group_display_key]],2,FALSE),"")</f>
        <v/>
      </c>
    </row>
    <row r="1806" spans="8:8" x14ac:dyDescent="0.2">
      <c r="H1806" s="11" t="str">
        <f>IFERROR(VLOOKUP(tbl_product_scores[[#This Row],[product_key]],tbl_products[[product_key]:[group_display_key]],2,FALSE),"")</f>
        <v/>
      </c>
    </row>
    <row r="1807" spans="8:8" x14ac:dyDescent="0.2">
      <c r="H1807" s="11" t="str">
        <f>IFERROR(VLOOKUP(tbl_product_scores[[#This Row],[product_key]],tbl_products[[product_key]:[group_display_key]],2,FALSE),"")</f>
        <v/>
      </c>
    </row>
    <row r="1808" spans="8:8" x14ac:dyDescent="0.2">
      <c r="H1808" s="11" t="str">
        <f>IFERROR(VLOOKUP(tbl_product_scores[[#This Row],[product_key]],tbl_products[[product_key]:[group_display_key]],2,FALSE),"")</f>
        <v/>
      </c>
    </row>
    <row r="1809" spans="8:8" x14ac:dyDescent="0.2">
      <c r="H1809" s="11" t="str">
        <f>IFERROR(VLOOKUP(tbl_product_scores[[#This Row],[product_key]],tbl_products[[product_key]:[group_display_key]],2,FALSE),"")</f>
        <v/>
      </c>
    </row>
    <row r="1810" spans="8:8" x14ac:dyDescent="0.2">
      <c r="H1810" s="11" t="str">
        <f>IFERROR(VLOOKUP(tbl_product_scores[[#This Row],[product_key]],tbl_products[[product_key]:[group_display_key]],2,FALSE),"")</f>
        <v/>
      </c>
    </row>
    <row r="1811" spans="8:8" x14ac:dyDescent="0.2">
      <c r="H1811" s="11" t="str">
        <f>IFERROR(VLOOKUP(tbl_product_scores[[#This Row],[product_key]],tbl_products[[product_key]:[group_display_key]],2,FALSE),"")</f>
        <v/>
      </c>
    </row>
    <row r="1812" spans="8:8" x14ac:dyDescent="0.2">
      <c r="H1812" s="11" t="str">
        <f>IFERROR(VLOOKUP(tbl_product_scores[[#This Row],[product_key]],tbl_products[[product_key]:[group_display_key]],2,FALSE),"")</f>
        <v/>
      </c>
    </row>
    <row r="1813" spans="8:8" x14ac:dyDescent="0.2">
      <c r="H1813" s="11" t="str">
        <f>IFERROR(VLOOKUP(tbl_product_scores[[#This Row],[product_key]],tbl_products[[product_key]:[group_display_key]],2,FALSE),"")</f>
        <v/>
      </c>
    </row>
    <row r="1814" spans="8:8" x14ac:dyDescent="0.2">
      <c r="H1814" s="11" t="str">
        <f>IFERROR(VLOOKUP(tbl_product_scores[[#This Row],[product_key]],tbl_products[[product_key]:[group_display_key]],2,FALSE),"")</f>
        <v/>
      </c>
    </row>
    <row r="1815" spans="8:8" x14ac:dyDescent="0.2">
      <c r="H1815" s="11" t="str">
        <f>IFERROR(VLOOKUP(tbl_product_scores[[#This Row],[product_key]],tbl_products[[product_key]:[group_display_key]],2,FALSE),"")</f>
        <v/>
      </c>
    </row>
    <row r="1816" spans="8:8" x14ac:dyDescent="0.2">
      <c r="H1816" s="11" t="str">
        <f>IFERROR(VLOOKUP(tbl_product_scores[[#This Row],[product_key]],tbl_products[[product_key]:[group_display_key]],2,FALSE),"")</f>
        <v/>
      </c>
    </row>
    <row r="1817" spans="8:8" x14ac:dyDescent="0.2">
      <c r="H1817" s="11" t="str">
        <f>IFERROR(VLOOKUP(tbl_product_scores[[#This Row],[product_key]],tbl_products[[product_key]:[group_display_key]],2,FALSE),"")</f>
        <v/>
      </c>
    </row>
    <row r="1818" spans="8:8" x14ac:dyDescent="0.2">
      <c r="H1818" s="11" t="str">
        <f>IFERROR(VLOOKUP(tbl_product_scores[[#This Row],[product_key]],tbl_products[[product_key]:[group_display_key]],2,FALSE),"")</f>
        <v/>
      </c>
    </row>
    <row r="1819" spans="8:8" x14ac:dyDescent="0.2">
      <c r="H1819" s="11" t="str">
        <f>IFERROR(VLOOKUP(tbl_product_scores[[#This Row],[product_key]],tbl_products[[product_key]:[group_display_key]],2,FALSE),"")</f>
        <v/>
      </c>
    </row>
    <row r="1820" spans="8:8" x14ac:dyDescent="0.2">
      <c r="H1820" s="11" t="str">
        <f>IFERROR(VLOOKUP(tbl_product_scores[[#This Row],[product_key]],tbl_products[[product_key]:[group_display_key]],2,FALSE),"")</f>
        <v/>
      </c>
    </row>
    <row r="1821" spans="8:8" x14ac:dyDescent="0.2">
      <c r="H1821" s="11" t="str">
        <f>IFERROR(VLOOKUP(tbl_product_scores[[#This Row],[product_key]],tbl_products[[product_key]:[group_display_key]],2,FALSE),"")</f>
        <v/>
      </c>
    </row>
    <row r="1822" spans="8:8" x14ac:dyDescent="0.2">
      <c r="H1822" s="11" t="str">
        <f>IFERROR(VLOOKUP(tbl_product_scores[[#This Row],[product_key]],tbl_products[[product_key]:[group_display_key]],2,FALSE),"")</f>
        <v/>
      </c>
    </row>
    <row r="1823" spans="8:8" x14ac:dyDescent="0.2">
      <c r="H1823" s="11" t="str">
        <f>IFERROR(VLOOKUP(tbl_product_scores[[#This Row],[product_key]],tbl_products[[product_key]:[group_display_key]],2,FALSE),"")</f>
        <v/>
      </c>
    </row>
    <row r="1824" spans="8:8" x14ac:dyDescent="0.2">
      <c r="H1824" s="11" t="str">
        <f>IFERROR(VLOOKUP(tbl_product_scores[[#This Row],[product_key]],tbl_products[[product_key]:[group_display_key]],2,FALSE),"")</f>
        <v/>
      </c>
    </row>
    <row r="1825" spans="8:8" x14ac:dyDescent="0.2">
      <c r="H1825" s="11" t="str">
        <f>IFERROR(VLOOKUP(tbl_product_scores[[#This Row],[product_key]],tbl_products[[product_key]:[group_display_key]],2,FALSE),"")</f>
        <v/>
      </c>
    </row>
    <row r="1826" spans="8:8" x14ac:dyDescent="0.2">
      <c r="H1826" s="11" t="str">
        <f>IFERROR(VLOOKUP(tbl_product_scores[[#This Row],[product_key]],tbl_products[[product_key]:[group_display_key]],2,FALSE),"")</f>
        <v/>
      </c>
    </row>
    <row r="1827" spans="8:8" x14ac:dyDescent="0.2">
      <c r="H1827" s="11" t="str">
        <f>IFERROR(VLOOKUP(tbl_product_scores[[#This Row],[product_key]],tbl_products[[product_key]:[group_display_key]],2,FALSE),"")</f>
        <v/>
      </c>
    </row>
    <row r="1828" spans="8:8" x14ac:dyDescent="0.2">
      <c r="H1828" s="11" t="str">
        <f>IFERROR(VLOOKUP(tbl_product_scores[[#This Row],[product_key]],tbl_products[[product_key]:[group_display_key]],2,FALSE),"")</f>
        <v/>
      </c>
    </row>
    <row r="1829" spans="8:8" x14ac:dyDescent="0.2">
      <c r="H1829" s="11" t="str">
        <f>IFERROR(VLOOKUP(tbl_product_scores[[#This Row],[product_key]],tbl_products[[product_key]:[group_display_key]],2,FALSE),"")</f>
        <v/>
      </c>
    </row>
    <row r="1830" spans="8:8" x14ac:dyDescent="0.2">
      <c r="H1830" s="11" t="str">
        <f>IFERROR(VLOOKUP(tbl_product_scores[[#This Row],[product_key]],tbl_products[[product_key]:[group_display_key]],2,FALSE),"")</f>
        <v/>
      </c>
    </row>
    <row r="1831" spans="8:8" x14ac:dyDescent="0.2">
      <c r="H1831" s="11" t="str">
        <f>IFERROR(VLOOKUP(tbl_product_scores[[#This Row],[product_key]],tbl_products[[product_key]:[group_display_key]],2,FALSE),"")</f>
        <v/>
      </c>
    </row>
    <row r="1832" spans="8:8" x14ac:dyDescent="0.2">
      <c r="H1832" s="11" t="str">
        <f>IFERROR(VLOOKUP(tbl_product_scores[[#This Row],[product_key]],tbl_products[[product_key]:[group_display_key]],2,FALSE),"")</f>
        <v/>
      </c>
    </row>
    <row r="1833" spans="8:8" x14ac:dyDescent="0.2">
      <c r="H1833" s="11" t="str">
        <f>IFERROR(VLOOKUP(tbl_product_scores[[#This Row],[product_key]],tbl_products[[product_key]:[group_display_key]],2,FALSE),"")</f>
        <v/>
      </c>
    </row>
    <row r="1834" spans="8:8" x14ac:dyDescent="0.2">
      <c r="H1834" s="11" t="str">
        <f>IFERROR(VLOOKUP(tbl_product_scores[[#This Row],[product_key]],tbl_products[[product_key]:[group_display_key]],2,FALSE),"")</f>
        <v/>
      </c>
    </row>
    <row r="1835" spans="8:8" x14ac:dyDescent="0.2">
      <c r="H1835" s="11" t="str">
        <f>IFERROR(VLOOKUP(tbl_product_scores[[#This Row],[product_key]],tbl_products[[product_key]:[group_display_key]],2,FALSE),"")</f>
        <v/>
      </c>
    </row>
    <row r="1836" spans="8:8" x14ac:dyDescent="0.2">
      <c r="H1836" s="11" t="str">
        <f>IFERROR(VLOOKUP(tbl_product_scores[[#This Row],[product_key]],tbl_products[[product_key]:[group_display_key]],2,FALSE),"")</f>
        <v/>
      </c>
    </row>
    <row r="1837" spans="8:8" x14ac:dyDescent="0.2">
      <c r="H1837" s="11" t="str">
        <f>IFERROR(VLOOKUP(tbl_product_scores[[#This Row],[product_key]],tbl_products[[product_key]:[group_display_key]],2,FALSE),"")</f>
        <v/>
      </c>
    </row>
    <row r="1838" spans="8:8" x14ac:dyDescent="0.2">
      <c r="H1838" s="11" t="str">
        <f>IFERROR(VLOOKUP(tbl_product_scores[[#This Row],[product_key]],tbl_products[[product_key]:[group_display_key]],2,FALSE),"")</f>
        <v/>
      </c>
    </row>
    <row r="1839" spans="8:8" x14ac:dyDescent="0.2">
      <c r="H1839" s="11" t="str">
        <f>IFERROR(VLOOKUP(tbl_product_scores[[#This Row],[product_key]],tbl_products[[product_key]:[group_display_key]],2,FALSE),"")</f>
        <v/>
      </c>
    </row>
    <row r="1840" spans="8:8" x14ac:dyDescent="0.2">
      <c r="H1840" s="11" t="str">
        <f>IFERROR(VLOOKUP(tbl_product_scores[[#This Row],[product_key]],tbl_products[[product_key]:[group_display_key]],2,FALSE),"")</f>
        <v/>
      </c>
    </row>
    <row r="1841" spans="8:8" x14ac:dyDescent="0.2">
      <c r="H1841" s="11" t="str">
        <f>IFERROR(VLOOKUP(tbl_product_scores[[#This Row],[product_key]],tbl_products[[product_key]:[group_display_key]],2,FALSE),"")</f>
        <v/>
      </c>
    </row>
    <row r="1842" spans="8:8" x14ac:dyDescent="0.2">
      <c r="H1842" s="11" t="str">
        <f>IFERROR(VLOOKUP(tbl_product_scores[[#This Row],[product_key]],tbl_products[[product_key]:[group_display_key]],2,FALSE),"")</f>
        <v/>
      </c>
    </row>
    <row r="1843" spans="8:8" x14ac:dyDescent="0.2">
      <c r="H1843" s="11" t="str">
        <f>IFERROR(VLOOKUP(tbl_product_scores[[#This Row],[product_key]],tbl_products[[product_key]:[group_display_key]],2,FALSE),"")</f>
        <v/>
      </c>
    </row>
    <row r="1844" spans="8:8" x14ac:dyDescent="0.2">
      <c r="H1844" s="11" t="str">
        <f>IFERROR(VLOOKUP(tbl_product_scores[[#This Row],[product_key]],tbl_products[[product_key]:[group_display_key]],2,FALSE),"")</f>
        <v/>
      </c>
    </row>
    <row r="1845" spans="8:8" x14ac:dyDescent="0.2">
      <c r="H1845" s="11" t="str">
        <f>IFERROR(VLOOKUP(tbl_product_scores[[#This Row],[product_key]],tbl_products[[product_key]:[group_display_key]],2,FALSE),"")</f>
        <v/>
      </c>
    </row>
    <row r="1846" spans="8:8" x14ac:dyDescent="0.2">
      <c r="H1846" s="11" t="str">
        <f>IFERROR(VLOOKUP(tbl_product_scores[[#This Row],[product_key]],tbl_products[[product_key]:[group_display_key]],2,FALSE),"")</f>
        <v/>
      </c>
    </row>
    <row r="1847" spans="8:8" x14ac:dyDescent="0.2">
      <c r="H1847" s="11" t="str">
        <f>IFERROR(VLOOKUP(tbl_product_scores[[#This Row],[product_key]],tbl_products[[product_key]:[group_display_key]],2,FALSE),"")</f>
        <v/>
      </c>
    </row>
    <row r="1848" spans="8:8" x14ac:dyDescent="0.2">
      <c r="H1848" s="11" t="str">
        <f>IFERROR(VLOOKUP(tbl_product_scores[[#This Row],[product_key]],tbl_products[[product_key]:[group_display_key]],2,FALSE),"")</f>
        <v/>
      </c>
    </row>
    <row r="1849" spans="8:8" x14ac:dyDescent="0.2">
      <c r="H1849" s="11" t="str">
        <f>IFERROR(VLOOKUP(tbl_product_scores[[#This Row],[product_key]],tbl_products[[product_key]:[group_display_key]],2,FALSE),"")</f>
        <v/>
      </c>
    </row>
    <row r="1850" spans="8:8" x14ac:dyDescent="0.2">
      <c r="H1850" s="11" t="str">
        <f>IFERROR(VLOOKUP(tbl_product_scores[[#This Row],[product_key]],tbl_products[[product_key]:[group_display_key]],2,FALSE),"")</f>
        <v/>
      </c>
    </row>
    <row r="1851" spans="8:8" x14ac:dyDescent="0.2">
      <c r="H1851" s="11" t="str">
        <f>IFERROR(VLOOKUP(tbl_product_scores[[#This Row],[product_key]],tbl_products[[product_key]:[group_display_key]],2,FALSE),"")</f>
        <v/>
      </c>
    </row>
    <row r="1852" spans="8:8" x14ac:dyDescent="0.2">
      <c r="H1852" s="11" t="str">
        <f>IFERROR(VLOOKUP(tbl_product_scores[[#This Row],[product_key]],tbl_products[[product_key]:[group_display_key]],2,FALSE),"")</f>
        <v/>
      </c>
    </row>
    <row r="1853" spans="8:8" x14ac:dyDescent="0.2">
      <c r="H1853" s="11" t="str">
        <f>IFERROR(VLOOKUP(tbl_product_scores[[#This Row],[product_key]],tbl_products[[product_key]:[group_display_key]],2,FALSE),"")</f>
        <v/>
      </c>
    </row>
    <row r="1854" spans="8:8" x14ac:dyDescent="0.2">
      <c r="H1854" s="11" t="str">
        <f>IFERROR(VLOOKUP(tbl_product_scores[[#This Row],[product_key]],tbl_products[[product_key]:[group_display_key]],2,FALSE),"")</f>
        <v/>
      </c>
    </row>
    <row r="1855" spans="8:8" x14ac:dyDescent="0.2">
      <c r="H1855" s="11" t="str">
        <f>IFERROR(VLOOKUP(tbl_product_scores[[#This Row],[product_key]],tbl_products[[product_key]:[group_display_key]],2,FALSE),"")</f>
        <v/>
      </c>
    </row>
    <row r="1856" spans="8:8" x14ac:dyDescent="0.2">
      <c r="H1856" s="11" t="str">
        <f>IFERROR(VLOOKUP(tbl_product_scores[[#This Row],[product_key]],tbl_products[[product_key]:[group_display_key]],2,FALSE),"")</f>
        <v/>
      </c>
    </row>
    <row r="1857" spans="8:8" x14ac:dyDescent="0.2">
      <c r="H1857" s="11" t="str">
        <f>IFERROR(VLOOKUP(tbl_product_scores[[#This Row],[product_key]],tbl_products[[product_key]:[group_display_key]],2,FALSE),"")</f>
        <v/>
      </c>
    </row>
    <row r="1858" spans="8:8" x14ac:dyDescent="0.2">
      <c r="H1858" s="11" t="str">
        <f>IFERROR(VLOOKUP(tbl_product_scores[[#This Row],[product_key]],tbl_products[[product_key]:[group_display_key]],2,FALSE),"")</f>
        <v/>
      </c>
    </row>
    <row r="1859" spans="8:8" x14ac:dyDescent="0.2">
      <c r="H1859" s="11" t="str">
        <f>IFERROR(VLOOKUP(tbl_product_scores[[#This Row],[product_key]],tbl_products[[product_key]:[group_display_key]],2,FALSE),"")</f>
        <v/>
      </c>
    </row>
    <row r="1860" spans="8:8" x14ac:dyDescent="0.2">
      <c r="H1860" s="11" t="str">
        <f>IFERROR(VLOOKUP(tbl_product_scores[[#This Row],[product_key]],tbl_products[[product_key]:[group_display_key]],2,FALSE),"")</f>
        <v/>
      </c>
    </row>
    <row r="1861" spans="8:8" x14ac:dyDescent="0.2">
      <c r="H1861" s="11" t="str">
        <f>IFERROR(VLOOKUP(tbl_product_scores[[#This Row],[product_key]],tbl_products[[product_key]:[group_display_key]],2,FALSE),"")</f>
        <v/>
      </c>
    </row>
    <row r="1862" spans="8:8" x14ac:dyDescent="0.2">
      <c r="H1862" s="11" t="str">
        <f>IFERROR(VLOOKUP(tbl_product_scores[[#This Row],[product_key]],tbl_products[[product_key]:[group_display_key]],2,FALSE),"")</f>
        <v/>
      </c>
    </row>
    <row r="1863" spans="8:8" x14ac:dyDescent="0.2">
      <c r="H1863" s="11" t="str">
        <f>IFERROR(VLOOKUP(tbl_product_scores[[#This Row],[product_key]],tbl_products[[product_key]:[group_display_key]],2,FALSE),"")</f>
        <v/>
      </c>
    </row>
    <row r="1864" spans="8:8" x14ac:dyDescent="0.2">
      <c r="H1864" s="11" t="str">
        <f>IFERROR(VLOOKUP(tbl_product_scores[[#This Row],[product_key]],tbl_products[[product_key]:[group_display_key]],2,FALSE),"")</f>
        <v/>
      </c>
    </row>
    <row r="1865" spans="8:8" x14ac:dyDescent="0.2">
      <c r="H1865" s="11" t="str">
        <f>IFERROR(VLOOKUP(tbl_product_scores[[#This Row],[product_key]],tbl_products[[product_key]:[group_display_key]],2,FALSE),"")</f>
        <v/>
      </c>
    </row>
    <row r="1866" spans="8:8" x14ac:dyDescent="0.2">
      <c r="H1866" s="11" t="str">
        <f>IFERROR(VLOOKUP(tbl_product_scores[[#This Row],[product_key]],tbl_products[[product_key]:[group_display_key]],2,FALSE),"")</f>
        <v/>
      </c>
    </row>
    <row r="1867" spans="8:8" x14ac:dyDescent="0.2">
      <c r="H1867" s="11" t="str">
        <f>IFERROR(VLOOKUP(tbl_product_scores[[#This Row],[product_key]],tbl_products[[product_key]:[group_display_key]],2,FALSE),"")</f>
        <v/>
      </c>
    </row>
    <row r="1868" spans="8:8" x14ac:dyDescent="0.2">
      <c r="H1868" s="11" t="str">
        <f>IFERROR(VLOOKUP(tbl_product_scores[[#This Row],[product_key]],tbl_products[[product_key]:[group_display_key]],2,FALSE),"")</f>
        <v/>
      </c>
    </row>
    <row r="1869" spans="8:8" x14ac:dyDescent="0.2">
      <c r="H1869" s="11" t="str">
        <f>IFERROR(VLOOKUP(tbl_product_scores[[#This Row],[product_key]],tbl_products[[product_key]:[group_display_key]],2,FALSE),"")</f>
        <v/>
      </c>
    </row>
    <row r="1870" spans="8:8" x14ac:dyDescent="0.2">
      <c r="H1870" s="11" t="str">
        <f>IFERROR(VLOOKUP(tbl_product_scores[[#This Row],[product_key]],tbl_products[[product_key]:[group_display_key]],2,FALSE),"")</f>
        <v/>
      </c>
    </row>
    <row r="1871" spans="8:8" x14ac:dyDescent="0.2">
      <c r="H1871" s="11" t="str">
        <f>IFERROR(VLOOKUP(tbl_product_scores[[#This Row],[product_key]],tbl_products[[product_key]:[group_display_key]],2,FALSE),"")</f>
        <v/>
      </c>
    </row>
    <row r="1872" spans="8:8" x14ac:dyDescent="0.2">
      <c r="H1872" s="11" t="str">
        <f>IFERROR(VLOOKUP(tbl_product_scores[[#This Row],[product_key]],tbl_products[[product_key]:[group_display_key]],2,FALSE),"")</f>
        <v/>
      </c>
    </row>
    <row r="1873" spans="8:8" x14ac:dyDescent="0.2">
      <c r="H1873" s="11" t="str">
        <f>IFERROR(VLOOKUP(tbl_product_scores[[#This Row],[product_key]],tbl_products[[product_key]:[group_display_key]],2,FALSE),"")</f>
        <v/>
      </c>
    </row>
    <row r="1874" spans="8:8" x14ac:dyDescent="0.2">
      <c r="H1874" s="11" t="str">
        <f>IFERROR(VLOOKUP(tbl_product_scores[[#This Row],[product_key]],tbl_products[[product_key]:[group_display_key]],2,FALSE),"")</f>
        <v/>
      </c>
    </row>
    <row r="1875" spans="8:8" x14ac:dyDescent="0.2">
      <c r="H1875" s="11" t="str">
        <f>IFERROR(VLOOKUP(tbl_product_scores[[#This Row],[product_key]],tbl_products[[product_key]:[group_display_key]],2,FALSE),"")</f>
        <v/>
      </c>
    </row>
    <row r="1876" spans="8:8" x14ac:dyDescent="0.2">
      <c r="H1876" s="11" t="str">
        <f>IFERROR(VLOOKUP(tbl_product_scores[[#This Row],[product_key]],tbl_products[[product_key]:[group_display_key]],2,FALSE),"")</f>
        <v/>
      </c>
    </row>
    <row r="1877" spans="8:8" x14ac:dyDescent="0.2">
      <c r="H1877" s="11" t="str">
        <f>IFERROR(VLOOKUP(tbl_product_scores[[#This Row],[product_key]],tbl_products[[product_key]:[group_display_key]],2,FALSE),"")</f>
        <v/>
      </c>
    </row>
    <row r="1878" spans="8:8" x14ac:dyDescent="0.2">
      <c r="H1878" s="11" t="str">
        <f>IFERROR(VLOOKUP(tbl_product_scores[[#This Row],[product_key]],tbl_products[[product_key]:[group_display_key]],2,FALSE),"")</f>
        <v/>
      </c>
    </row>
    <row r="1879" spans="8:8" x14ac:dyDescent="0.2">
      <c r="H1879" s="11" t="str">
        <f>IFERROR(VLOOKUP(tbl_product_scores[[#This Row],[product_key]],tbl_products[[product_key]:[group_display_key]],2,FALSE),"")</f>
        <v/>
      </c>
    </row>
    <row r="1880" spans="8:8" x14ac:dyDescent="0.2">
      <c r="H1880" s="11" t="str">
        <f>IFERROR(VLOOKUP(tbl_product_scores[[#This Row],[product_key]],tbl_products[[product_key]:[group_display_key]],2,FALSE),"")</f>
        <v/>
      </c>
    </row>
    <row r="1881" spans="8:8" x14ac:dyDescent="0.2">
      <c r="H1881" s="11" t="str">
        <f>IFERROR(VLOOKUP(tbl_product_scores[[#This Row],[product_key]],tbl_products[[product_key]:[group_display_key]],2,FALSE),"")</f>
        <v/>
      </c>
    </row>
    <row r="1882" spans="8:8" x14ac:dyDescent="0.2">
      <c r="H1882" s="11" t="str">
        <f>IFERROR(VLOOKUP(tbl_product_scores[[#This Row],[product_key]],tbl_products[[product_key]:[group_display_key]],2,FALSE),"")</f>
        <v/>
      </c>
    </row>
    <row r="1883" spans="8:8" x14ac:dyDescent="0.2">
      <c r="H1883" s="11" t="str">
        <f>IFERROR(VLOOKUP(tbl_product_scores[[#This Row],[product_key]],tbl_products[[product_key]:[group_display_key]],2,FALSE),"")</f>
        <v/>
      </c>
    </row>
    <row r="1884" spans="8:8" x14ac:dyDescent="0.2">
      <c r="H1884" s="11" t="str">
        <f>IFERROR(VLOOKUP(tbl_product_scores[[#This Row],[product_key]],tbl_products[[product_key]:[group_display_key]],2,FALSE),"")</f>
        <v/>
      </c>
    </row>
    <row r="1885" spans="8:8" x14ac:dyDescent="0.2">
      <c r="H1885" s="11" t="str">
        <f>IFERROR(VLOOKUP(tbl_product_scores[[#This Row],[product_key]],tbl_products[[product_key]:[group_display_key]],2,FALSE),"")</f>
        <v/>
      </c>
    </row>
    <row r="1886" spans="8:8" x14ac:dyDescent="0.2">
      <c r="H1886" s="11" t="str">
        <f>IFERROR(VLOOKUP(tbl_product_scores[[#This Row],[product_key]],tbl_products[[product_key]:[group_display_key]],2,FALSE),"")</f>
        <v/>
      </c>
    </row>
    <row r="1887" spans="8:8" x14ac:dyDescent="0.2">
      <c r="H1887" s="11" t="str">
        <f>IFERROR(VLOOKUP(tbl_product_scores[[#This Row],[product_key]],tbl_products[[product_key]:[group_display_key]],2,FALSE),"")</f>
        <v/>
      </c>
    </row>
    <row r="1888" spans="8:8" x14ac:dyDescent="0.2">
      <c r="H1888" s="11" t="str">
        <f>IFERROR(VLOOKUP(tbl_product_scores[[#This Row],[product_key]],tbl_products[[product_key]:[group_display_key]],2,FALSE),"")</f>
        <v/>
      </c>
    </row>
    <row r="1889" spans="8:8" x14ac:dyDescent="0.2">
      <c r="H1889" s="11" t="str">
        <f>IFERROR(VLOOKUP(tbl_product_scores[[#This Row],[product_key]],tbl_products[[product_key]:[group_display_key]],2,FALSE),"")</f>
        <v/>
      </c>
    </row>
    <row r="1890" spans="8:8" x14ac:dyDescent="0.2">
      <c r="H1890" s="11" t="str">
        <f>IFERROR(VLOOKUP(tbl_product_scores[[#This Row],[product_key]],tbl_products[[product_key]:[group_display_key]],2,FALSE),"")</f>
        <v/>
      </c>
    </row>
    <row r="1891" spans="8:8" x14ac:dyDescent="0.2">
      <c r="H1891" s="11" t="str">
        <f>IFERROR(VLOOKUP(tbl_product_scores[[#This Row],[product_key]],tbl_products[[product_key]:[group_display_key]],2,FALSE),"")</f>
        <v/>
      </c>
    </row>
    <row r="1892" spans="8:8" x14ac:dyDescent="0.2">
      <c r="H1892" s="11" t="str">
        <f>IFERROR(VLOOKUP(tbl_product_scores[[#This Row],[product_key]],tbl_products[[product_key]:[group_display_key]],2,FALSE),"")</f>
        <v/>
      </c>
    </row>
    <row r="1893" spans="8:8" x14ac:dyDescent="0.2">
      <c r="H1893" s="11" t="str">
        <f>IFERROR(VLOOKUP(tbl_product_scores[[#This Row],[product_key]],tbl_products[[product_key]:[group_display_key]],2,FALSE),"")</f>
        <v/>
      </c>
    </row>
    <row r="1894" spans="8:8" x14ac:dyDescent="0.2">
      <c r="H1894" s="11" t="str">
        <f>IFERROR(VLOOKUP(tbl_product_scores[[#This Row],[product_key]],tbl_products[[product_key]:[group_display_key]],2,FALSE),"")</f>
        <v/>
      </c>
    </row>
    <row r="1895" spans="8:8" x14ac:dyDescent="0.2">
      <c r="H1895" s="11" t="str">
        <f>IFERROR(VLOOKUP(tbl_product_scores[[#This Row],[product_key]],tbl_products[[product_key]:[group_display_key]],2,FALSE),"")</f>
        <v/>
      </c>
    </row>
    <row r="1896" spans="8:8" x14ac:dyDescent="0.2">
      <c r="H1896" s="11" t="str">
        <f>IFERROR(VLOOKUP(tbl_product_scores[[#This Row],[product_key]],tbl_products[[product_key]:[group_display_key]],2,FALSE),"")</f>
        <v/>
      </c>
    </row>
    <row r="1897" spans="8:8" x14ac:dyDescent="0.2">
      <c r="H1897" s="11" t="str">
        <f>IFERROR(VLOOKUP(tbl_product_scores[[#This Row],[product_key]],tbl_products[[product_key]:[group_display_key]],2,FALSE),"")</f>
        <v/>
      </c>
    </row>
    <row r="1898" spans="8:8" x14ac:dyDescent="0.2">
      <c r="H1898" s="11" t="str">
        <f>IFERROR(VLOOKUP(tbl_product_scores[[#This Row],[product_key]],tbl_products[[product_key]:[group_display_key]],2,FALSE),"")</f>
        <v/>
      </c>
    </row>
    <row r="1899" spans="8:8" x14ac:dyDescent="0.2">
      <c r="H1899" s="11" t="str">
        <f>IFERROR(VLOOKUP(tbl_product_scores[[#This Row],[product_key]],tbl_products[[product_key]:[group_display_key]],2,FALSE),"")</f>
        <v/>
      </c>
    </row>
    <row r="1900" spans="8:8" x14ac:dyDescent="0.2">
      <c r="H1900" s="11" t="str">
        <f>IFERROR(VLOOKUP(tbl_product_scores[[#This Row],[product_key]],tbl_products[[product_key]:[group_display_key]],2,FALSE),"")</f>
        <v/>
      </c>
    </row>
    <row r="1901" spans="8:8" x14ac:dyDescent="0.2">
      <c r="H1901" s="11" t="str">
        <f>IFERROR(VLOOKUP(tbl_product_scores[[#This Row],[product_key]],tbl_products[[product_key]:[group_display_key]],2,FALSE),"")</f>
        <v/>
      </c>
    </row>
    <row r="1902" spans="8:8" x14ac:dyDescent="0.2">
      <c r="H1902" s="11" t="str">
        <f>IFERROR(VLOOKUP(tbl_product_scores[[#This Row],[product_key]],tbl_products[[product_key]:[group_display_key]],2,FALSE),"")</f>
        <v/>
      </c>
    </row>
    <row r="1903" spans="8:8" x14ac:dyDescent="0.2">
      <c r="H1903" s="11" t="str">
        <f>IFERROR(VLOOKUP(tbl_product_scores[[#This Row],[product_key]],tbl_products[[product_key]:[group_display_key]],2,FALSE),"")</f>
        <v/>
      </c>
    </row>
    <row r="1904" spans="8:8" x14ac:dyDescent="0.2">
      <c r="H1904" s="11" t="str">
        <f>IFERROR(VLOOKUP(tbl_product_scores[[#This Row],[product_key]],tbl_products[[product_key]:[group_display_key]],2,FALSE),"")</f>
        <v/>
      </c>
    </row>
    <row r="1905" spans="8:8" x14ac:dyDescent="0.2">
      <c r="H1905" s="11" t="str">
        <f>IFERROR(VLOOKUP(tbl_product_scores[[#This Row],[product_key]],tbl_products[[product_key]:[group_display_key]],2,FALSE),"")</f>
        <v/>
      </c>
    </row>
    <row r="1906" spans="8:8" x14ac:dyDescent="0.2">
      <c r="H1906" s="11" t="str">
        <f>IFERROR(VLOOKUP(tbl_product_scores[[#This Row],[product_key]],tbl_products[[product_key]:[group_display_key]],2,FALSE),"")</f>
        <v/>
      </c>
    </row>
    <row r="1907" spans="8:8" x14ac:dyDescent="0.2">
      <c r="H1907" s="11" t="str">
        <f>IFERROR(VLOOKUP(tbl_product_scores[[#This Row],[product_key]],tbl_products[[product_key]:[group_display_key]],2,FALSE),"")</f>
        <v/>
      </c>
    </row>
    <row r="1908" spans="8:8" x14ac:dyDescent="0.2">
      <c r="H1908" s="11" t="str">
        <f>IFERROR(VLOOKUP(tbl_product_scores[[#This Row],[product_key]],tbl_products[[product_key]:[group_display_key]],2,FALSE),"")</f>
        <v/>
      </c>
    </row>
    <row r="1909" spans="8:8" x14ac:dyDescent="0.2">
      <c r="H1909" s="11" t="str">
        <f>IFERROR(VLOOKUP(tbl_product_scores[[#This Row],[product_key]],tbl_products[[product_key]:[group_display_key]],2,FALSE),"")</f>
        <v/>
      </c>
    </row>
    <row r="1910" spans="8:8" x14ac:dyDescent="0.2">
      <c r="H1910" s="11" t="str">
        <f>IFERROR(VLOOKUP(tbl_product_scores[[#This Row],[product_key]],tbl_products[[product_key]:[group_display_key]],2,FALSE),"")</f>
        <v/>
      </c>
    </row>
    <row r="1911" spans="8:8" x14ac:dyDescent="0.2">
      <c r="H1911" s="11" t="str">
        <f>IFERROR(VLOOKUP(tbl_product_scores[[#This Row],[product_key]],tbl_products[[product_key]:[group_display_key]],2,FALSE),"")</f>
        <v/>
      </c>
    </row>
    <row r="1912" spans="8:8" x14ac:dyDescent="0.2">
      <c r="H1912" s="11" t="str">
        <f>IFERROR(VLOOKUP(tbl_product_scores[[#This Row],[product_key]],tbl_products[[product_key]:[group_display_key]],2,FALSE),"")</f>
        <v/>
      </c>
    </row>
    <row r="1913" spans="8:8" x14ac:dyDescent="0.2">
      <c r="H1913" s="11" t="str">
        <f>IFERROR(VLOOKUP(tbl_product_scores[[#This Row],[product_key]],tbl_products[[product_key]:[group_display_key]],2,FALSE),"")</f>
        <v/>
      </c>
    </row>
    <row r="1914" spans="8:8" x14ac:dyDescent="0.2">
      <c r="H1914" s="11" t="str">
        <f>IFERROR(VLOOKUP(tbl_product_scores[[#This Row],[product_key]],tbl_products[[product_key]:[group_display_key]],2,FALSE),"")</f>
        <v/>
      </c>
    </row>
    <row r="1915" spans="8:8" x14ac:dyDescent="0.2">
      <c r="H1915" s="11" t="str">
        <f>IFERROR(VLOOKUP(tbl_product_scores[[#This Row],[product_key]],tbl_products[[product_key]:[group_display_key]],2,FALSE),"")</f>
        <v/>
      </c>
    </row>
    <row r="1916" spans="8:8" x14ac:dyDescent="0.2">
      <c r="H1916" s="11" t="str">
        <f>IFERROR(VLOOKUP(tbl_product_scores[[#This Row],[product_key]],tbl_products[[product_key]:[group_display_key]],2,FALSE),"")</f>
        <v/>
      </c>
    </row>
    <row r="1917" spans="8:8" x14ac:dyDescent="0.2">
      <c r="H1917" s="11" t="str">
        <f>IFERROR(VLOOKUP(tbl_product_scores[[#This Row],[product_key]],tbl_products[[product_key]:[group_display_key]],2,FALSE),"")</f>
        <v/>
      </c>
    </row>
    <row r="1918" spans="8:8" x14ac:dyDescent="0.2">
      <c r="H1918" s="11" t="str">
        <f>IFERROR(VLOOKUP(tbl_product_scores[[#This Row],[product_key]],tbl_products[[product_key]:[group_display_key]],2,FALSE),"")</f>
        <v/>
      </c>
    </row>
    <row r="1919" spans="8:8" x14ac:dyDescent="0.2">
      <c r="H1919" s="11" t="str">
        <f>IFERROR(VLOOKUP(tbl_product_scores[[#This Row],[product_key]],tbl_products[[product_key]:[group_display_key]],2,FALSE),"")</f>
        <v/>
      </c>
    </row>
    <row r="1920" spans="8:8" x14ac:dyDescent="0.2">
      <c r="H1920" s="11" t="str">
        <f>IFERROR(VLOOKUP(tbl_product_scores[[#This Row],[product_key]],tbl_products[[product_key]:[group_display_key]],2,FALSE),"")</f>
        <v/>
      </c>
    </row>
    <row r="1921" spans="8:8" x14ac:dyDescent="0.2">
      <c r="H1921" s="11" t="str">
        <f>IFERROR(VLOOKUP(tbl_product_scores[[#This Row],[product_key]],tbl_products[[product_key]:[group_display_key]],2,FALSE),"")</f>
        <v/>
      </c>
    </row>
    <row r="1922" spans="8:8" x14ac:dyDescent="0.2">
      <c r="H1922" s="11" t="str">
        <f>IFERROR(VLOOKUP(tbl_product_scores[[#This Row],[product_key]],tbl_products[[product_key]:[group_display_key]],2,FALSE),"")</f>
        <v/>
      </c>
    </row>
    <row r="1923" spans="8:8" x14ac:dyDescent="0.2">
      <c r="H1923" s="11" t="str">
        <f>IFERROR(VLOOKUP(tbl_product_scores[[#This Row],[product_key]],tbl_products[[product_key]:[group_display_key]],2,FALSE),"")</f>
        <v/>
      </c>
    </row>
    <row r="1924" spans="8:8" x14ac:dyDescent="0.2">
      <c r="H1924" s="11" t="str">
        <f>IFERROR(VLOOKUP(tbl_product_scores[[#This Row],[product_key]],tbl_products[[product_key]:[group_display_key]],2,FALSE),"")</f>
        <v/>
      </c>
    </row>
    <row r="1925" spans="8:8" x14ac:dyDescent="0.2">
      <c r="H1925" s="11" t="str">
        <f>IFERROR(VLOOKUP(tbl_product_scores[[#This Row],[product_key]],tbl_products[[product_key]:[group_display_key]],2,FALSE),"")</f>
        <v/>
      </c>
    </row>
    <row r="1926" spans="8:8" x14ac:dyDescent="0.2">
      <c r="H1926" s="11" t="str">
        <f>IFERROR(VLOOKUP(tbl_product_scores[[#This Row],[product_key]],tbl_products[[product_key]:[group_display_key]],2,FALSE),"")</f>
        <v/>
      </c>
    </row>
    <row r="1927" spans="8:8" x14ac:dyDescent="0.2">
      <c r="H1927" s="11" t="str">
        <f>IFERROR(VLOOKUP(tbl_product_scores[[#This Row],[product_key]],tbl_products[[product_key]:[group_display_key]],2,FALSE),"")</f>
        <v/>
      </c>
    </row>
    <row r="1928" spans="8:8" x14ac:dyDescent="0.2">
      <c r="H1928" s="11" t="str">
        <f>IFERROR(VLOOKUP(tbl_product_scores[[#This Row],[product_key]],tbl_products[[product_key]:[group_display_key]],2,FALSE),"")</f>
        <v/>
      </c>
    </row>
    <row r="1929" spans="8:8" x14ac:dyDescent="0.2">
      <c r="H1929" s="11" t="str">
        <f>IFERROR(VLOOKUP(tbl_product_scores[[#This Row],[product_key]],tbl_products[[product_key]:[group_display_key]],2,FALSE),"")</f>
        <v/>
      </c>
    </row>
    <row r="1930" spans="8:8" x14ac:dyDescent="0.2">
      <c r="H1930" s="11" t="str">
        <f>IFERROR(VLOOKUP(tbl_product_scores[[#This Row],[product_key]],tbl_products[[product_key]:[group_display_key]],2,FALSE),"")</f>
        <v/>
      </c>
    </row>
    <row r="1931" spans="8:8" x14ac:dyDescent="0.2">
      <c r="H1931" s="11" t="str">
        <f>IFERROR(VLOOKUP(tbl_product_scores[[#This Row],[product_key]],tbl_products[[product_key]:[group_display_key]],2,FALSE),"")</f>
        <v/>
      </c>
    </row>
    <row r="1932" spans="8:8" x14ac:dyDescent="0.2">
      <c r="H1932" s="11" t="str">
        <f>IFERROR(VLOOKUP(tbl_product_scores[[#This Row],[product_key]],tbl_products[[product_key]:[group_display_key]],2,FALSE),"")</f>
        <v/>
      </c>
    </row>
    <row r="1933" spans="8:8" x14ac:dyDescent="0.2">
      <c r="H1933" s="11" t="str">
        <f>IFERROR(VLOOKUP(tbl_product_scores[[#This Row],[product_key]],tbl_products[[product_key]:[group_display_key]],2,FALSE),"")</f>
        <v/>
      </c>
    </row>
    <row r="1934" spans="8:8" x14ac:dyDescent="0.2">
      <c r="H1934" s="11" t="str">
        <f>IFERROR(VLOOKUP(tbl_product_scores[[#This Row],[product_key]],tbl_products[[product_key]:[group_display_key]],2,FALSE),"")</f>
        <v/>
      </c>
    </row>
    <row r="1935" spans="8:8" x14ac:dyDescent="0.2">
      <c r="H1935" s="11" t="str">
        <f>IFERROR(VLOOKUP(tbl_product_scores[[#This Row],[product_key]],tbl_products[[product_key]:[group_display_key]],2,FALSE),"")</f>
        <v/>
      </c>
    </row>
    <row r="1936" spans="8:8" x14ac:dyDescent="0.2">
      <c r="H1936" s="11" t="str">
        <f>IFERROR(VLOOKUP(tbl_product_scores[[#This Row],[product_key]],tbl_products[[product_key]:[group_display_key]],2,FALSE),"")</f>
        <v/>
      </c>
    </row>
    <row r="1937" spans="8:8" x14ac:dyDescent="0.2">
      <c r="H1937" s="11" t="str">
        <f>IFERROR(VLOOKUP(tbl_product_scores[[#This Row],[product_key]],tbl_products[[product_key]:[group_display_key]],2,FALSE),"")</f>
        <v/>
      </c>
    </row>
    <row r="1938" spans="8:8" x14ac:dyDescent="0.2">
      <c r="H1938" s="11" t="str">
        <f>IFERROR(VLOOKUP(tbl_product_scores[[#This Row],[product_key]],tbl_products[[product_key]:[group_display_key]],2,FALSE),"")</f>
        <v/>
      </c>
    </row>
    <row r="1939" spans="8:8" x14ac:dyDescent="0.2">
      <c r="H1939" s="11" t="str">
        <f>IFERROR(VLOOKUP(tbl_product_scores[[#This Row],[product_key]],tbl_products[[product_key]:[group_display_key]],2,FALSE),"")</f>
        <v/>
      </c>
    </row>
    <row r="1940" spans="8:8" x14ac:dyDescent="0.2">
      <c r="H1940" s="11" t="str">
        <f>IFERROR(VLOOKUP(tbl_product_scores[[#This Row],[product_key]],tbl_products[[product_key]:[group_display_key]],2,FALSE),"")</f>
        <v/>
      </c>
    </row>
    <row r="1941" spans="8:8" x14ac:dyDescent="0.2">
      <c r="H1941" s="11" t="str">
        <f>IFERROR(VLOOKUP(tbl_product_scores[[#This Row],[product_key]],tbl_products[[product_key]:[group_display_key]],2,FALSE),"")</f>
        <v/>
      </c>
    </row>
    <row r="1942" spans="8:8" x14ac:dyDescent="0.2">
      <c r="H1942" s="11" t="str">
        <f>IFERROR(VLOOKUP(tbl_product_scores[[#This Row],[product_key]],tbl_products[[product_key]:[group_display_key]],2,FALSE),"")</f>
        <v/>
      </c>
    </row>
    <row r="1943" spans="8:8" x14ac:dyDescent="0.2">
      <c r="H1943" s="11" t="str">
        <f>IFERROR(VLOOKUP(tbl_product_scores[[#This Row],[product_key]],tbl_products[[product_key]:[group_display_key]],2,FALSE),"")</f>
        <v/>
      </c>
    </row>
    <row r="1944" spans="8:8" x14ac:dyDescent="0.2">
      <c r="H1944" s="11" t="str">
        <f>IFERROR(VLOOKUP(tbl_product_scores[[#This Row],[product_key]],tbl_products[[product_key]:[group_display_key]],2,FALSE),"")</f>
        <v/>
      </c>
    </row>
    <row r="1945" spans="8:8" x14ac:dyDescent="0.2">
      <c r="H1945" s="11" t="str">
        <f>IFERROR(VLOOKUP(tbl_product_scores[[#This Row],[product_key]],tbl_products[[product_key]:[group_display_key]],2,FALSE),"")</f>
        <v/>
      </c>
    </row>
    <row r="1946" spans="8:8" x14ac:dyDescent="0.2">
      <c r="H1946" s="11" t="str">
        <f>IFERROR(VLOOKUP(tbl_product_scores[[#This Row],[product_key]],tbl_products[[product_key]:[group_display_key]],2,FALSE),"")</f>
        <v/>
      </c>
    </row>
    <row r="1947" spans="8:8" x14ac:dyDescent="0.2">
      <c r="H1947" s="11" t="str">
        <f>IFERROR(VLOOKUP(tbl_product_scores[[#This Row],[product_key]],tbl_products[[product_key]:[group_display_key]],2,FALSE),"")</f>
        <v/>
      </c>
    </row>
    <row r="1948" spans="8:8" x14ac:dyDescent="0.2">
      <c r="H1948" s="11" t="str">
        <f>IFERROR(VLOOKUP(tbl_product_scores[[#This Row],[product_key]],tbl_products[[product_key]:[group_display_key]],2,FALSE),"")</f>
        <v/>
      </c>
    </row>
    <row r="1949" spans="8:8" x14ac:dyDescent="0.2">
      <c r="H1949" s="11" t="str">
        <f>IFERROR(VLOOKUP(tbl_product_scores[[#This Row],[product_key]],tbl_products[[product_key]:[group_display_key]],2,FALSE),"")</f>
        <v/>
      </c>
    </row>
    <row r="1950" spans="8:8" x14ac:dyDescent="0.2">
      <c r="H1950" s="11" t="str">
        <f>IFERROR(VLOOKUP(tbl_product_scores[[#This Row],[product_key]],tbl_products[[product_key]:[group_display_key]],2,FALSE),"")</f>
        <v/>
      </c>
    </row>
    <row r="1951" spans="8:8" x14ac:dyDescent="0.2">
      <c r="H1951" s="11" t="str">
        <f>IFERROR(VLOOKUP(tbl_product_scores[[#This Row],[product_key]],tbl_products[[product_key]:[group_display_key]],2,FALSE),"")</f>
        <v/>
      </c>
    </row>
    <row r="1952" spans="8:8" x14ac:dyDescent="0.2">
      <c r="H1952" s="11" t="str">
        <f>IFERROR(VLOOKUP(tbl_product_scores[[#This Row],[product_key]],tbl_products[[product_key]:[group_display_key]],2,FALSE),"")</f>
        <v/>
      </c>
    </row>
    <row r="1953" spans="8:8" x14ac:dyDescent="0.2">
      <c r="H1953" s="11" t="str">
        <f>IFERROR(VLOOKUP(tbl_product_scores[[#This Row],[product_key]],tbl_products[[product_key]:[group_display_key]],2,FALSE),"")</f>
        <v/>
      </c>
    </row>
    <row r="1954" spans="8:8" x14ac:dyDescent="0.2">
      <c r="H1954" s="11" t="str">
        <f>IFERROR(VLOOKUP(tbl_product_scores[[#This Row],[product_key]],tbl_products[[product_key]:[group_display_key]],2,FALSE),"")</f>
        <v/>
      </c>
    </row>
    <row r="1955" spans="8:8" x14ac:dyDescent="0.2">
      <c r="H1955" s="11" t="str">
        <f>IFERROR(VLOOKUP(tbl_product_scores[[#This Row],[product_key]],tbl_products[[product_key]:[group_display_key]],2,FALSE),"")</f>
        <v/>
      </c>
    </row>
    <row r="1956" spans="8:8" x14ac:dyDescent="0.2">
      <c r="H1956" s="11" t="str">
        <f>IFERROR(VLOOKUP(tbl_product_scores[[#This Row],[product_key]],tbl_products[[product_key]:[group_display_key]],2,FALSE),"")</f>
        <v/>
      </c>
    </row>
    <row r="1957" spans="8:8" x14ac:dyDescent="0.2">
      <c r="H1957" s="11" t="str">
        <f>IFERROR(VLOOKUP(tbl_product_scores[[#This Row],[product_key]],tbl_products[[product_key]:[group_display_key]],2,FALSE),"")</f>
        <v/>
      </c>
    </row>
    <row r="1958" spans="8:8" x14ac:dyDescent="0.2">
      <c r="H1958" s="11" t="str">
        <f>IFERROR(VLOOKUP(tbl_product_scores[[#This Row],[product_key]],tbl_products[[product_key]:[group_display_key]],2,FALSE),"")</f>
        <v/>
      </c>
    </row>
    <row r="1959" spans="8:8" x14ac:dyDescent="0.2">
      <c r="H1959" s="11" t="str">
        <f>IFERROR(VLOOKUP(tbl_product_scores[[#This Row],[product_key]],tbl_products[[product_key]:[group_display_key]],2,FALSE),"")</f>
        <v/>
      </c>
    </row>
    <row r="1960" spans="8:8" x14ac:dyDescent="0.2">
      <c r="H1960" s="11" t="str">
        <f>IFERROR(VLOOKUP(tbl_product_scores[[#This Row],[product_key]],tbl_products[[product_key]:[group_display_key]],2,FALSE),"")</f>
        <v/>
      </c>
    </row>
    <row r="1961" spans="8:8" x14ac:dyDescent="0.2">
      <c r="H1961" s="11" t="str">
        <f>IFERROR(VLOOKUP(tbl_product_scores[[#This Row],[product_key]],tbl_products[[product_key]:[group_display_key]],2,FALSE),"")</f>
        <v/>
      </c>
    </row>
    <row r="1962" spans="8:8" x14ac:dyDescent="0.2">
      <c r="H1962" s="11" t="str">
        <f>IFERROR(VLOOKUP(tbl_product_scores[[#This Row],[product_key]],tbl_products[[product_key]:[group_display_key]],2,FALSE),"")</f>
        <v/>
      </c>
    </row>
    <row r="1963" spans="8:8" x14ac:dyDescent="0.2">
      <c r="H1963" s="11" t="str">
        <f>IFERROR(VLOOKUP(tbl_product_scores[[#This Row],[product_key]],tbl_products[[product_key]:[group_display_key]],2,FALSE),"")</f>
        <v/>
      </c>
    </row>
    <row r="1964" spans="8:8" x14ac:dyDescent="0.2">
      <c r="H1964" s="11" t="str">
        <f>IFERROR(VLOOKUP(tbl_product_scores[[#This Row],[product_key]],tbl_products[[product_key]:[group_display_key]],2,FALSE),"")</f>
        <v/>
      </c>
    </row>
    <row r="1965" spans="8:8" x14ac:dyDescent="0.2">
      <c r="H1965" s="11" t="str">
        <f>IFERROR(VLOOKUP(tbl_product_scores[[#This Row],[product_key]],tbl_products[[product_key]:[group_display_key]],2,FALSE),"")</f>
        <v/>
      </c>
    </row>
    <row r="1966" spans="8:8" x14ac:dyDescent="0.2">
      <c r="H1966" s="11" t="str">
        <f>IFERROR(VLOOKUP(tbl_product_scores[[#This Row],[product_key]],tbl_products[[product_key]:[group_display_key]],2,FALSE),"")</f>
        <v/>
      </c>
    </row>
    <row r="1967" spans="8:8" x14ac:dyDescent="0.2">
      <c r="H1967" s="11" t="str">
        <f>IFERROR(VLOOKUP(tbl_product_scores[[#This Row],[product_key]],tbl_products[[product_key]:[group_display_key]],2,FALSE),"")</f>
        <v/>
      </c>
    </row>
    <row r="1968" spans="8:8" x14ac:dyDescent="0.2">
      <c r="H1968" s="11" t="str">
        <f>IFERROR(VLOOKUP(tbl_product_scores[[#This Row],[product_key]],tbl_products[[product_key]:[group_display_key]],2,FALSE),"")</f>
        <v/>
      </c>
    </row>
    <row r="1969" spans="8:8" x14ac:dyDescent="0.2">
      <c r="H1969" s="11" t="str">
        <f>IFERROR(VLOOKUP(tbl_product_scores[[#This Row],[product_key]],tbl_products[[product_key]:[group_display_key]],2,FALSE),"")</f>
        <v/>
      </c>
    </row>
    <row r="1970" spans="8:8" x14ac:dyDescent="0.2">
      <c r="H1970" s="11" t="str">
        <f>IFERROR(VLOOKUP(tbl_product_scores[[#This Row],[product_key]],tbl_products[[product_key]:[group_display_key]],2,FALSE),"")</f>
        <v/>
      </c>
    </row>
    <row r="1971" spans="8:8" x14ac:dyDescent="0.2">
      <c r="H1971" s="11" t="str">
        <f>IFERROR(VLOOKUP(tbl_product_scores[[#This Row],[product_key]],tbl_products[[product_key]:[group_display_key]],2,FALSE),"")</f>
        <v/>
      </c>
    </row>
    <row r="1972" spans="8:8" x14ac:dyDescent="0.2">
      <c r="H1972" s="11" t="str">
        <f>IFERROR(VLOOKUP(tbl_product_scores[[#This Row],[product_key]],tbl_products[[product_key]:[group_display_key]],2,FALSE),"")</f>
        <v/>
      </c>
    </row>
    <row r="1973" spans="8:8" x14ac:dyDescent="0.2">
      <c r="H1973" s="11" t="str">
        <f>IFERROR(VLOOKUP(tbl_product_scores[[#This Row],[product_key]],tbl_products[[product_key]:[group_display_key]],2,FALSE),"")</f>
        <v/>
      </c>
    </row>
    <row r="1974" spans="8:8" x14ac:dyDescent="0.2">
      <c r="H1974" s="11" t="str">
        <f>IFERROR(VLOOKUP(tbl_product_scores[[#This Row],[product_key]],tbl_products[[product_key]:[group_display_key]],2,FALSE),"")</f>
        <v/>
      </c>
    </row>
    <row r="1975" spans="8:8" x14ac:dyDescent="0.2">
      <c r="H1975" s="11" t="str">
        <f>IFERROR(VLOOKUP(tbl_product_scores[[#This Row],[product_key]],tbl_products[[product_key]:[group_display_key]],2,FALSE),"")</f>
        <v/>
      </c>
    </row>
    <row r="1976" spans="8:8" x14ac:dyDescent="0.2">
      <c r="H1976" s="11" t="str">
        <f>IFERROR(VLOOKUP(tbl_product_scores[[#This Row],[product_key]],tbl_products[[product_key]:[group_display_key]],2,FALSE),"")</f>
        <v/>
      </c>
    </row>
    <row r="1977" spans="8:8" x14ac:dyDescent="0.2">
      <c r="H1977" s="11" t="str">
        <f>IFERROR(VLOOKUP(tbl_product_scores[[#This Row],[product_key]],tbl_products[[product_key]:[group_display_key]],2,FALSE),"")</f>
        <v/>
      </c>
    </row>
    <row r="1978" spans="8:8" x14ac:dyDescent="0.2">
      <c r="H1978" s="11" t="str">
        <f>IFERROR(VLOOKUP(tbl_product_scores[[#This Row],[product_key]],tbl_products[[product_key]:[group_display_key]],2,FALSE),"")</f>
        <v/>
      </c>
    </row>
    <row r="1979" spans="8:8" x14ac:dyDescent="0.2">
      <c r="H1979" s="11" t="str">
        <f>IFERROR(VLOOKUP(tbl_product_scores[[#This Row],[product_key]],tbl_products[[product_key]:[group_display_key]],2,FALSE),"")</f>
        <v/>
      </c>
    </row>
    <row r="1980" spans="8:8" x14ac:dyDescent="0.2">
      <c r="H1980" s="11" t="str">
        <f>IFERROR(VLOOKUP(tbl_product_scores[[#This Row],[product_key]],tbl_products[[product_key]:[group_display_key]],2,FALSE),"")</f>
        <v/>
      </c>
    </row>
    <row r="1981" spans="8:8" x14ac:dyDescent="0.2">
      <c r="H1981" s="11" t="str">
        <f>IFERROR(VLOOKUP(tbl_product_scores[[#This Row],[product_key]],tbl_products[[product_key]:[group_display_key]],2,FALSE),"")</f>
        <v/>
      </c>
    </row>
    <row r="1982" spans="8:8" x14ac:dyDescent="0.2">
      <c r="H1982" s="11" t="str">
        <f>IFERROR(VLOOKUP(tbl_product_scores[[#This Row],[product_key]],tbl_products[[product_key]:[group_display_key]],2,FALSE),"")</f>
        <v/>
      </c>
    </row>
    <row r="1983" spans="8:8" x14ac:dyDescent="0.2">
      <c r="H1983" s="11" t="str">
        <f>IFERROR(VLOOKUP(tbl_product_scores[[#This Row],[product_key]],tbl_products[[product_key]:[group_display_key]],2,FALSE),"")</f>
        <v/>
      </c>
    </row>
    <row r="1984" spans="8:8" x14ac:dyDescent="0.2">
      <c r="H1984" s="11" t="str">
        <f>IFERROR(VLOOKUP(tbl_product_scores[[#This Row],[product_key]],tbl_products[[product_key]:[group_display_key]],2,FALSE),"")</f>
        <v/>
      </c>
    </row>
    <row r="1985" spans="8:8" x14ac:dyDescent="0.2">
      <c r="H1985" s="11" t="str">
        <f>IFERROR(VLOOKUP(tbl_product_scores[[#This Row],[product_key]],tbl_products[[product_key]:[group_display_key]],2,FALSE),"")</f>
        <v/>
      </c>
    </row>
    <row r="1986" spans="8:8" x14ac:dyDescent="0.2">
      <c r="H1986" s="11" t="str">
        <f>IFERROR(VLOOKUP(tbl_product_scores[[#This Row],[product_key]],tbl_products[[product_key]:[group_display_key]],2,FALSE),"")</f>
        <v/>
      </c>
    </row>
    <row r="1987" spans="8:8" x14ac:dyDescent="0.2">
      <c r="H1987" s="11" t="str">
        <f>IFERROR(VLOOKUP(tbl_product_scores[[#This Row],[product_key]],tbl_products[[product_key]:[group_display_key]],2,FALSE),"")</f>
        <v/>
      </c>
    </row>
    <row r="1988" spans="8:8" x14ac:dyDescent="0.2">
      <c r="H1988" s="11" t="str">
        <f>IFERROR(VLOOKUP(tbl_product_scores[[#This Row],[product_key]],tbl_products[[product_key]:[group_display_key]],2,FALSE),"")</f>
        <v/>
      </c>
    </row>
    <row r="1989" spans="8:8" x14ac:dyDescent="0.2">
      <c r="H1989" s="11" t="str">
        <f>IFERROR(VLOOKUP(tbl_product_scores[[#This Row],[product_key]],tbl_products[[product_key]:[group_display_key]],2,FALSE),"")</f>
        <v/>
      </c>
    </row>
    <row r="1990" spans="8:8" x14ac:dyDescent="0.2">
      <c r="H1990" s="11" t="str">
        <f>IFERROR(VLOOKUP(tbl_product_scores[[#This Row],[product_key]],tbl_products[[product_key]:[group_display_key]],2,FALSE),"")</f>
        <v/>
      </c>
    </row>
    <row r="1991" spans="8:8" x14ac:dyDescent="0.2">
      <c r="H1991" s="11" t="str">
        <f>IFERROR(VLOOKUP(tbl_product_scores[[#This Row],[product_key]],tbl_products[[product_key]:[group_display_key]],2,FALSE),"")</f>
        <v/>
      </c>
    </row>
    <row r="1992" spans="8:8" x14ac:dyDescent="0.2">
      <c r="H1992" s="11" t="str">
        <f>IFERROR(VLOOKUP(tbl_product_scores[[#This Row],[product_key]],tbl_products[[product_key]:[group_display_key]],2,FALSE),"")</f>
        <v/>
      </c>
    </row>
    <row r="1993" spans="8:8" x14ac:dyDescent="0.2">
      <c r="H1993" s="11" t="str">
        <f>IFERROR(VLOOKUP(tbl_product_scores[[#This Row],[product_key]],tbl_products[[product_key]:[group_display_key]],2,FALSE),"")</f>
        <v/>
      </c>
    </row>
    <row r="1994" spans="8:8" x14ac:dyDescent="0.2">
      <c r="H1994" s="11" t="str">
        <f>IFERROR(VLOOKUP(tbl_product_scores[[#This Row],[product_key]],tbl_products[[product_key]:[group_display_key]],2,FALSE),"")</f>
        <v/>
      </c>
    </row>
    <row r="1995" spans="8:8" x14ac:dyDescent="0.2">
      <c r="H1995" s="11" t="str">
        <f>IFERROR(VLOOKUP(tbl_product_scores[[#This Row],[product_key]],tbl_products[[product_key]:[group_display_key]],2,FALSE),"")</f>
        <v/>
      </c>
    </row>
    <row r="1996" spans="8:8" x14ac:dyDescent="0.2">
      <c r="H1996" s="11" t="str">
        <f>IFERROR(VLOOKUP(tbl_product_scores[[#This Row],[product_key]],tbl_products[[product_key]:[group_display_key]],2,FALSE),"")</f>
        <v/>
      </c>
    </row>
    <row r="1997" spans="8:8" x14ac:dyDescent="0.2">
      <c r="H1997" s="11" t="str">
        <f>IFERROR(VLOOKUP(tbl_product_scores[[#This Row],[product_key]],tbl_products[[product_key]:[group_display_key]],2,FALSE),"")</f>
        <v/>
      </c>
    </row>
    <row r="1998" spans="8:8" x14ac:dyDescent="0.2">
      <c r="H1998" s="11" t="str">
        <f>IFERROR(VLOOKUP(tbl_product_scores[[#This Row],[product_key]],tbl_products[[product_key]:[group_display_key]],2,FALSE),"")</f>
        <v/>
      </c>
    </row>
    <row r="1999" spans="8:8" x14ac:dyDescent="0.2">
      <c r="H1999" s="11" t="str">
        <f>IFERROR(VLOOKUP(tbl_product_scores[[#This Row],[product_key]],tbl_products[[product_key]:[group_display_key]],2,FALSE),"")</f>
        <v/>
      </c>
    </row>
    <row r="2000" spans="8:8" x14ac:dyDescent="0.2">
      <c r="H2000" s="11" t="str">
        <f>IFERROR(VLOOKUP(tbl_product_scores[[#This Row],[product_key]],tbl_products[[product_key]:[group_display_key]],2,FALSE),"")</f>
        <v/>
      </c>
    </row>
    <row r="2001" spans="8:8" x14ac:dyDescent="0.2">
      <c r="H2001" s="11" t="str">
        <f>IFERROR(VLOOKUP(tbl_product_scores[[#This Row],[product_key]],tbl_products[[product_key]:[group_display_key]],2,FALSE),"")</f>
        <v/>
      </c>
    </row>
    <row r="2002" spans="8:8" x14ac:dyDescent="0.2">
      <c r="H2002" s="11" t="str">
        <f>IFERROR(VLOOKUP(tbl_product_scores[[#This Row],[product_key]],tbl_products[[product_key]:[group_display_key]],2,FALSE),"")</f>
        <v/>
      </c>
    </row>
    <row r="2003" spans="8:8" x14ac:dyDescent="0.2">
      <c r="H2003" s="11" t="str">
        <f>IFERROR(VLOOKUP(tbl_product_scores[[#This Row],[product_key]],tbl_products[[product_key]:[group_display_key]],2,FALSE),"")</f>
        <v/>
      </c>
    </row>
    <row r="2004" spans="8:8" x14ac:dyDescent="0.2">
      <c r="H2004" s="11" t="str">
        <f>IFERROR(VLOOKUP(tbl_product_scores[[#This Row],[product_key]],tbl_products[[product_key]:[group_display_key]],2,FALSE),"")</f>
        <v/>
      </c>
    </row>
    <row r="2005" spans="8:8" x14ac:dyDescent="0.2">
      <c r="H2005" s="11" t="str">
        <f>IFERROR(VLOOKUP(tbl_product_scores[[#This Row],[product_key]],tbl_products[[product_key]:[group_display_key]],2,FALSE),"")</f>
        <v/>
      </c>
    </row>
    <row r="2006" spans="8:8" x14ac:dyDescent="0.2">
      <c r="H2006" s="11" t="str">
        <f>IFERROR(VLOOKUP(tbl_product_scores[[#This Row],[product_key]],tbl_products[[product_key]:[group_display_key]],2,FALSE),"")</f>
        <v/>
      </c>
    </row>
    <row r="2007" spans="8:8" x14ac:dyDescent="0.2">
      <c r="H2007" s="11" t="str">
        <f>IFERROR(VLOOKUP(tbl_product_scores[[#This Row],[product_key]],tbl_products[[product_key]:[group_display_key]],2,FALSE),"")</f>
        <v/>
      </c>
    </row>
    <row r="2008" spans="8:8" x14ac:dyDescent="0.2">
      <c r="H2008" s="11" t="str">
        <f>IFERROR(VLOOKUP(tbl_product_scores[[#This Row],[product_key]],tbl_products[[product_key]:[group_display_key]],2,FALSE),"")</f>
        <v/>
      </c>
    </row>
    <row r="2009" spans="8:8" x14ac:dyDescent="0.2">
      <c r="H2009" s="11" t="str">
        <f>IFERROR(VLOOKUP(tbl_product_scores[[#This Row],[product_key]],tbl_products[[product_key]:[group_display_key]],2,FALSE),"")</f>
        <v/>
      </c>
    </row>
    <row r="2010" spans="8:8" x14ac:dyDescent="0.2">
      <c r="H2010" s="11" t="str">
        <f>IFERROR(VLOOKUP(tbl_product_scores[[#This Row],[product_key]],tbl_products[[product_key]:[group_display_key]],2,FALSE),"")</f>
        <v/>
      </c>
    </row>
    <row r="2011" spans="8:8" x14ac:dyDescent="0.2">
      <c r="H2011" s="11" t="str">
        <f>IFERROR(VLOOKUP(tbl_product_scores[[#This Row],[product_key]],tbl_products[[product_key]:[group_display_key]],2,FALSE),"")</f>
        <v/>
      </c>
    </row>
    <row r="2012" spans="8:8" x14ac:dyDescent="0.2">
      <c r="H2012" s="11" t="str">
        <f>IFERROR(VLOOKUP(tbl_product_scores[[#This Row],[product_key]],tbl_products[[product_key]:[group_display_key]],2,FALSE),"")</f>
        <v/>
      </c>
    </row>
    <row r="2013" spans="8:8" x14ac:dyDescent="0.2">
      <c r="H2013" s="11" t="str">
        <f>IFERROR(VLOOKUP(tbl_product_scores[[#This Row],[product_key]],tbl_products[[product_key]:[group_display_key]],2,FALSE),"")</f>
        <v/>
      </c>
    </row>
    <row r="2014" spans="8:8" x14ac:dyDescent="0.2">
      <c r="H2014" s="11" t="str">
        <f>IFERROR(VLOOKUP(tbl_product_scores[[#This Row],[product_key]],tbl_products[[product_key]:[group_display_key]],2,FALSE),"")</f>
        <v/>
      </c>
    </row>
    <row r="2015" spans="8:8" x14ac:dyDescent="0.2">
      <c r="H2015" s="11" t="str">
        <f>IFERROR(VLOOKUP(tbl_product_scores[[#This Row],[product_key]],tbl_products[[product_key]:[group_display_key]],2,FALSE),"")</f>
        <v/>
      </c>
    </row>
    <row r="2016" spans="8:8" x14ac:dyDescent="0.2">
      <c r="H2016" s="11" t="str">
        <f>IFERROR(VLOOKUP(tbl_product_scores[[#This Row],[product_key]],tbl_products[[product_key]:[group_display_key]],2,FALSE),"")</f>
        <v/>
      </c>
    </row>
    <row r="2017" spans="8:8" x14ac:dyDescent="0.2">
      <c r="H2017" s="11" t="str">
        <f>IFERROR(VLOOKUP(tbl_product_scores[[#This Row],[product_key]],tbl_products[[product_key]:[group_display_key]],2,FALSE),"")</f>
        <v/>
      </c>
    </row>
    <row r="2018" spans="8:8" x14ac:dyDescent="0.2">
      <c r="H2018" s="11" t="str">
        <f>IFERROR(VLOOKUP(tbl_product_scores[[#This Row],[product_key]],tbl_products[[product_key]:[group_display_key]],2,FALSE),"")</f>
        <v/>
      </c>
    </row>
    <row r="2019" spans="8:8" x14ac:dyDescent="0.2">
      <c r="H2019" s="11" t="str">
        <f>IFERROR(VLOOKUP(tbl_product_scores[[#This Row],[product_key]],tbl_products[[product_key]:[group_display_key]],2,FALSE),"")</f>
        <v/>
      </c>
    </row>
    <row r="2020" spans="8:8" x14ac:dyDescent="0.2">
      <c r="H2020" s="11" t="str">
        <f>IFERROR(VLOOKUP(tbl_product_scores[[#This Row],[product_key]],tbl_products[[product_key]:[group_display_key]],2,FALSE),"")</f>
        <v/>
      </c>
    </row>
    <row r="2021" spans="8:8" x14ac:dyDescent="0.2">
      <c r="H2021" s="11" t="str">
        <f>IFERROR(VLOOKUP(tbl_product_scores[[#This Row],[product_key]],tbl_products[[product_key]:[group_display_key]],2,FALSE),"")</f>
        <v/>
      </c>
    </row>
    <row r="2022" spans="8:8" x14ac:dyDescent="0.2">
      <c r="H2022" s="11" t="str">
        <f>IFERROR(VLOOKUP(tbl_product_scores[[#This Row],[product_key]],tbl_products[[product_key]:[group_display_key]],2,FALSE),"")</f>
        <v/>
      </c>
    </row>
    <row r="2023" spans="8:8" x14ac:dyDescent="0.2">
      <c r="H2023" s="11" t="str">
        <f>IFERROR(VLOOKUP(tbl_product_scores[[#This Row],[product_key]],tbl_products[[product_key]:[group_display_key]],2,FALSE),"")</f>
        <v/>
      </c>
    </row>
    <row r="2024" spans="8:8" x14ac:dyDescent="0.2">
      <c r="H2024" s="11" t="str">
        <f>IFERROR(VLOOKUP(tbl_product_scores[[#This Row],[product_key]],tbl_products[[product_key]:[group_display_key]],2,FALSE),"")</f>
        <v/>
      </c>
    </row>
    <row r="2025" spans="8:8" x14ac:dyDescent="0.2">
      <c r="H2025" s="11" t="str">
        <f>IFERROR(VLOOKUP(tbl_product_scores[[#This Row],[product_key]],tbl_products[[product_key]:[group_display_key]],2,FALSE),"")</f>
        <v/>
      </c>
    </row>
    <row r="2026" spans="8:8" x14ac:dyDescent="0.2">
      <c r="H2026" s="11" t="str">
        <f>IFERROR(VLOOKUP(tbl_product_scores[[#This Row],[product_key]],tbl_products[[product_key]:[group_display_key]],2,FALSE),"")</f>
        <v/>
      </c>
    </row>
    <row r="2027" spans="8:8" x14ac:dyDescent="0.2">
      <c r="H2027" s="11" t="str">
        <f>IFERROR(VLOOKUP(tbl_product_scores[[#This Row],[product_key]],tbl_products[[product_key]:[group_display_key]],2,FALSE),"")</f>
        <v/>
      </c>
    </row>
    <row r="2028" spans="8:8" x14ac:dyDescent="0.2">
      <c r="H2028" s="11" t="str">
        <f>IFERROR(VLOOKUP(tbl_product_scores[[#This Row],[product_key]],tbl_products[[product_key]:[group_display_key]],2,FALSE),"")</f>
        <v/>
      </c>
    </row>
    <row r="2029" spans="8:8" x14ac:dyDescent="0.2">
      <c r="H2029" s="11" t="str">
        <f>IFERROR(VLOOKUP(tbl_product_scores[[#This Row],[product_key]],tbl_products[[product_key]:[group_display_key]],2,FALSE),"")</f>
        <v/>
      </c>
    </row>
    <row r="2030" spans="8:8" x14ac:dyDescent="0.2">
      <c r="H2030" s="11" t="str">
        <f>IFERROR(VLOOKUP(tbl_product_scores[[#This Row],[product_key]],tbl_products[[product_key]:[group_display_key]],2,FALSE),"")</f>
        <v/>
      </c>
    </row>
    <row r="2031" spans="8:8" x14ac:dyDescent="0.2">
      <c r="H2031" s="11" t="str">
        <f>IFERROR(VLOOKUP(tbl_product_scores[[#This Row],[product_key]],tbl_products[[product_key]:[group_display_key]],2,FALSE),"")</f>
        <v/>
      </c>
    </row>
    <row r="2032" spans="8:8" x14ac:dyDescent="0.2">
      <c r="H2032" s="11" t="str">
        <f>IFERROR(VLOOKUP(tbl_product_scores[[#This Row],[product_key]],tbl_products[[product_key]:[group_display_key]],2,FALSE),"")</f>
        <v/>
      </c>
    </row>
    <row r="2033" spans="8:8" x14ac:dyDescent="0.2">
      <c r="H2033" s="11" t="str">
        <f>IFERROR(VLOOKUP(tbl_product_scores[[#This Row],[product_key]],tbl_products[[product_key]:[group_display_key]],2,FALSE),"")</f>
        <v/>
      </c>
    </row>
    <row r="2034" spans="8:8" x14ac:dyDescent="0.2">
      <c r="H2034" s="11" t="str">
        <f>IFERROR(VLOOKUP(tbl_product_scores[[#This Row],[product_key]],tbl_products[[product_key]:[group_display_key]],2,FALSE),"")</f>
        <v/>
      </c>
    </row>
    <row r="2035" spans="8:8" x14ac:dyDescent="0.2">
      <c r="H2035" s="11" t="str">
        <f>IFERROR(VLOOKUP(tbl_product_scores[[#This Row],[product_key]],tbl_products[[product_key]:[group_display_key]],2,FALSE),"")</f>
        <v/>
      </c>
    </row>
    <row r="2036" spans="8:8" x14ac:dyDescent="0.2">
      <c r="H2036" s="11" t="str">
        <f>IFERROR(VLOOKUP(tbl_product_scores[[#This Row],[product_key]],tbl_products[[product_key]:[group_display_key]],2,FALSE),"")</f>
        <v/>
      </c>
    </row>
    <row r="2037" spans="8:8" x14ac:dyDescent="0.2">
      <c r="H2037" s="11" t="str">
        <f>IFERROR(VLOOKUP(tbl_product_scores[[#This Row],[product_key]],tbl_products[[product_key]:[group_display_key]],2,FALSE),"")</f>
        <v/>
      </c>
    </row>
    <row r="2038" spans="8:8" x14ac:dyDescent="0.2">
      <c r="H2038" s="11" t="str">
        <f>IFERROR(VLOOKUP(tbl_product_scores[[#This Row],[product_key]],tbl_products[[product_key]:[group_display_key]],2,FALSE),"")</f>
        <v/>
      </c>
    </row>
    <row r="2039" spans="8:8" x14ac:dyDescent="0.2">
      <c r="H2039" s="11" t="str">
        <f>IFERROR(VLOOKUP(tbl_product_scores[[#This Row],[product_key]],tbl_products[[product_key]:[group_display_key]],2,FALSE),"")</f>
        <v/>
      </c>
    </row>
    <row r="2040" spans="8:8" x14ac:dyDescent="0.2">
      <c r="H2040" s="11" t="str">
        <f>IFERROR(VLOOKUP(tbl_product_scores[[#This Row],[product_key]],tbl_products[[product_key]:[group_display_key]],2,FALSE),"")</f>
        <v/>
      </c>
    </row>
    <row r="2041" spans="8:8" x14ac:dyDescent="0.2">
      <c r="H2041" s="11" t="str">
        <f>IFERROR(VLOOKUP(tbl_product_scores[[#This Row],[product_key]],tbl_products[[product_key]:[group_display_key]],2,FALSE),"")</f>
        <v/>
      </c>
    </row>
    <row r="2042" spans="8:8" x14ac:dyDescent="0.2">
      <c r="H2042" s="11" t="str">
        <f>IFERROR(VLOOKUP(tbl_product_scores[[#This Row],[product_key]],tbl_products[[product_key]:[group_display_key]],2,FALSE),"")</f>
        <v/>
      </c>
    </row>
    <row r="2043" spans="8:8" x14ac:dyDescent="0.2">
      <c r="H2043" s="11" t="str">
        <f>IFERROR(VLOOKUP(tbl_product_scores[[#This Row],[product_key]],tbl_products[[product_key]:[group_display_key]],2,FALSE),"")</f>
        <v/>
      </c>
    </row>
    <row r="2044" spans="8:8" x14ac:dyDescent="0.2">
      <c r="H2044" s="11" t="str">
        <f>IFERROR(VLOOKUP(tbl_product_scores[[#This Row],[product_key]],tbl_products[[product_key]:[group_display_key]],2,FALSE),"")</f>
        <v/>
      </c>
    </row>
    <row r="2045" spans="8:8" x14ac:dyDescent="0.2">
      <c r="H2045" s="11" t="str">
        <f>IFERROR(VLOOKUP(tbl_product_scores[[#This Row],[product_key]],tbl_products[[product_key]:[group_display_key]],2,FALSE),"")</f>
        <v/>
      </c>
    </row>
    <row r="2046" spans="8:8" x14ac:dyDescent="0.2">
      <c r="H2046" s="11" t="str">
        <f>IFERROR(VLOOKUP(tbl_product_scores[[#This Row],[product_key]],tbl_products[[product_key]:[group_display_key]],2,FALSE),"")</f>
        <v/>
      </c>
    </row>
    <row r="2047" spans="8:8" x14ac:dyDescent="0.2">
      <c r="H2047" s="11" t="str">
        <f>IFERROR(VLOOKUP(tbl_product_scores[[#This Row],[product_key]],tbl_products[[product_key]:[group_display_key]],2,FALSE),"")</f>
        <v/>
      </c>
    </row>
    <row r="2048" spans="8:8" x14ac:dyDescent="0.2">
      <c r="H2048" s="11" t="str">
        <f>IFERROR(VLOOKUP(tbl_product_scores[[#This Row],[product_key]],tbl_products[[product_key]:[group_display_key]],2,FALSE),"")</f>
        <v/>
      </c>
    </row>
    <row r="2049" spans="8:8" x14ac:dyDescent="0.2">
      <c r="H2049" s="11" t="str">
        <f>IFERROR(VLOOKUP(tbl_product_scores[[#This Row],[product_key]],tbl_products[[product_key]:[group_display_key]],2,FALSE),"")</f>
        <v/>
      </c>
    </row>
    <row r="2050" spans="8:8" x14ac:dyDescent="0.2">
      <c r="H2050" s="11" t="str">
        <f>IFERROR(VLOOKUP(tbl_product_scores[[#This Row],[product_key]],tbl_products[[product_key]:[group_display_key]],2,FALSE),"")</f>
        <v/>
      </c>
    </row>
    <row r="2051" spans="8:8" x14ac:dyDescent="0.2">
      <c r="H2051" s="11" t="str">
        <f>IFERROR(VLOOKUP(tbl_product_scores[[#This Row],[product_key]],tbl_products[[product_key]:[group_display_key]],2,FALSE),"")</f>
        <v/>
      </c>
    </row>
    <row r="2052" spans="8:8" x14ac:dyDescent="0.2">
      <c r="H2052" s="11" t="str">
        <f>IFERROR(VLOOKUP(tbl_product_scores[[#This Row],[product_key]],tbl_products[[product_key]:[group_display_key]],2,FALSE),"")</f>
        <v/>
      </c>
    </row>
    <row r="2053" spans="8:8" x14ac:dyDescent="0.2">
      <c r="H2053" s="11" t="str">
        <f>IFERROR(VLOOKUP(tbl_product_scores[[#This Row],[product_key]],tbl_products[[product_key]:[group_display_key]],2,FALSE),"")</f>
        <v/>
      </c>
    </row>
    <row r="2054" spans="8:8" x14ac:dyDescent="0.2">
      <c r="H2054" s="11" t="str">
        <f>IFERROR(VLOOKUP(tbl_product_scores[[#This Row],[product_key]],tbl_products[[product_key]:[group_display_key]],2,FALSE),"")</f>
        <v/>
      </c>
    </row>
    <row r="2055" spans="8:8" x14ac:dyDescent="0.2">
      <c r="H2055" s="11" t="str">
        <f>IFERROR(VLOOKUP(tbl_product_scores[[#This Row],[product_key]],tbl_products[[product_key]:[group_display_key]],2,FALSE),"")</f>
        <v/>
      </c>
    </row>
    <row r="2056" spans="8:8" x14ac:dyDescent="0.2">
      <c r="H2056" s="11" t="str">
        <f>IFERROR(VLOOKUP(tbl_product_scores[[#This Row],[product_key]],tbl_products[[product_key]:[group_display_key]],2,FALSE),"")</f>
        <v/>
      </c>
    </row>
    <row r="2057" spans="8:8" x14ac:dyDescent="0.2">
      <c r="H2057" s="11" t="str">
        <f>IFERROR(VLOOKUP(tbl_product_scores[[#This Row],[product_key]],tbl_products[[product_key]:[group_display_key]],2,FALSE),"")</f>
        <v/>
      </c>
    </row>
    <row r="2058" spans="8:8" x14ac:dyDescent="0.2">
      <c r="H2058" s="11" t="str">
        <f>IFERROR(VLOOKUP(tbl_product_scores[[#This Row],[product_key]],tbl_products[[product_key]:[group_display_key]],2,FALSE),"")</f>
        <v/>
      </c>
    </row>
    <row r="2059" spans="8:8" x14ac:dyDescent="0.2">
      <c r="H2059" s="11" t="str">
        <f>IFERROR(VLOOKUP(tbl_product_scores[[#This Row],[product_key]],tbl_products[[product_key]:[group_display_key]],2,FALSE),"")</f>
        <v/>
      </c>
    </row>
    <row r="2060" spans="8:8" x14ac:dyDescent="0.2">
      <c r="H2060" s="11" t="str">
        <f>IFERROR(VLOOKUP(tbl_product_scores[[#This Row],[product_key]],tbl_products[[product_key]:[group_display_key]],2,FALSE),"")</f>
        <v/>
      </c>
    </row>
    <row r="2061" spans="8:8" x14ac:dyDescent="0.2">
      <c r="H2061" s="11" t="str">
        <f>IFERROR(VLOOKUP(tbl_product_scores[[#This Row],[product_key]],tbl_products[[product_key]:[group_display_key]],2,FALSE),"")</f>
        <v/>
      </c>
    </row>
    <row r="2062" spans="8:8" x14ac:dyDescent="0.2">
      <c r="H2062" s="11" t="str">
        <f>IFERROR(VLOOKUP(tbl_product_scores[[#This Row],[product_key]],tbl_products[[product_key]:[group_display_key]],2,FALSE),"")</f>
        <v/>
      </c>
    </row>
    <row r="2063" spans="8:8" x14ac:dyDescent="0.2">
      <c r="H2063" s="11" t="str">
        <f>IFERROR(VLOOKUP(tbl_product_scores[[#This Row],[product_key]],tbl_products[[product_key]:[group_display_key]],2,FALSE),"")</f>
        <v/>
      </c>
    </row>
    <row r="2064" spans="8:8" x14ac:dyDescent="0.2">
      <c r="H2064" s="11" t="str">
        <f>IFERROR(VLOOKUP(tbl_product_scores[[#This Row],[product_key]],tbl_products[[product_key]:[group_display_key]],2,FALSE),"")</f>
        <v/>
      </c>
    </row>
    <row r="2065" spans="8:8" x14ac:dyDescent="0.2">
      <c r="H2065" s="11" t="str">
        <f>IFERROR(VLOOKUP(tbl_product_scores[[#This Row],[product_key]],tbl_products[[product_key]:[group_display_key]],2,FALSE),"")</f>
        <v/>
      </c>
    </row>
    <row r="2066" spans="8:8" x14ac:dyDescent="0.2">
      <c r="H2066" s="11" t="str">
        <f>IFERROR(VLOOKUP(tbl_product_scores[[#This Row],[product_key]],tbl_products[[product_key]:[group_display_key]],2,FALSE),"")</f>
        <v/>
      </c>
    </row>
    <row r="2067" spans="8:8" x14ac:dyDescent="0.2">
      <c r="H2067" s="11" t="str">
        <f>IFERROR(VLOOKUP(tbl_product_scores[[#This Row],[product_key]],tbl_products[[product_key]:[group_display_key]],2,FALSE),"")</f>
        <v/>
      </c>
    </row>
    <row r="2068" spans="8:8" x14ac:dyDescent="0.2">
      <c r="H2068" s="11" t="str">
        <f>IFERROR(VLOOKUP(tbl_product_scores[[#This Row],[product_key]],tbl_products[[product_key]:[group_display_key]],2,FALSE),"")</f>
        <v/>
      </c>
    </row>
    <row r="2069" spans="8:8" x14ac:dyDescent="0.2">
      <c r="H2069" s="11" t="str">
        <f>IFERROR(VLOOKUP(tbl_product_scores[[#This Row],[product_key]],tbl_products[[product_key]:[group_display_key]],2,FALSE),"")</f>
        <v/>
      </c>
    </row>
    <row r="2070" spans="8:8" x14ac:dyDescent="0.2">
      <c r="H2070" s="11" t="str">
        <f>IFERROR(VLOOKUP(tbl_product_scores[[#This Row],[product_key]],tbl_products[[product_key]:[group_display_key]],2,FALSE),"")</f>
        <v/>
      </c>
    </row>
    <row r="2071" spans="8:8" x14ac:dyDescent="0.2">
      <c r="H2071" s="11" t="str">
        <f>IFERROR(VLOOKUP(tbl_product_scores[[#This Row],[product_key]],tbl_products[[product_key]:[group_display_key]],2,FALSE),"")</f>
        <v/>
      </c>
    </row>
    <row r="2072" spans="8:8" x14ac:dyDescent="0.2">
      <c r="H2072" s="11" t="str">
        <f>IFERROR(VLOOKUP(tbl_product_scores[[#This Row],[product_key]],tbl_products[[product_key]:[group_display_key]],2,FALSE),"")</f>
        <v/>
      </c>
    </row>
    <row r="2073" spans="8:8" x14ac:dyDescent="0.2">
      <c r="H2073" s="11" t="str">
        <f>IFERROR(VLOOKUP(tbl_product_scores[[#This Row],[product_key]],tbl_products[[product_key]:[group_display_key]],2,FALSE),"")</f>
        <v/>
      </c>
    </row>
    <row r="2074" spans="8:8" x14ac:dyDescent="0.2">
      <c r="H2074" s="11" t="str">
        <f>IFERROR(VLOOKUP(tbl_product_scores[[#This Row],[product_key]],tbl_products[[product_key]:[group_display_key]],2,FALSE),"")</f>
        <v/>
      </c>
    </row>
    <row r="2075" spans="8:8" x14ac:dyDescent="0.2">
      <c r="H2075" s="11" t="str">
        <f>IFERROR(VLOOKUP(tbl_product_scores[[#This Row],[product_key]],tbl_products[[product_key]:[group_display_key]],2,FALSE),"")</f>
        <v/>
      </c>
    </row>
    <row r="2076" spans="8:8" x14ac:dyDescent="0.2">
      <c r="H2076" s="11" t="str">
        <f>IFERROR(VLOOKUP(tbl_product_scores[[#This Row],[product_key]],tbl_products[[product_key]:[group_display_key]],2,FALSE),"")</f>
        <v/>
      </c>
    </row>
    <row r="2077" spans="8:8" x14ac:dyDescent="0.2">
      <c r="H2077" s="11" t="str">
        <f>IFERROR(VLOOKUP(tbl_product_scores[[#This Row],[product_key]],tbl_products[[product_key]:[group_display_key]],2,FALSE),"")</f>
        <v/>
      </c>
    </row>
    <row r="2078" spans="8:8" x14ac:dyDescent="0.2">
      <c r="H2078" s="11" t="str">
        <f>IFERROR(VLOOKUP(tbl_product_scores[[#This Row],[product_key]],tbl_products[[product_key]:[group_display_key]],2,FALSE),"")</f>
        <v/>
      </c>
    </row>
    <row r="2079" spans="8:8" x14ac:dyDescent="0.2">
      <c r="H2079" s="11" t="str">
        <f>IFERROR(VLOOKUP(tbl_product_scores[[#This Row],[product_key]],tbl_products[[product_key]:[group_display_key]],2,FALSE),"")</f>
        <v/>
      </c>
    </row>
    <row r="2080" spans="8:8" x14ac:dyDescent="0.2">
      <c r="H2080" s="11" t="str">
        <f>IFERROR(VLOOKUP(tbl_product_scores[[#This Row],[product_key]],tbl_products[[product_key]:[group_display_key]],2,FALSE),"")</f>
        <v/>
      </c>
    </row>
    <row r="2081" spans="8:8" x14ac:dyDescent="0.2">
      <c r="H2081" s="11" t="str">
        <f>IFERROR(VLOOKUP(tbl_product_scores[[#This Row],[product_key]],tbl_products[[product_key]:[group_display_key]],2,FALSE),"")</f>
        <v/>
      </c>
    </row>
    <row r="2082" spans="8:8" x14ac:dyDescent="0.2">
      <c r="H2082" s="11" t="str">
        <f>IFERROR(VLOOKUP(tbl_product_scores[[#This Row],[product_key]],tbl_products[[product_key]:[group_display_key]],2,FALSE),"")</f>
        <v/>
      </c>
    </row>
    <row r="2083" spans="8:8" x14ac:dyDescent="0.2">
      <c r="H2083" s="11" t="str">
        <f>IFERROR(VLOOKUP(tbl_product_scores[[#This Row],[product_key]],tbl_products[[product_key]:[group_display_key]],2,FALSE),"")</f>
        <v/>
      </c>
    </row>
    <row r="2084" spans="8:8" x14ac:dyDescent="0.2">
      <c r="H2084" s="11" t="str">
        <f>IFERROR(VLOOKUP(tbl_product_scores[[#This Row],[product_key]],tbl_products[[product_key]:[group_display_key]],2,FALSE),"")</f>
        <v/>
      </c>
    </row>
    <row r="2085" spans="8:8" x14ac:dyDescent="0.2">
      <c r="H2085" s="11" t="str">
        <f>IFERROR(VLOOKUP(tbl_product_scores[[#This Row],[product_key]],tbl_products[[product_key]:[group_display_key]],2,FALSE),"")</f>
        <v/>
      </c>
    </row>
    <row r="2086" spans="8:8" x14ac:dyDescent="0.2">
      <c r="H2086" s="11" t="str">
        <f>IFERROR(VLOOKUP(tbl_product_scores[[#This Row],[product_key]],tbl_products[[product_key]:[group_display_key]],2,FALSE),"")</f>
        <v/>
      </c>
    </row>
    <row r="2087" spans="8:8" x14ac:dyDescent="0.2">
      <c r="H2087" s="11" t="str">
        <f>IFERROR(VLOOKUP(tbl_product_scores[[#This Row],[product_key]],tbl_products[[product_key]:[group_display_key]],2,FALSE),"")</f>
        <v/>
      </c>
    </row>
    <row r="2088" spans="8:8" x14ac:dyDescent="0.2">
      <c r="H2088" s="11" t="str">
        <f>IFERROR(VLOOKUP(tbl_product_scores[[#This Row],[product_key]],tbl_products[[product_key]:[group_display_key]],2,FALSE),"")</f>
        <v/>
      </c>
    </row>
    <row r="2089" spans="8:8" x14ac:dyDescent="0.2">
      <c r="H2089" s="11" t="str">
        <f>IFERROR(VLOOKUP(tbl_product_scores[[#This Row],[product_key]],tbl_products[[product_key]:[group_display_key]],2,FALSE),"")</f>
        <v/>
      </c>
    </row>
    <row r="2090" spans="8:8" x14ac:dyDescent="0.2">
      <c r="H2090" s="11" t="str">
        <f>IFERROR(VLOOKUP(tbl_product_scores[[#This Row],[product_key]],tbl_products[[product_key]:[group_display_key]],2,FALSE),"")</f>
        <v/>
      </c>
    </row>
    <row r="2091" spans="8:8" x14ac:dyDescent="0.2">
      <c r="H2091" s="11" t="str">
        <f>IFERROR(VLOOKUP(tbl_product_scores[[#This Row],[product_key]],tbl_products[[product_key]:[group_display_key]],2,FALSE),"")</f>
        <v/>
      </c>
    </row>
    <row r="2092" spans="8:8" x14ac:dyDescent="0.2">
      <c r="H2092" s="11" t="str">
        <f>IFERROR(VLOOKUP(tbl_product_scores[[#This Row],[product_key]],tbl_products[[product_key]:[group_display_key]],2,FALSE),"")</f>
        <v/>
      </c>
    </row>
    <row r="2093" spans="8:8" x14ac:dyDescent="0.2">
      <c r="H2093" s="11" t="str">
        <f>IFERROR(VLOOKUP(tbl_product_scores[[#This Row],[product_key]],tbl_products[[product_key]:[group_display_key]],2,FALSE),"")</f>
        <v/>
      </c>
    </row>
    <row r="2094" spans="8:8" x14ac:dyDescent="0.2">
      <c r="H2094" s="11" t="str">
        <f>IFERROR(VLOOKUP(tbl_product_scores[[#This Row],[product_key]],tbl_products[[product_key]:[group_display_key]],2,FALSE),"")</f>
        <v/>
      </c>
    </row>
    <row r="2095" spans="8:8" x14ac:dyDescent="0.2">
      <c r="H2095" s="11" t="str">
        <f>IFERROR(VLOOKUP(tbl_product_scores[[#This Row],[product_key]],tbl_products[[product_key]:[group_display_key]],2,FALSE),"")</f>
        <v/>
      </c>
    </row>
    <row r="2096" spans="8:8" x14ac:dyDescent="0.2">
      <c r="H2096" s="11" t="str">
        <f>IFERROR(VLOOKUP(tbl_product_scores[[#This Row],[product_key]],tbl_products[[product_key]:[group_display_key]],2,FALSE),"")</f>
        <v/>
      </c>
    </row>
    <row r="2097" spans="8:8" x14ac:dyDescent="0.2">
      <c r="H2097" s="11" t="str">
        <f>IFERROR(VLOOKUP(tbl_product_scores[[#This Row],[product_key]],tbl_products[[product_key]:[group_display_key]],2,FALSE),"")</f>
        <v/>
      </c>
    </row>
    <row r="2098" spans="8:8" x14ac:dyDescent="0.2">
      <c r="H2098" s="11" t="str">
        <f>IFERROR(VLOOKUP(tbl_product_scores[[#This Row],[product_key]],tbl_products[[product_key]:[group_display_key]],2,FALSE),"")</f>
        <v/>
      </c>
    </row>
    <row r="2099" spans="8:8" x14ac:dyDescent="0.2">
      <c r="H2099" s="11" t="str">
        <f>IFERROR(VLOOKUP(tbl_product_scores[[#This Row],[product_key]],tbl_products[[product_key]:[group_display_key]],2,FALSE),"")</f>
        <v/>
      </c>
    </row>
    <row r="2100" spans="8:8" x14ac:dyDescent="0.2">
      <c r="H2100" s="11" t="str">
        <f>IFERROR(VLOOKUP(tbl_product_scores[[#This Row],[product_key]],tbl_products[[product_key]:[group_display_key]],2,FALSE),"")</f>
        <v/>
      </c>
    </row>
    <row r="2101" spans="8:8" x14ac:dyDescent="0.2">
      <c r="H2101" s="11" t="str">
        <f>IFERROR(VLOOKUP(tbl_product_scores[[#This Row],[product_key]],tbl_products[[product_key]:[group_display_key]],2,FALSE),"")</f>
        <v/>
      </c>
    </row>
    <row r="2102" spans="8:8" x14ac:dyDescent="0.2">
      <c r="H2102" s="11" t="str">
        <f>IFERROR(VLOOKUP(tbl_product_scores[[#This Row],[product_key]],tbl_products[[product_key]:[group_display_key]],2,FALSE),"")</f>
        <v/>
      </c>
    </row>
    <row r="2103" spans="8:8" x14ac:dyDescent="0.2">
      <c r="H2103" s="11" t="str">
        <f>IFERROR(VLOOKUP(tbl_product_scores[[#This Row],[product_key]],tbl_products[[product_key]:[group_display_key]],2,FALSE),"")</f>
        <v/>
      </c>
    </row>
    <row r="2104" spans="8:8" x14ac:dyDescent="0.2">
      <c r="H2104" s="11" t="str">
        <f>IFERROR(VLOOKUP(tbl_product_scores[[#This Row],[product_key]],tbl_products[[product_key]:[group_display_key]],2,FALSE),"")</f>
        <v/>
      </c>
    </row>
    <row r="2105" spans="8:8" x14ac:dyDescent="0.2">
      <c r="H2105" s="11" t="str">
        <f>IFERROR(VLOOKUP(tbl_product_scores[[#This Row],[product_key]],tbl_products[[product_key]:[group_display_key]],2,FALSE),"")</f>
        <v/>
      </c>
    </row>
    <row r="2106" spans="8:8" x14ac:dyDescent="0.2">
      <c r="H2106" s="11" t="str">
        <f>IFERROR(VLOOKUP(tbl_product_scores[[#This Row],[product_key]],tbl_products[[product_key]:[group_display_key]],2,FALSE),"")</f>
        <v/>
      </c>
    </row>
    <row r="2107" spans="8:8" x14ac:dyDescent="0.2">
      <c r="H2107" s="11" t="str">
        <f>IFERROR(VLOOKUP(tbl_product_scores[[#This Row],[product_key]],tbl_products[[product_key]:[group_display_key]],2,FALSE),"")</f>
        <v/>
      </c>
    </row>
    <row r="2108" spans="8:8" x14ac:dyDescent="0.2">
      <c r="H2108" s="11" t="str">
        <f>IFERROR(VLOOKUP(tbl_product_scores[[#This Row],[product_key]],tbl_products[[product_key]:[group_display_key]],2,FALSE),"")</f>
        <v/>
      </c>
    </row>
    <row r="2109" spans="8:8" x14ac:dyDescent="0.2">
      <c r="H2109" s="11" t="str">
        <f>IFERROR(VLOOKUP(tbl_product_scores[[#This Row],[product_key]],tbl_products[[product_key]:[group_display_key]],2,FALSE),"")</f>
        <v/>
      </c>
    </row>
    <row r="2110" spans="8:8" x14ac:dyDescent="0.2">
      <c r="H2110" s="11" t="str">
        <f>IFERROR(VLOOKUP(tbl_product_scores[[#This Row],[product_key]],tbl_products[[product_key]:[group_display_key]],2,FALSE),"")</f>
        <v/>
      </c>
    </row>
    <row r="2111" spans="8:8" x14ac:dyDescent="0.2">
      <c r="H2111" s="11" t="str">
        <f>IFERROR(VLOOKUP(tbl_product_scores[[#This Row],[product_key]],tbl_products[[product_key]:[group_display_key]],2,FALSE),"")</f>
        <v/>
      </c>
    </row>
    <row r="2112" spans="8:8" x14ac:dyDescent="0.2">
      <c r="H2112" s="11" t="str">
        <f>IFERROR(VLOOKUP(tbl_product_scores[[#This Row],[product_key]],tbl_products[[product_key]:[group_display_key]],2,FALSE),"")</f>
        <v/>
      </c>
    </row>
    <row r="2113" spans="8:8" x14ac:dyDescent="0.2">
      <c r="H2113" s="11" t="str">
        <f>IFERROR(VLOOKUP(tbl_product_scores[[#This Row],[product_key]],tbl_products[[product_key]:[group_display_key]],2,FALSE),"")</f>
        <v/>
      </c>
    </row>
    <row r="2114" spans="8:8" x14ac:dyDescent="0.2">
      <c r="H2114" s="11" t="str">
        <f>IFERROR(VLOOKUP(tbl_product_scores[[#This Row],[product_key]],tbl_products[[product_key]:[group_display_key]],2,FALSE),"")</f>
        <v/>
      </c>
    </row>
    <row r="2115" spans="8:8" x14ac:dyDescent="0.2">
      <c r="H2115" s="11" t="str">
        <f>IFERROR(VLOOKUP(tbl_product_scores[[#This Row],[product_key]],tbl_products[[product_key]:[group_display_key]],2,FALSE),"")</f>
        <v/>
      </c>
    </row>
    <row r="2116" spans="8:8" x14ac:dyDescent="0.2">
      <c r="H2116" s="11" t="str">
        <f>IFERROR(VLOOKUP(tbl_product_scores[[#This Row],[product_key]],tbl_products[[product_key]:[group_display_key]],2,FALSE),"")</f>
        <v/>
      </c>
    </row>
    <row r="2117" spans="8:8" x14ac:dyDescent="0.2">
      <c r="H2117" s="11" t="str">
        <f>IFERROR(VLOOKUP(tbl_product_scores[[#This Row],[product_key]],tbl_products[[product_key]:[group_display_key]],2,FALSE),"")</f>
        <v/>
      </c>
    </row>
    <row r="2118" spans="8:8" x14ac:dyDescent="0.2">
      <c r="H2118" s="11" t="str">
        <f>IFERROR(VLOOKUP(tbl_product_scores[[#This Row],[product_key]],tbl_products[[product_key]:[group_display_key]],2,FALSE),"")</f>
        <v/>
      </c>
    </row>
    <row r="2119" spans="8:8" x14ac:dyDescent="0.2">
      <c r="H2119" s="11" t="str">
        <f>IFERROR(VLOOKUP(tbl_product_scores[[#This Row],[product_key]],tbl_products[[product_key]:[group_display_key]],2,FALSE),"")</f>
        <v/>
      </c>
    </row>
    <row r="2120" spans="8:8" x14ac:dyDescent="0.2">
      <c r="H2120" s="11" t="str">
        <f>IFERROR(VLOOKUP(tbl_product_scores[[#This Row],[product_key]],tbl_products[[product_key]:[group_display_key]],2,FALSE),"")</f>
        <v/>
      </c>
    </row>
    <row r="2121" spans="8:8" x14ac:dyDescent="0.2">
      <c r="H2121" s="11" t="str">
        <f>IFERROR(VLOOKUP(tbl_product_scores[[#This Row],[product_key]],tbl_products[[product_key]:[group_display_key]],2,FALSE),"")</f>
        <v/>
      </c>
    </row>
    <row r="2122" spans="8:8" x14ac:dyDescent="0.2">
      <c r="H2122" s="11" t="str">
        <f>IFERROR(VLOOKUP(tbl_product_scores[[#This Row],[product_key]],tbl_products[[product_key]:[group_display_key]],2,FALSE),"")</f>
        <v/>
      </c>
    </row>
    <row r="2123" spans="8:8" x14ac:dyDescent="0.2">
      <c r="H2123" s="11" t="str">
        <f>IFERROR(VLOOKUP(tbl_product_scores[[#This Row],[product_key]],tbl_products[[product_key]:[group_display_key]],2,FALSE),"")</f>
        <v/>
      </c>
    </row>
    <row r="2124" spans="8:8" x14ac:dyDescent="0.2">
      <c r="H2124" s="11" t="str">
        <f>IFERROR(VLOOKUP(tbl_product_scores[[#This Row],[product_key]],tbl_products[[product_key]:[group_display_key]],2,FALSE),"")</f>
        <v/>
      </c>
    </row>
    <row r="2125" spans="8:8" x14ac:dyDescent="0.2">
      <c r="H2125" s="11" t="str">
        <f>IFERROR(VLOOKUP(tbl_product_scores[[#This Row],[product_key]],tbl_products[[product_key]:[group_display_key]],2,FALSE),"")</f>
        <v/>
      </c>
    </row>
    <row r="2126" spans="8:8" x14ac:dyDescent="0.2">
      <c r="H2126" s="11" t="str">
        <f>IFERROR(VLOOKUP(tbl_product_scores[[#This Row],[product_key]],tbl_products[[product_key]:[group_display_key]],2,FALSE),"")</f>
        <v/>
      </c>
    </row>
    <row r="2127" spans="8:8" x14ac:dyDescent="0.2">
      <c r="H2127" s="11" t="str">
        <f>IFERROR(VLOOKUP(tbl_product_scores[[#This Row],[product_key]],tbl_products[[product_key]:[group_display_key]],2,FALSE),"")</f>
        <v/>
      </c>
    </row>
    <row r="2128" spans="8:8" x14ac:dyDescent="0.2">
      <c r="H2128" s="11" t="str">
        <f>IFERROR(VLOOKUP(tbl_product_scores[[#This Row],[product_key]],tbl_products[[product_key]:[group_display_key]],2,FALSE),"")</f>
        <v/>
      </c>
    </row>
    <row r="2129" spans="8:8" x14ac:dyDescent="0.2">
      <c r="H2129" s="11" t="str">
        <f>IFERROR(VLOOKUP(tbl_product_scores[[#This Row],[product_key]],tbl_products[[product_key]:[group_display_key]],2,FALSE),"")</f>
        <v/>
      </c>
    </row>
    <row r="2130" spans="8:8" x14ac:dyDescent="0.2">
      <c r="H2130" s="11" t="str">
        <f>IFERROR(VLOOKUP(tbl_product_scores[[#This Row],[product_key]],tbl_products[[product_key]:[group_display_key]],2,FALSE),"")</f>
        <v/>
      </c>
    </row>
    <row r="2131" spans="8:8" x14ac:dyDescent="0.2">
      <c r="H2131" s="11" t="str">
        <f>IFERROR(VLOOKUP(tbl_product_scores[[#This Row],[product_key]],tbl_products[[product_key]:[group_display_key]],2,FALSE),"")</f>
        <v/>
      </c>
    </row>
    <row r="2132" spans="8:8" x14ac:dyDescent="0.2">
      <c r="H2132" s="11" t="str">
        <f>IFERROR(VLOOKUP(tbl_product_scores[[#This Row],[product_key]],tbl_products[[product_key]:[group_display_key]],2,FALSE),"")</f>
        <v/>
      </c>
    </row>
    <row r="2133" spans="8:8" x14ac:dyDescent="0.2">
      <c r="H2133" s="11" t="str">
        <f>IFERROR(VLOOKUP(tbl_product_scores[[#This Row],[product_key]],tbl_products[[product_key]:[group_display_key]],2,FALSE),"")</f>
        <v/>
      </c>
    </row>
    <row r="2134" spans="8:8" x14ac:dyDescent="0.2">
      <c r="H2134" s="11" t="str">
        <f>IFERROR(VLOOKUP(tbl_product_scores[[#This Row],[product_key]],tbl_products[[product_key]:[group_display_key]],2,FALSE),"")</f>
        <v/>
      </c>
    </row>
    <row r="2135" spans="8:8" x14ac:dyDescent="0.2">
      <c r="H2135" s="11" t="str">
        <f>IFERROR(VLOOKUP(tbl_product_scores[[#This Row],[product_key]],tbl_products[[product_key]:[group_display_key]],2,FALSE),"")</f>
        <v/>
      </c>
    </row>
    <row r="2136" spans="8:8" x14ac:dyDescent="0.2">
      <c r="H2136" s="11" t="str">
        <f>IFERROR(VLOOKUP(tbl_product_scores[[#This Row],[product_key]],tbl_products[[product_key]:[group_display_key]],2,FALSE),"")</f>
        <v/>
      </c>
    </row>
    <row r="2137" spans="8:8" x14ac:dyDescent="0.2">
      <c r="H2137" s="11" t="str">
        <f>IFERROR(VLOOKUP(tbl_product_scores[[#This Row],[product_key]],tbl_products[[product_key]:[group_display_key]],2,FALSE),"")</f>
        <v/>
      </c>
    </row>
    <row r="2138" spans="8:8" x14ac:dyDescent="0.2">
      <c r="H2138" s="11" t="str">
        <f>IFERROR(VLOOKUP(tbl_product_scores[[#This Row],[product_key]],tbl_products[[product_key]:[group_display_key]],2,FALSE),"")</f>
        <v/>
      </c>
    </row>
    <row r="2139" spans="8:8" x14ac:dyDescent="0.2">
      <c r="H2139" s="11" t="str">
        <f>IFERROR(VLOOKUP(tbl_product_scores[[#This Row],[product_key]],tbl_products[[product_key]:[group_display_key]],2,FALSE),"")</f>
        <v/>
      </c>
    </row>
    <row r="2140" spans="8:8" x14ac:dyDescent="0.2">
      <c r="H2140" s="11" t="str">
        <f>IFERROR(VLOOKUP(tbl_product_scores[[#This Row],[product_key]],tbl_products[[product_key]:[group_display_key]],2,FALSE),"")</f>
        <v/>
      </c>
    </row>
    <row r="2141" spans="8:8" x14ac:dyDescent="0.2">
      <c r="H2141" s="11" t="str">
        <f>IFERROR(VLOOKUP(tbl_product_scores[[#This Row],[product_key]],tbl_products[[product_key]:[group_display_key]],2,FALSE),"")</f>
        <v/>
      </c>
    </row>
    <row r="2142" spans="8:8" x14ac:dyDescent="0.2">
      <c r="H2142" s="11" t="str">
        <f>IFERROR(VLOOKUP(tbl_product_scores[[#This Row],[product_key]],tbl_products[[product_key]:[group_display_key]],2,FALSE),"")</f>
        <v/>
      </c>
    </row>
    <row r="2143" spans="8:8" x14ac:dyDescent="0.2">
      <c r="H2143" s="11" t="str">
        <f>IFERROR(VLOOKUP(tbl_product_scores[[#This Row],[product_key]],tbl_products[[product_key]:[group_display_key]],2,FALSE),"")</f>
        <v/>
      </c>
    </row>
    <row r="2144" spans="8:8" x14ac:dyDescent="0.2">
      <c r="H2144" s="11" t="str">
        <f>IFERROR(VLOOKUP(tbl_product_scores[[#This Row],[product_key]],tbl_products[[product_key]:[group_display_key]],2,FALSE),"")</f>
        <v/>
      </c>
    </row>
    <row r="2145" spans="8:8" x14ac:dyDescent="0.2">
      <c r="H2145" s="11" t="str">
        <f>IFERROR(VLOOKUP(tbl_product_scores[[#This Row],[product_key]],tbl_products[[product_key]:[group_display_key]],2,FALSE),"")</f>
        <v/>
      </c>
    </row>
    <row r="2146" spans="8:8" x14ac:dyDescent="0.2">
      <c r="H2146" s="11" t="str">
        <f>IFERROR(VLOOKUP(tbl_product_scores[[#This Row],[product_key]],tbl_products[[product_key]:[group_display_key]],2,FALSE),"")</f>
        <v/>
      </c>
    </row>
    <row r="2147" spans="8:8" x14ac:dyDescent="0.2">
      <c r="H2147" s="11" t="str">
        <f>IFERROR(VLOOKUP(tbl_product_scores[[#This Row],[product_key]],tbl_products[[product_key]:[group_display_key]],2,FALSE),"")</f>
        <v/>
      </c>
    </row>
    <row r="2148" spans="8:8" x14ac:dyDescent="0.2">
      <c r="H2148" s="11" t="str">
        <f>IFERROR(VLOOKUP(tbl_product_scores[[#This Row],[product_key]],tbl_products[[product_key]:[group_display_key]],2,FALSE),"")</f>
        <v/>
      </c>
    </row>
    <row r="2149" spans="8:8" x14ac:dyDescent="0.2">
      <c r="H2149" s="11" t="str">
        <f>IFERROR(VLOOKUP(tbl_product_scores[[#This Row],[product_key]],tbl_products[[product_key]:[group_display_key]],2,FALSE),"")</f>
        <v/>
      </c>
    </row>
    <row r="2150" spans="8:8" x14ac:dyDescent="0.2">
      <c r="H2150" s="11" t="str">
        <f>IFERROR(VLOOKUP(tbl_product_scores[[#This Row],[product_key]],tbl_products[[product_key]:[group_display_key]],2,FALSE),"")</f>
        <v/>
      </c>
    </row>
    <row r="2151" spans="8:8" x14ac:dyDescent="0.2">
      <c r="H2151" s="11" t="str">
        <f>IFERROR(VLOOKUP(tbl_product_scores[[#This Row],[product_key]],tbl_products[[product_key]:[group_display_key]],2,FALSE),"")</f>
        <v/>
      </c>
    </row>
    <row r="2152" spans="8:8" x14ac:dyDescent="0.2">
      <c r="H2152" s="11" t="str">
        <f>IFERROR(VLOOKUP(tbl_product_scores[[#This Row],[product_key]],tbl_products[[product_key]:[group_display_key]],2,FALSE),"")</f>
        <v/>
      </c>
    </row>
    <row r="2153" spans="8:8" x14ac:dyDescent="0.2">
      <c r="H2153" s="11" t="str">
        <f>IFERROR(VLOOKUP(tbl_product_scores[[#This Row],[product_key]],tbl_products[[product_key]:[group_display_key]],2,FALSE),"")</f>
        <v/>
      </c>
    </row>
    <row r="2154" spans="8:8" x14ac:dyDescent="0.2">
      <c r="H2154" s="11" t="str">
        <f>IFERROR(VLOOKUP(tbl_product_scores[[#This Row],[product_key]],tbl_products[[product_key]:[group_display_key]],2,FALSE),"")</f>
        <v/>
      </c>
    </row>
    <row r="2155" spans="8:8" x14ac:dyDescent="0.2">
      <c r="H2155" s="11" t="str">
        <f>IFERROR(VLOOKUP(tbl_product_scores[[#This Row],[product_key]],tbl_products[[product_key]:[group_display_key]],2,FALSE),"")</f>
        <v/>
      </c>
    </row>
    <row r="2156" spans="8:8" x14ac:dyDescent="0.2">
      <c r="H2156" s="11" t="str">
        <f>IFERROR(VLOOKUP(tbl_product_scores[[#This Row],[product_key]],tbl_products[[product_key]:[group_display_key]],2,FALSE),"")</f>
        <v/>
      </c>
    </row>
    <row r="2157" spans="8:8" x14ac:dyDescent="0.2">
      <c r="H2157" s="11" t="str">
        <f>IFERROR(VLOOKUP(tbl_product_scores[[#This Row],[product_key]],tbl_products[[product_key]:[group_display_key]],2,FALSE),"")</f>
        <v/>
      </c>
    </row>
    <row r="2158" spans="8:8" x14ac:dyDescent="0.2">
      <c r="H2158" s="11" t="str">
        <f>IFERROR(VLOOKUP(tbl_product_scores[[#This Row],[product_key]],tbl_products[[product_key]:[group_display_key]],2,FALSE),"")</f>
        <v/>
      </c>
    </row>
    <row r="2159" spans="8:8" x14ac:dyDescent="0.2">
      <c r="H2159" s="11" t="str">
        <f>IFERROR(VLOOKUP(tbl_product_scores[[#This Row],[product_key]],tbl_products[[product_key]:[group_display_key]],2,FALSE),"")</f>
        <v/>
      </c>
    </row>
    <row r="2160" spans="8:8" x14ac:dyDescent="0.2">
      <c r="H2160" s="11" t="str">
        <f>IFERROR(VLOOKUP(tbl_product_scores[[#This Row],[product_key]],tbl_products[[product_key]:[group_display_key]],2,FALSE),"")</f>
        <v/>
      </c>
    </row>
    <row r="2161" spans="8:8" x14ac:dyDescent="0.2">
      <c r="H2161" s="11" t="str">
        <f>IFERROR(VLOOKUP(tbl_product_scores[[#This Row],[product_key]],tbl_products[[product_key]:[group_display_key]],2,FALSE),"")</f>
        <v/>
      </c>
    </row>
    <row r="2162" spans="8:8" x14ac:dyDescent="0.2">
      <c r="H2162" s="11" t="str">
        <f>IFERROR(VLOOKUP(tbl_product_scores[[#This Row],[product_key]],tbl_products[[product_key]:[group_display_key]],2,FALSE),"")</f>
        <v/>
      </c>
    </row>
    <row r="2163" spans="8:8" x14ac:dyDescent="0.2">
      <c r="H2163" s="11" t="str">
        <f>IFERROR(VLOOKUP(tbl_product_scores[[#This Row],[product_key]],tbl_products[[product_key]:[group_display_key]],2,FALSE),"")</f>
        <v/>
      </c>
    </row>
    <row r="2164" spans="8:8" x14ac:dyDescent="0.2">
      <c r="H2164" s="11" t="str">
        <f>IFERROR(VLOOKUP(tbl_product_scores[[#This Row],[product_key]],tbl_products[[product_key]:[group_display_key]],2,FALSE),"")</f>
        <v/>
      </c>
    </row>
    <row r="2165" spans="8:8" x14ac:dyDescent="0.2">
      <c r="H2165" s="11" t="str">
        <f>IFERROR(VLOOKUP(tbl_product_scores[[#This Row],[product_key]],tbl_products[[product_key]:[group_display_key]],2,FALSE),"")</f>
        <v/>
      </c>
    </row>
    <row r="2166" spans="8:8" x14ac:dyDescent="0.2">
      <c r="H2166" s="11" t="str">
        <f>IFERROR(VLOOKUP(tbl_product_scores[[#This Row],[product_key]],tbl_products[[product_key]:[group_display_key]],2,FALSE),"")</f>
        <v/>
      </c>
    </row>
    <row r="2167" spans="8:8" x14ac:dyDescent="0.2">
      <c r="H2167" s="11" t="str">
        <f>IFERROR(VLOOKUP(tbl_product_scores[[#This Row],[product_key]],tbl_products[[product_key]:[group_display_key]],2,FALSE),"")</f>
        <v/>
      </c>
    </row>
    <row r="2168" spans="8:8" x14ac:dyDescent="0.2">
      <c r="H2168" s="11" t="str">
        <f>IFERROR(VLOOKUP(tbl_product_scores[[#This Row],[product_key]],tbl_products[[product_key]:[group_display_key]],2,FALSE),"")</f>
        <v/>
      </c>
    </row>
    <row r="2169" spans="8:8" x14ac:dyDescent="0.2">
      <c r="H2169" s="11" t="str">
        <f>IFERROR(VLOOKUP(tbl_product_scores[[#This Row],[product_key]],tbl_products[[product_key]:[group_display_key]],2,FALSE),"")</f>
        <v/>
      </c>
    </row>
    <row r="2170" spans="8:8" x14ac:dyDescent="0.2">
      <c r="H2170" s="11" t="str">
        <f>IFERROR(VLOOKUP(tbl_product_scores[[#This Row],[product_key]],tbl_products[[product_key]:[group_display_key]],2,FALSE),"")</f>
        <v/>
      </c>
    </row>
    <row r="2171" spans="8:8" x14ac:dyDescent="0.2">
      <c r="H2171" s="11" t="str">
        <f>IFERROR(VLOOKUP(tbl_product_scores[[#This Row],[product_key]],tbl_products[[product_key]:[group_display_key]],2,FALSE),"")</f>
        <v/>
      </c>
    </row>
    <row r="2172" spans="8:8" x14ac:dyDescent="0.2">
      <c r="H2172" s="11" t="str">
        <f>IFERROR(VLOOKUP(tbl_product_scores[[#This Row],[product_key]],tbl_products[[product_key]:[group_display_key]],2,FALSE),"")</f>
        <v/>
      </c>
    </row>
    <row r="2173" spans="8:8" x14ac:dyDescent="0.2">
      <c r="H2173" s="11" t="str">
        <f>IFERROR(VLOOKUP(tbl_product_scores[[#This Row],[product_key]],tbl_products[[product_key]:[group_display_key]],2,FALSE),"")</f>
        <v/>
      </c>
    </row>
    <row r="2174" spans="8:8" x14ac:dyDescent="0.2">
      <c r="H2174" s="11" t="str">
        <f>IFERROR(VLOOKUP(tbl_product_scores[[#This Row],[product_key]],tbl_products[[product_key]:[group_display_key]],2,FALSE),"")</f>
        <v/>
      </c>
    </row>
    <row r="2175" spans="8:8" x14ac:dyDescent="0.2">
      <c r="H2175" s="11" t="str">
        <f>IFERROR(VLOOKUP(tbl_product_scores[[#This Row],[product_key]],tbl_products[[product_key]:[group_display_key]],2,FALSE),"")</f>
        <v/>
      </c>
    </row>
    <row r="2176" spans="8:8" x14ac:dyDescent="0.2">
      <c r="H2176" s="11" t="str">
        <f>IFERROR(VLOOKUP(tbl_product_scores[[#This Row],[product_key]],tbl_products[[product_key]:[group_display_key]],2,FALSE),"")</f>
        <v/>
      </c>
    </row>
    <row r="2177" spans="8:8" x14ac:dyDescent="0.2">
      <c r="H2177" s="11" t="str">
        <f>IFERROR(VLOOKUP(tbl_product_scores[[#This Row],[product_key]],tbl_products[[product_key]:[group_display_key]],2,FALSE),"")</f>
        <v/>
      </c>
    </row>
    <row r="2178" spans="8:8" x14ac:dyDescent="0.2">
      <c r="H2178" s="11" t="str">
        <f>IFERROR(VLOOKUP(tbl_product_scores[[#This Row],[product_key]],tbl_products[[product_key]:[group_display_key]],2,FALSE),"")</f>
        <v/>
      </c>
    </row>
    <row r="2179" spans="8:8" x14ac:dyDescent="0.2">
      <c r="H2179" s="11" t="str">
        <f>IFERROR(VLOOKUP(tbl_product_scores[[#This Row],[product_key]],tbl_products[[product_key]:[group_display_key]],2,FALSE),"")</f>
        <v/>
      </c>
    </row>
    <row r="2180" spans="8:8" x14ac:dyDescent="0.2">
      <c r="H2180" s="11" t="str">
        <f>IFERROR(VLOOKUP(tbl_product_scores[[#This Row],[product_key]],tbl_products[[product_key]:[group_display_key]],2,FALSE),"")</f>
        <v/>
      </c>
    </row>
    <row r="2181" spans="8:8" x14ac:dyDescent="0.2">
      <c r="H2181" s="11" t="str">
        <f>IFERROR(VLOOKUP(tbl_product_scores[[#This Row],[product_key]],tbl_products[[product_key]:[group_display_key]],2,FALSE),"")</f>
        <v/>
      </c>
    </row>
    <row r="2182" spans="8:8" x14ac:dyDescent="0.2">
      <c r="H2182" s="11" t="str">
        <f>IFERROR(VLOOKUP(tbl_product_scores[[#This Row],[product_key]],tbl_products[[product_key]:[group_display_key]],2,FALSE),"")</f>
        <v/>
      </c>
    </row>
    <row r="2183" spans="8:8" x14ac:dyDescent="0.2">
      <c r="H2183" s="11" t="str">
        <f>IFERROR(VLOOKUP(tbl_product_scores[[#This Row],[product_key]],tbl_products[[product_key]:[group_display_key]],2,FALSE),"")</f>
        <v/>
      </c>
    </row>
    <row r="2184" spans="8:8" x14ac:dyDescent="0.2">
      <c r="H2184" s="11" t="str">
        <f>IFERROR(VLOOKUP(tbl_product_scores[[#This Row],[product_key]],tbl_products[[product_key]:[group_display_key]],2,FALSE),"")</f>
        <v/>
      </c>
    </row>
    <row r="2185" spans="8:8" x14ac:dyDescent="0.2">
      <c r="H2185" s="11" t="str">
        <f>IFERROR(VLOOKUP(tbl_product_scores[[#This Row],[product_key]],tbl_products[[product_key]:[group_display_key]],2,FALSE),"")</f>
        <v/>
      </c>
    </row>
    <row r="2186" spans="8:8" x14ac:dyDescent="0.2">
      <c r="H2186" s="11" t="str">
        <f>IFERROR(VLOOKUP(tbl_product_scores[[#This Row],[product_key]],tbl_products[[product_key]:[group_display_key]],2,FALSE),"")</f>
        <v/>
      </c>
    </row>
    <row r="2187" spans="8:8" x14ac:dyDescent="0.2">
      <c r="H2187" s="11" t="str">
        <f>IFERROR(VLOOKUP(tbl_product_scores[[#This Row],[product_key]],tbl_products[[product_key]:[group_display_key]],2,FALSE),"")</f>
        <v/>
      </c>
    </row>
    <row r="2188" spans="8:8" x14ac:dyDescent="0.2">
      <c r="H2188" s="11" t="str">
        <f>IFERROR(VLOOKUP(tbl_product_scores[[#This Row],[product_key]],tbl_products[[product_key]:[group_display_key]],2,FALSE),"")</f>
        <v/>
      </c>
    </row>
    <row r="2189" spans="8:8" x14ac:dyDescent="0.2">
      <c r="H2189" s="11" t="str">
        <f>IFERROR(VLOOKUP(tbl_product_scores[[#This Row],[product_key]],tbl_products[[product_key]:[group_display_key]],2,FALSE),"")</f>
        <v/>
      </c>
    </row>
    <row r="2190" spans="8:8" x14ac:dyDescent="0.2">
      <c r="H2190" s="11" t="str">
        <f>IFERROR(VLOOKUP(tbl_product_scores[[#This Row],[product_key]],tbl_products[[product_key]:[group_display_key]],2,FALSE),"")</f>
        <v/>
      </c>
    </row>
    <row r="2191" spans="8:8" x14ac:dyDescent="0.2">
      <c r="H2191" s="11" t="str">
        <f>IFERROR(VLOOKUP(tbl_product_scores[[#This Row],[product_key]],tbl_products[[product_key]:[group_display_key]],2,FALSE),"")</f>
        <v/>
      </c>
    </row>
    <row r="2192" spans="8:8" x14ac:dyDescent="0.2">
      <c r="H2192" s="11" t="str">
        <f>IFERROR(VLOOKUP(tbl_product_scores[[#This Row],[product_key]],tbl_products[[product_key]:[group_display_key]],2,FALSE),"")</f>
        <v/>
      </c>
    </row>
    <row r="2193" spans="8:8" x14ac:dyDescent="0.2">
      <c r="H2193" s="11" t="str">
        <f>IFERROR(VLOOKUP(tbl_product_scores[[#This Row],[product_key]],tbl_products[[product_key]:[group_display_key]],2,FALSE),"")</f>
        <v/>
      </c>
    </row>
    <row r="2194" spans="8:8" x14ac:dyDescent="0.2">
      <c r="H2194" s="11" t="str">
        <f>IFERROR(VLOOKUP(tbl_product_scores[[#This Row],[product_key]],tbl_products[[product_key]:[group_display_key]],2,FALSE),"")</f>
        <v/>
      </c>
    </row>
    <row r="2195" spans="8:8" x14ac:dyDescent="0.2">
      <c r="H2195" s="11" t="str">
        <f>IFERROR(VLOOKUP(tbl_product_scores[[#This Row],[product_key]],tbl_products[[product_key]:[group_display_key]],2,FALSE),"")</f>
        <v/>
      </c>
    </row>
    <row r="2196" spans="8:8" x14ac:dyDescent="0.2">
      <c r="H2196" s="11" t="str">
        <f>IFERROR(VLOOKUP(tbl_product_scores[[#This Row],[product_key]],tbl_products[[product_key]:[group_display_key]],2,FALSE),"")</f>
        <v/>
      </c>
    </row>
    <row r="2197" spans="8:8" x14ac:dyDescent="0.2">
      <c r="H2197" s="11" t="str">
        <f>IFERROR(VLOOKUP(tbl_product_scores[[#This Row],[product_key]],tbl_products[[product_key]:[group_display_key]],2,FALSE),"")</f>
        <v/>
      </c>
    </row>
    <row r="2198" spans="8:8" x14ac:dyDescent="0.2">
      <c r="H2198" s="11" t="str">
        <f>IFERROR(VLOOKUP(tbl_product_scores[[#This Row],[product_key]],tbl_products[[product_key]:[group_display_key]],2,FALSE),"")</f>
        <v/>
      </c>
    </row>
    <row r="2199" spans="8:8" x14ac:dyDescent="0.2">
      <c r="H2199" s="11" t="str">
        <f>IFERROR(VLOOKUP(tbl_product_scores[[#This Row],[product_key]],tbl_products[[product_key]:[group_display_key]],2,FALSE),"")</f>
        <v/>
      </c>
    </row>
    <row r="2200" spans="8:8" x14ac:dyDescent="0.2">
      <c r="H2200" s="11" t="str">
        <f>IFERROR(VLOOKUP(tbl_product_scores[[#This Row],[product_key]],tbl_products[[product_key]:[group_display_key]],2,FALSE),"")</f>
        <v/>
      </c>
    </row>
    <row r="2201" spans="8:8" x14ac:dyDescent="0.2">
      <c r="H2201" s="11" t="str">
        <f>IFERROR(VLOOKUP(tbl_product_scores[[#This Row],[product_key]],tbl_products[[product_key]:[group_display_key]],2,FALSE),"")</f>
        <v/>
      </c>
    </row>
    <row r="2202" spans="8:8" x14ac:dyDescent="0.2">
      <c r="H2202" s="11" t="str">
        <f>IFERROR(VLOOKUP(tbl_product_scores[[#This Row],[product_key]],tbl_products[[product_key]:[group_display_key]],2,FALSE),"")</f>
        <v/>
      </c>
    </row>
    <row r="2203" spans="8:8" x14ac:dyDescent="0.2">
      <c r="H2203" s="11" t="str">
        <f>IFERROR(VLOOKUP(tbl_product_scores[[#This Row],[product_key]],tbl_products[[product_key]:[group_display_key]],2,FALSE),"")</f>
        <v/>
      </c>
    </row>
    <row r="2204" spans="8:8" x14ac:dyDescent="0.2">
      <c r="H2204" s="11" t="str">
        <f>IFERROR(VLOOKUP(tbl_product_scores[[#This Row],[product_key]],tbl_products[[product_key]:[group_display_key]],2,FALSE),"")</f>
        <v/>
      </c>
    </row>
    <row r="2205" spans="8:8" x14ac:dyDescent="0.2">
      <c r="H2205" s="11" t="str">
        <f>IFERROR(VLOOKUP(tbl_product_scores[[#This Row],[product_key]],tbl_products[[product_key]:[group_display_key]],2,FALSE),"")</f>
        <v/>
      </c>
    </row>
    <row r="2206" spans="8:8" x14ac:dyDescent="0.2">
      <c r="H2206" s="11" t="str">
        <f>IFERROR(VLOOKUP(tbl_product_scores[[#This Row],[product_key]],tbl_products[[product_key]:[group_display_key]],2,FALSE),"")</f>
        <v/>
      </c>
    </row>
    <row r="2207" spans="8:8" x14ac:dyDescent="0.2">
      <c r="H2207" s="11" t="str">
        <f>IFERROR(VLOOKUP(tbl_product_scores[[#This Row],[product_key]],tbl_products[[product_key]:[group_display_key]],2,FALSE),"")</f>
        <v/>
      </c>
    </row>
    <row r="2208" spans="8:8" x14ac:dyDescent="0.2">
      <c r="H2208" s="11" t="str">
        <f>IFERROR(VLOOKUP(tbl_product_scores[[#This Row],[product_key]],tbl_products[[product_key]:[group_display_key]],2,FALSE),"")</f>
        <v/>
      </c>
    </row>
    <row r="2209" spans="8:8" x14ac:dyDescent="0.2">
      <c r="H2209" s="11" t="str">
        <f>IFERROR(VLOOKUP(tbl_product_scores[[#This Row],[product_key]],tbl_products[[product_key]:[group_display_key]],2,FALSE),"")</f>
        <v/>
      </c>
    </row>
    <row r="2210" spans="8:8" x14ac:dyDescent="0.2">
      <c r="H2210" s="11" t="str">
        <f>IFERROR(VLOOKUP(tbl_product_scores[[#This Row],[product_key]],tbl_products[[product_key]:[group_display_key]],2,FALSE),"")</f>
        <v/>
      </c>
    </row>
    <row r="2211" spans="8:8" x14ac:dyDescent="0.2">
      <c r="H2211" s="11" t="str">
        <f>IFERROR(VLOOKUP(tbl_product_scores[[#This Row],[product_key]],tbl_products[[product_key]:[group_display_key]],2,FALSE),"")</f>
        <v/>
      </c>
    </row>
    <row r="2212" spans="8:8" x14ac:dyDescent="0.2">
      <c r="H2212" s="11" t="str">
        <f>IFERROR(VLOOKUP(tbl_product_scores[[#This Row],[product_key]],tbl_products[[product_key]:[group_display_key]],2,FALSE),"")</f>
        <v/>
      </c>
    </row>
    <row r="2213" spans="8:8" x14ac:dyDescent="0.2">
      <c r="H2213" s="11" t="str">
        <f>IFERROR(VLOOKUP(tbl_product_scores[[#This Row],[product_key]],tbl_products[[product_key]:[group_display_key]],2,FALSE),"")</f>
        <v/>
      </c>
    </row>
    <row r="2214" spans="8:8" x14ac:dyDescent="0.2">
      <c r="H2214" s="11" t="str">
        <f>IFERROR(VLOOKUP(tbl_product_scores[[#This Row],[product_key]],tbl_products[[product_key]:[group_display_key]],2,FALSE),"")</f>
        <v/>
      </c>
    </row>
    <row r="2215" spans="8:8" x14ac:dyDescent="0.2">
      <c r="H2215" s="11" t="str">
        <f>IFERROR(VLOOKUP(tbl_product_scores[[#This Row],[product_key]],tbl_products[[product_key]:[group_display_key]],2,FALSE),"")</f>
        <v/>
      </c>
    </row>
    <row r="2216" spans="8:8" x14ac:dyDescent="0.2">
      <c r="H2216" s="11" t="str">
        <f>IFERROR(VLOOKUP(tbl_product_scores[[#This Row],[product_key]],tbl_products[[product_key]:[group_display_key]],2,FALSE),"")</f>
        <v/>
      </c>
    </row>
    <row r="2217" spans="8:8" x14ac:dyDescent="0.2">
      <c r="H2217" s="11" t="str">
        <f>IFERROR(VLOOKUP(tbl_product_scores[[#This Row],[product_key]],tbl_products[[product_key]:[group_display_key]],2,FALSE),"")</f>
        <v/>
      </c>
    </row>
    <row r="2218" spans="8:8" x14ac:dyDescent="0.2">
      <c r="H2218" s="11" t="str">
        <f>IFERROR(VLOOKUP(tbl_product_scores[[#This Row],[product_key]],tbl_products[[product_key]:[group_display_key]],2,FALSE),"")</f>
        <v/>
      </c>
    </row>
    <row r="2219" spans="8:8" x14ac:dyDescent="0.2">
      <c r="H2219" s="11" t="str">
        <f>IFERROR(VLOOKUP(tbl_product_scores[[#This Row],[product_key]],tbl_products[[product_key]:[group_display_key]],2,FALSE),"")</f>
        <v/>
      </c>
    </row>
    <row r="2220" spans="8:8" x14ac:dyDescent="0.2">
      <c r="H2220" s="11" t="str">
        <f>IFERROR(VLOOKUP(tbl_product_scores[[#This Row],[product_key]],tbl_products[[product_key]:[group_display_key]],2,FALSE),"")</f>
        <v/>
      </c>
    </row>
    <row r="2221" spans="8:8" x14ac:dyDescent="0.2">
      <c r="H2221" s="11" t="str">
        <f>IFERROR(VLOOKUP(tbl_product_scores[[#This Row],[product_key]],tbl_products[[product_key]:[group_display_key]],2,FALSE),"")</f>
        <v/>
      </c>
    </row>
    <row r="2222" spans="8:8" x14ac:dyDescent="0.2">
      <c r="H2222" s="11" t="str">
        <f>IFERROR(VLOOKUP(tbl_product_scores[[#This Row],[product_key]],tbl_products[[product_key]:[group_display_key]],2,FALSE),"")</f>
        <v/>
      </c>
    </row>
    <row r="2223" spans="8:8" x14ac:dyDescent="0.2">
      <c r="H2223" s="11" t="str">
        <f>IFERROR(VLOOKUP(tbl_product_scores[[#This Row],[product_key]],tbl_products[[product_key]:[group_display_key]],2,FALSE),"")</f>
        <v/>
      </c>
    </row>
    <row r="2224" spans="8:8" x14ac:dyDescent="0.2">
      <c r="H2224" s="11" t="str">
        <f>IFERROR(VLOOKUP(tbl_product_scores[[#This Row],[product_key]],tbl_products[[product_key]:[group_display_key]],2,FALSE),"")</f>
        <v/>
      </c>
    </row>
    <row r="2225" spans="8:8" x14ac:dyDescent="0.2">
      <c r="H2225" s="11" t="str">
        <f>IFERROR(VLOOKUP(tbl_product_scores[[#This Row],[product_key]],tbl_products[[product_key]:[group_display_key]],2,FALSE),"")</f>
        <v/>
      </c>
    </row>
    <row r="2226" spans="8:8" x14ac:dyDescent="0.2">
      <c r="H2226" s="11" t="str">
        <f>IFERROR(VLOOKUP(tbl_product_scores[[#This Row],[product_key]],tbl_products[[product_key]:[group_display_key]],2,FALSE),"")</f>
        <v/>
      </c>
    </row>
    <row r="2227" spans="8:8" x14ac:dyDescent="0.2">
      <c r="H2227" s="11" t="str">
        <f>IFERROR(VLOOKUP(tbl_product_scores[[#This Row],[product_key]],tbl_products[[product_key]:[group_display_key]],2,FALSE),"")</f>
        <v/>
      </c>
    </row>
    <row r="2228" spans="8:8" x14ac:dyDescent="0.2">
      <c r="H2228" s="11" t="str">
        <f>IFERROR(VLOOKUP(tbl_product_scores[[#This Row],[product_key]],tbl_products[[product_key]:[group_display_key]],2,FALSE),"")</f>
        <v/>
      </c>
    </row>
    <row r="2229" spans="8:8" x14ac:dyDescent="0.2">
      <c r="H2229" s="11" t="str">
        <f>IFERROR(VLOOKUP(tbl_product_scores[[#This Row],[product_key]],tbl_products[[product_key]:[group_display_key]],2,FALSE),"")</f>
        <v/>
      </c>
    </row>
    <row r="2230" spans="8:8" x14ac:dyDescent="0.2">
      <c r="H2230" s="11" t="str">
        <f>IFERROR(VLOOKUP(tbl_product_scores[[#This Row],[product_key]],tbl_products[[product_key]:[group_display_key]],2,FALSE),"")</f>
        <v/>
      </c>
    </row>
    <row r="2231" spans="8:8" x14ac:dyDescent="0.2">
      <c r="H2231" s="11" t="str">
        <f>IFERROR(VLOOKUP(tbl_product_scores[[#This Row],[product_key]],tbl_products[[product_key]:[group_display_key]],2,FALSE),"")</f>
        <v/>
      </c>
    </row>
    <row r="2232" spans="8:8" x14ac:dyDescent="0.2">
      <c r="H2232" s="11" t="str">
        <f>IFERROR(VLOOKUP(tbl_product_scores[[#This Row],[product_key]],tbl_products[[product_key]:[group_display_key]],2,FALSE),"")</f>
        <v/>
      </c>
    </row>
    <row r="2233" spans="8:8" x14ac:dyDescent="0.2">
      <c r="H2233" s="11" t="str">
        <f>IFERROR(VLOOKUP(tbl_product_scores[[#This Row],[product_key]],tbl_products[[product_key]:[group_display_key]],2,FALSE),"")</f>
        <v/>
      </c>
    </row>
    <row r="2234" spans="8:8" x14ac:dyDescent="0.2">
      <c r="H2234" s="11" t="str">
        <f>IFERROR(VLOOKUP(tbl_product_scores[[#This Row],[product_key]],tbl_products[[product_key]:[group_display_key]],2,FALSE),"")</f>
        <v/>
      </c>
    </row>
    <row r="2235" spans="8:8" x14ac:dyDescent="0.2">
      <c r="H2235" s="11" t="str">
        <f>IFERROR(VLOOKUP(tbl_product_scores[[#This Row],[product_key]],tbl_products[[product_key]:[group_display_key]],2,FALSE),"")</f>
        <v/>
      </c>
    </row>
    <row r="2236" spans="8:8" x14ac:dyDescent="0.2">
      <c r="H2236" s="11" t="str">
        <f>IFERROR(VLOOKUP(tbl_product_scores[[#This Row],[product_key]],tbl_products[[product_key]:[group_display_key]],2,FALSE),"")</f>
        <v/>
      </c>
    </row>
    <row r="2237" spans="8:8" x14ac:dyDescent="0.2">
      <c r="H2237" s="11" t="str">
        <f>IFERROR(VLOOKUP(tbl_product_scores[[#This Row],[product_key]],tbl_products[[product_key]:[group_display_key]],2,FALSE),"")</f>
        <v/>
      </c>
    </row>
    <row r="2238" spans="8:8" x14ac:dyDescent="0.2">
      <c r="H2238" s="11" t="str">
        <f>IFERROR(VLOOKUP(tbl_product_scores[[#This Row],[product_key]],tbl_products[[product_key]:[group_display_key]],2,FALSE),"")</f>
        <v/>
      </c>
    </row>
    <row r="2239" spans="8:8" x14ac:dyDescent="0.2">
      <c r="H2239" s="11" t="str">
        <f>IFERROR(VLOOKUP(tbl_product_scores[[#This Row],[product_key]],tbl_products[[product_key]:[group_display_key]],2,FALSE),"")</f>
        <v/>
      </c>
    </row>
    <row r="2240" spans="8:8" x14ac:dyDescent="0.2">
      <c r="H2240" s="11" t="str">
        <f>IFERROR(VLOOKUP(tbl_product_scores[[#This Row],[product_key]],tbl_products[[product_key]:[group_display_key]],2,FALSE),"")</f>
        <v/>
      </c>
    </row>
    <row r="2241" spans="8:8" x14ac:dyDescent="0.2">
      <c r="H2241" s="11" t="str">
        <f>IFERROR(VLOOKUP(tbl_product_scores[[#This Row],[product_key]],tbl_products[[product_key]:[group_display_key]],2,FALSE),"")</f>
        <v/>
      </c>
    </row>
    <row r="2242" spans="8:8" x14ac:dyDescent="0.2">
      <c r="H2242" s="11" t="str">
        <f>IFERROR(VLOOKUP(tbl_product_scores[[#This Row],[product_key]],tbl_products[[product_key]:[group_display_key]],2,FALSE),"")</f>
        <v/>
      </c>
    </row>
    <row r="2243" spans="8:8" x14ac:dyDescent="0.2">
      <c r="H2243" s="11" t="str">
        <f>IFERROR(VLOOKUP(tbl_product_scores[[#This Row],[product_key]],tbl_products[[product_key]:[group_display_key]],2,FALSE),"")</f>
        <v/>
      </c>
    </row>
    <row r="2244" spans="8:8" x14ac:dyDescent="0.2">
      <c r="H2244" s="11" t="str">
        <f>IFERROR(VLOOKUP(tbl_product_scores[[#This Row],[product_key]],tbl_products[[product_key]:[group_display_key]],2,FALSE),"")</f>
        <v/>
      </c>
    </row>
    <row r="2245" spans="8:8" x14ac:dyDescent="0.2">
      <c r="H2245" s="11" t="str">
        <f>IFERROR(VLOOKUP(tbl_product_scores[[#This Row],[product_key]],tbl_products[[product_key]:[group_display_key]],2,FALSE),"")</f>
        <v/>
      </c>
    </row>
    <row r="2246" spans="8:8" x14ac:dyDescent="0.2">
      <c r="H2246" s="11" t="str">
        <f>IFERROR(VLOOKUP(tbl_product_scores[[#This Row],[product_key]],tbl_products[[product_key]:[group_display_key]],2,FALSE),"")</f>
        <v/>
      </c>
    </row>
    <row r="2247" spans="8:8" x14ac:dyDescent="0.2">
      <c r="H2247" s="11" t="str">
        <f>IFERROR(VLOOKUP(tbl_product_scores[[#This Row],[product_key]],tbl_products[[product_key]:[group_display_key]],2,FALSE),"")</f>
        <v/>
      </c>
    </row>
    <row r="2248" spans="8:8" x14ac:dyDescent="0.2">
      <c r="H2248" s="11" t="str">
        <f>IFERROR(VLOOKUP(tbl_product_scores[[#This Row],[product_key]],tbl_products[[product_key]:[group_display_key]],2,FALSE),"")</f>
        <v/>
      </c>
    </row>
    <row r="2249" spans="8:8" x14ac:dyDescent="0.2">
      <c r="H2249" s="11" t="str">
        <f>IFERROR(VLOOKUP(tbl_product_scores[[#This Row],[product_key]],tbl_products[[product_key]:[group_display_key]],2,FALSE),"")</f>
        <v/>
      </c>
    </row>
    <row r="2250" spans="8:8" x14ac:dyDescent="0.2">
      <c r="H2250" s="11" t="str">
        <f>IFERROR(VLOOKUP(tbl_product_scores[[#This Row],[product_key]],tbl_products[[product_key]:[group_display_key]],2,FALSE),"")</f>
        <v/>
      </c>
    </row>
    <row r="2251" spans="8:8" x14ac:dyDescent="0.2">
      <c r="H2251" s="11" t="str">
        <f>IFERROR(VLOOKUP(tbl_product_scores[[#This Row],[product_key]],tbl_products[[product_key]:[group_display_key]],2,FALSE),"")</f>
        <v/>
      </c>
    </row>
    <row r="2252" spans="8:8" x14ac:dyDescent="0.2">
      <c r="H2252" s="11" t="str">
        <f>IFERROR(VLOOKUP(tbl_product_scores[[#This Row],[product_key]],tbl_products[[product_key]:[group_display_key]],2,FALSE),"")</f>
        <v/>
      </c>
    </row>
    <row r="2253" spans="8:8" x14ac:dyDescent="0.2">
      <c r="H2253" s="11" t="str">
        <f>IFERROR(VLOOKUP(tbl_product_scores[[#This Row],[product_key]],tbl_products[[product_key]:[group_display_key]],2,FALSE),"")</f>
        <v/>
      </c>
    </row>
    <row r="2254" spans="8:8" x14ac:dyDescent="0.2">
      <c r="H2254" s="11" t="str">
        <f>IFERROR(VLOOKUP(tbl_product_scores[[#This Row],[product_key]],tbl_products[[product_key]:[group_display_key]],2,FALSE),"")</f>
        <v/>
      </c>
    </row>
    <row r="2255" spans="8:8" x14ac:dyDescent="0.2">
      <c r="H2255" s="11" t="str">
        <f>IFERROR(VLOOKUP(tbl_product_scores[[#This Row],[product_key]],tbl_products[[product_key]:[group_display_key]],2,FALSE),"")</f>
        <v/>
      </c>
    </row>
    <row r="2256" spans="8:8" x14ac:dyDescent="0.2">
      <c r="H2256" s="11" t="str">
        <f>IFERROR(VLOOKUP(tbl_product_scores[[#This Row],[product_key]],tbl_products[[product_key]:[group_display_key]],2,FALSE),"")</f>
        <v/>
      </c>
    </row>
    <row r="2257" spans="8:8" x14ac:dyDescent="0.2">
      <c r="H2257" s="11" t="str">
        <f>IFERROR(VLOOKUP(tbl_product_scores[[#This Row],[product_key]],tbl_products[[product_key]:[group_display_key]],2,FALSE),"")</f>
        <v/>
      </c>
    </row>
    <row r="2258" spans="8:8" x14ac:dyDescent="0.2">
      <c r="H2258" s="11" t="str">
        <f>IFERROR(VLOOKUP(tbl_product_scores[[#This Row],[product_key]],tbl_products[[product_key]:[group_display_key]],2,FALSE),"")</f>
        <v/>
      </c>
    </row>
    <row r="2259" spans="8:8" x14ac:dyDescent="0.2">
      <c r="H2259" s="11" t="str">
        <f>IFERROR(VLOOKUP(tbl_product_scores[[#This Row],[product_key]],tbl_products[[product_key]:[group_display_key]],2,FALSE),"")</f>
        <v/>
      </c>
    </row>
    <row r="2260" spans="8:8" x14ac:dyDescent="0.2">
      <c r="H2260" s="11" t="str">
        <f>IFERROR(VLOOKUP(tbl_product_scores[[#This Row],[product_key]],tbl_products[[product_key]:[group_display_key]],2,FALSE),"")</f>
        <v/>
      </c>
    </row>
    <row r="2261" spans="8:8" x14ac:dyDescent="0.2">
      <c r="H2261" s="11" t="str">
        <f>IFERROR(VLOOKUP(tbl_product_scores[[#This Row],[product_key]],tbl_products[[product_key]:[group_display_key]],2,FALSE),"")</f>
        <v/>
      </c>
    </row>
    <row r="2262" spans="8:8" x14ac:dyDescent="0.2">
      <c r="H2262" s="11" t="str">
        <f>IFERROR(VLOOKUP(tbl_product_scores[[#This Row],[product_key]],tbl_products[[product_key]:[group_display_key]],2,FALSE),"")</f>
        <v/>
      </c>
    </row>
    <row r="2263" spans="8:8" x14ac:dyDescent="0.2">
      <c r="H2263" s="11" t="str">
        <f>IFERROR(VLOOKUP(tbl_product_scores[[#This Row],[product_key]],tbl_products[[product_key]:[group_display_key]],2,FALSE),"")</f>
        <v/>
      </c>
    </row>
    <row r="2264" spans="8:8" x14ac:dyDescent="0.2">
      <c r="H2264" s="11" t="str">
        <f>IFERROR(VLOOKUP(tbl_product_scores[[#This Row],[product_key]],tbl_products[[product_key]:[group_display_key]],2,FALSE),"")</f>
        <v/>
      </c>
    </row>
    <row r="2265" spans="8:8" x14ac:dyDescent="0.2">
      <c r="H2265" s="11" t="str">
        <f>IFERROR(VLOOKUP(tbl_product_scores[[#This Row],[product_key]],tbl_products[[product_key]:[group_display_key]],2,FALSE),"")</f>
        <v/>
      </c>
    </row>
    <row r="2266" spans="8:8" x14ac:dyDescent="0.2">
      <c r="H2266" s="11" t="str">
        <f>IFERROR(VLOOKUP(tbl_product_scores[[#This Row],[product_key]],tbl_products[[product_key]:[group_display_key]],2,FALSE),"")</f>
        <v/>
      </c>
    </row>
    <row r="2267" spans="8:8" x14ac:dyDescent="0.2">
      <c r="H2267" s="11" t="str">
        <f>IFERROR(VLOOKUP(tbl_product_scores[[#This Row],[product_key]],tbl_products[[product_key]:[group_display_key]],2,FALSE),"")</f>
        <v/>
      </c>
    </row>
    <row r="2268" spans="8:8" x14ac:dyDescent="0.2">
      <c r="H2268" s="11" t="str">
        <f>IFERROR(VLOOKUP(tbl_product_scores[[#This Row],[product_key]],tbl_products[[product_key]:[group_display_key]],2,FALSE),"")</f>
        <v/>
      </c>
    </row>
    <row r="2269" spans="8:8" x14ac:dyDescent="0.2">
      <c r="H2269" s="11" t="str">
        <f>IFERROR(VLOOKUP(tbl_product_scores[[#This Row],[product_key]],tbl_products[[product_key]:[group_display_key]],2,FALSE),"")</f>
        <v/>
      </c>
    </row>
    <row r="2270" spans="8:8" x14ac:dyDescent="0.2">
      <c r="H2270" s="11" t="str">
        <f>IFERROR(VLOOKUP(tbl_product_scores[[#This Row],[product_key]],tbl_products[[product_key]:[group_display_key]],2,FALSE),"")</f>
        <v/>
      </c>
    </row>
    <row r="2271" spans="8:8" x14ac:dyDescent="0.2">
      <c r="H2271" s="11" t="str">
        <f>IFERROR(VLOOKUP(tbl_product_scores[[#This Row],[product_key]],tbl_products[[product_key]:[group_display_key]],2,FALSE),"")</f>
        <v/>
      </c>
    </row>
    <row r="2272" spans="8:8" x14ac:dyDescent="0.2">
      <c r="H2272" s="11" t="str">
        <f>IFERROR(VLOOKUP(tbl_product_scores[[#This Row],[product_key]],tbl_products[[product_key]:[group_display_key]],2,FALSE),"")</f>
        <v/>
      </c>
    </row>
    <row r="2273" spans="8:8" x14ac:dyDescent="0.2">
      <c r="H2273" s="11" t="str">
        <f>IFERROR(VLOOKUP(tbl_product_scores[[#This Row],[product_key]],tbl_products[[product_key]:[group_display_key]],2,FALSE),"")</f>
        <v/>
      </c>
    </row>
    <row r="2274" spans="8:8" x14ac:dyDescent="0.2">
      <c r="H2274" s="11" t="str">
        <f>IFERROR(VLOOKUP(tbl_product_scores[[#This Row],[product_key]],tbl_products[[product_key]:[group_display_key]],2,FALSE),"")</f>
        <v/>
      </c>
    </row>
    <row r="2275" spans="8:8" x14ac:dyDescent="0.2">
      <c r="H2275" s="11" t="str">
        <f>IFERROR(VLOOKUP(tbl_product_scores[[#This Row],[product_key]],tbl_products[[product_key]:[group_display_key]],2,FALSE),"")</f>
        <v/>
      </c>
    </row>
    <row r="2276" spans="8:8" x14ac:dyDescent="0.2">
      <c r="H2276" s="11" t="str">
        <f>IFERROR(VLOOKUP(tbl_product_scores[[#This Row],[product_key]],tbl_products[[product_key]:[group_display_key]],2,FALSE),"")</f>
        <v/>
      </c>
    </row>
    <row r="2277" spans="8:8" x14ac:dyDescent="0.2">
      <c r="H2277" s="11" t="str">
        <f>IFERROR(VLOOKUP(tbl_product_scores[[#This Row],[product_key]],tbl_products[[product_key]:[group_display_key]],2,FALSE),"")</f>
        <v/>
      </c>
    </row>
    <row r="2278" spans="8:8" x14ac:dyDescent="0.2">
      <c r="H2278" s="11" t="str">
        <f>IFERROR(VLOOKUP(tbl_product_scores[[#This Row],[product_key]],tbl_products[[product_key]:[group_display_key]],2,FALSE),"")</f>
        <v/>
      </c>
    </row>
    <row r="2279" spans="8:8" x14ac:dyDescent="0.2">
      <c r="H2279" s="11" t="str">
        <f>IFERROR(VLOOKUP(tbl_product_scores[[#This Row],[product_key]],tbl_products[[product_key]:[group_display_key]],2,FALSE),"")</f>
        <v/>
      </c>
    </row>
    <row r="2280" spans="8:8" x14ac:dyDescent="0.2">
      <c r="H2280" s="11" t="str">
        <f>IFERROR(VLOOKUP(tbl_product_scores[[#This Row],[product_key]],tbl_products[[product_key]:[group_display_key]],2,FALSE),"")</f>
        <v/>
      </c>
    </row>
    <row r="2281" spans="8:8" x14ac:dyDescent="0.2">
      <c r="H2281" s="11" t="str">
        <f>IFERROR(VLOOKUP(tbl_product_scores[[#This Row],[product_key]],tbl_products[[product_key]:[group_display_key]],2,FALSE),"")</f>
        <v/>
      </c>
    </row>
    <row r="2282" spans="8:8" x14ac:dyDescent="0.2">
      <c r="H2282" s="11" t="str">
        <f>IFERROR(VLOOKUP(tbl_product_scores[[#This Row],[product_key]],tbl_products[[product_key]:[group_display_key]],2,FALSE),"")</f>
        <v/>
      </c>
    </row>
    <row r="2283" spans="8:8" x14ac:dyDescent="0.2">
      <c r="H2283" s="11" t="str">
        <f>IFERROR(VLOOKUP(tbl_product_scores[[#This Row],[product_key]],tbl_products[[product_key]:[group_display_key]],2,FALSE),"")</f>
        <v/>
      </c>
    </row>
    <row r="2284" spans="8:8" x14ac:dyDescent="0.2">
      <c r="H2284" s="11" t="str">
        <f>IFERROR(VLOOKUP(tbl_product_scores[[#This Row],[product_key]],tbl_products[[product_key]:[group_display_key]],2,FALSE),"")</f>
        <v/>
      </c>
    </row>
    <row r="2285" spans="8:8" x14ac:dyDescent="0.2">
      <c r="H2285" s="11" t="str">
        <f>IFERROR(VLOOKUP(tbl_product_scores[[#This Row],[product_key]],tbl_products[[product_key]:[group_display_key]],2,FALSE),"")</f>
        <v/>
      </c>
    </row>
    <row r="2286" spans="8:8" x14ac:dyDescent="0.2">
      <c r="H2286" s="11" t="str">
        <f>IFERROR(VLOOKUP(tbl_product_scores[[#This Row],[product_key]],tbl_products[[product_key]:[group_display_key]],2,FALSE),"")</f>
        <v/>
      </c>
    </row>
    <row r="2287" spans="8:8" x14ac:dyDescent="0.2">
      <c r="H2287" s="11" t="str">
        <f>IFERROR(VLOOKUP(tbl_product_scores[[#This Row],[product_key]],tbl_products[[product_key]:[group_display_key]],2,FALSE),"")</f>
        <v/>
      </c>
    </row>
    <row r="2288" spans="8:8" x14ac:dyDescent="0.2">
      <c r="H2288" s="11" t="str">
        <f>IFERROR(VLOOKUP(tbl_product_scores[[#This Row],[product_key]],tbl_products[[product_key]:[group_display_key]],2,FALSE),"")</f>
        <v/>
      </c>
    </row>
    <row r="2289" spans="8:8" x14ac:dyDescent="0.2">
      <c r="H2289" s="11" t="str">
        <f>IFERROR(VLOOKUP(tbl_product_scores[[#This Row],[product_key]],tbl_products[[product_key]:[group_display_key]],2,FALSE),"")</f>
        <v/>
      </c>
    </row>
    <row r="2290" spans="8:8" x14ac:dyDescent="0.2">
      <c r="H2290" s="11" t="str">
        <f>IFERROR(VLOOKUP(tbl_product_scores[[#This Row],[product_key]],tbl_products[[product_key]:[group_display_key]],2,FALSE),"")</f>
        <v/>
      </c>
    </row>
    <row r="2291" spans="8:8" x14ac:dyDescent="0.2">
      <c r="H2291" s="11" t="str">
        <f>IFERROR(VLOOKUP(tbl_product_scores[[#This Row],[product_key]],tbl_products[[product_key]:[group_display_key]],2,FALSE),"")</f>
        <v/>
      </c>
    </row>
    <row r="2292" spans="8:8" x14ac:dyDescent="0.2">
      <c r="H2292" s="11" t="str">
        <f>IFERROR(VLOOKUP(tbl_product_scores[[#This Row],[product_key]],tbl_products[[product_key]:[group_display_key]],2,FALSE),"")</f>
        <v/>
      </c>
    </row>
    <row r="2293" spans="8:8" x14ac:dyDescent="0.2">
      <c r="H2293" s="11" t="str">
        <f>IFERROR(VLOOKUP(tbl_product_scores[[#This Row],[product_key]],tbl_products[[product_key]:[group_display_key]],2,FALSE),"")</f>
        <v/>
      </c>
    </row>
    <row r="2294" spans="8:8" x14ac:dyDescent="0.2">
      <c r="H2294" s="11" t="str">
        <f>IFERROR(VLOOKUP(tbl_product_scores[[#This Row],[product_key]],tbl_products[[product_key]:[group_display_key]],2,FALSE),"")</f>
        <v/>
      </c>
    </row>
    <row r="2295" spans="8:8" x14ac:dyDescent="0.2">
      <c r="H2295" s="11" t="str">
        <f>IFERROR(VLOOKUP(tbl_product_scores[[#This Row],[product_key]],tbl_products[[product_key]:[group_display_key]],2,FALSE),"")</f>
        <v/>
      </c>
    </row>
    <row r="2296" spans="8:8" x14ac:dyDescent="0.2">
      <c r="H2296" s="11" t="str">
        <f>IFERROR(VLOOKUP(tbl_product_scores[[#This Row],[product_key]],tbl_products[[product_key]:[group_display_key]],2,FALSE),"")</f>
        <v/>
      </c>
    </row>
    <row r="2297" spans="8:8" x14ac:dyDescent="0.2">
      <c r="H2297" s="11" t="str">
        <f>IFERROR(VLOOKUP(tbl_product_scores[[#This Row],[product_key]],tbl_products[[product_key]:[group_display_key]],2,FALSE),"")</f>
        <v/>
      </c>
    </row>
    <row r="2298" spans="8:8" x14ac:dyDescent="0.2">
      <c r="H2298" s="11" t="str">
        <f>IFERROR(VLOOKUP(tbl_product_scores[[#This Row],[product_key]],tbl_products[[product_key]:[group_display_key]],2,FALSE),"")</f>
        <v/>
      </c>
    </row>
    <row r="2299" spans="8:8" x14ac:dyDescent="0.2">
      <c r="H2299" s="11" t="str">
        <f>IFERROR(VLOOKUP(tbl_product_scores[[#This Row],[product_key]],tbl_products[[product_key]:[group_display_key]],2,FALSE),"")</f>
        <v/>
      </c>
    </row>
    <row r="2300" spans="8:8" x14ac:dyDescent="0.2">
      <c r="H2300" s="11" t="str">
        <f>IFERROR(VLOOKUP(tbl_product_scores[[#This Row],[product_key]],tbl_products[[product_key]:[group_display_key]],2,FALSE),"")</f>
        <v/>
      </c>
    </row>
    <row r="2301" spans="8:8" x14ac:dyDescent="0.2">
      <c r="H2301" s="11" t="str">
        <f>IFERROR(VLOOKUP(tbl_product_scores[[#This Row],[product_key]],tbl_products[[product_key]:[group_display_key]],2,FALSE),"")</f>
        <v/>
      </c>
    </row>
    <row r="2302" spans="8:8" x14ac:dyDescent="0.2">
      <c r="H2302" s="11" t="str">
        <f>IFERROR(VLOOKUP(tbl_product_scores[[#This Row],[product_key]],tbl_products[[product_key]:[group_display_key]],2,FALSE),"")</f>
        <v/>
      </c>
    </row>
    <row r="2303" spans="8:8" x14ac:dyDescent="0.2">
      <c r="H2303" s="11" t="str">
        <f>IFERROR(VLOOKUP(tbl_product_scores[[#This Row],[product_key]],tbl_products[[product_key]:[group_display_key]],2,FALSE),"")</f>
        <v/>
      </c>
    </row>
    <row r="2304" spans="8:8" x14ac:dyDescent="0.2">
      <c r="H2304" s="11" t="str">
        <f>IFERROR(VLOOKUP(tbl_product_scores[[#This Row],[product_key]],tbl_products[[product_key]:[group_display_key]],2,FALSE),"")</f>
        <v/>
      </c>
    </row>
    <row r="2305" spans="8:8" x14ac:dyDescent="0.2">
      <c r="H2305" s="11" t="str">
        <f>IFERROR(VLOOKUP(tbl_product_scores[[#This Row],[product_key]],tbl_products[[product_key]:[group_display_key]],2,FALSE),"")</f>
        <v/>
      </c>
    </row>
    <row r="2306" spans="8:8" x14ac:dyDescent="0.2">
      <c r="H2306" s="11" t="str">
        <f>IFERROR(VLOOKUP(tbl_product_scores[[#This Row],[product_key]],tbl_products[[product_key]:[group_display_key]],2,FALSE),"")</f>
        <v/>
      </c>
    </row>
    <row r="2307" spans="8:8" x14ac:dyDescent="0.2">
      <c r="H2307" s="11" t="str">
        <f>IFERROR(VLOOKUP(tbl_product_scores[[#This Row],[product_key]],tbl_products[[product_key]:[group_display_key]],2,FALSE),"")</f>
        <v/>
      </c>
    </row>
    <row r="2308" spans="8:8" x14ac:dyDescent="0.2">
      <c r="H2308" s="11" t="str">
        <f>IFERROR(VLOOKUP(tbl_product_scores[[#This Row],[product_key]],tbl_products[[product_key]:[group_display_key]],2,FALSE),"")</f>
        <v/>
      </c>
    </row>
    <row r="2309" spans="8:8" x14ac:dyDescent="0.2">
      <c r="H2309" s="11" t="str">
        <f>IFERROR(VLOOKUP(tbl_product_scores[[#This Row],[product_key]],tbl_products[[product_key]:[group_display_key]],2,FALSE),"")</f>
        <v/>
      </c>
    </row>
    <row r="2310" spans="8:8" x14ac:dyDescent="0.2">
      <c r="H2310" s="11" t="str">
        <f>IFERROR(VLOOKUP(tbl_product_scores[[#This Row],[product_key]],tbl_products[[product_key]:[group_display_key]],2,FALSE),"")</f>
        <v/>
      </c>
    </row>
    <row r="2311" spans="8:8" x14ac:dyDescent="0.2">
      <c r="H2311" s="11" t="str">
        <f>IFERROR(VLOOKUP(tbl_product_scores[[#This Row],[product_key]],tbl_products[[product_key]:[group_display_key]],2,FALSE),"")</f>
        <v/>
      </c>
    </row>
    <row r="2312" spans="8:8" x14ac:dyDescent="0.2">
      <c r="H2312" s="11" t="str">
        <f>IFERROR(VLOOKUP(tbl_product_scores[[#This Row],[product_key]],tbl_products[[product_key]:[group_display_key]],2,FALSE),"")</f>
        <v/>
      </c>
    </row>
    <row r="2313" spans="8:8" x14ac:dyDescent="0.2">
      <c r="H2313" s="11" t="str">
        <f>IFERROR(VLOOKUP(tbl_product_scores[[#This Row],[product_key]],tbl_products[[product_key]:[group_display_key]],2,FALSE),"")</f>
        <v/>
      </c>
    </row>
    <row r="2314" spans="8:8" x14ac:dyDescent="0.2">
      <c r="H2314" s="11" t="str">
        <f>IFERROR(VLOOKUP(tbl_product_scores[[#This Row],[product_key]],tbl_products[[product_key]:[group_display_key]],2,FALSE),"")</f>
        <v/>
      </c>
    </row>
    <row r="2315" spans="8:8" x14ac:dyDescent="0.2">
      <c r="H2315" s="11" t="str">
        <f>IFERROR(VLOOKUP(tbl_product_scores[[#This Row],[product_key]],tbl_products[[product_key]:[group_display_key]],2,FALSE),"")</f>
        <v/>
      </c>
    </row>
    <row r="2316" spans="8:8" x14ac:dyDescent="0.2">
      <c r="H2316" s="11" t="str">
        <f>IFERROR(VLOOKUP(tbl_product_scores[[#This Row],[product_key]],tbl_products[[product_key]:[group_display_key]],2,FALSE),"")</f>
        <v/>
      </c>
    </row>
    <row r="2317" spans="8:8" x14ac:dyDescent="0.2">
      <c r="H2317" s="11" t="str">
        <f>IFERROR(VLOOKUP(tbl_product_scores[[#This Row],[product_key]],tbl_products[[product_key]:[group_display_key]],2,FALSE),"")</f>
        <v/>
      </c>
    </row>
    <row r="2318" spans="8:8" x14ac:dyDescent="0.2">
      <c r="H2318" s="11" t="str">
        <f>IFERROR(VLOOKUP(tbl_product_scores[[#This Row],[product_key]],tbl_products[[product_key]:[group_display_key]],2,FALSE),"")</f>
        <v/>
      </c>
    </row>
    <row r="2319" spans="8:8" x14ac:dyDescent="0.2">
      <c r="H2319" s="11" t="str">
        <f>IFERROR(VLOOKUP(tbl_product_scores[[#This Row],[product_key]],tbl_products[[product_key]:[group_display_key]],2,FALSE),"")</f>
        <v/>
      </c>
    </row>
    <row r="2320" spans="8:8" x14ac:dyDescent="0.2">
      <c r="H2320" s="11" t="str">
        <f>IFERROR(VLOOKUP(tbl_product_scores[[#This Row],[product_key]],tbl_products[[product_key]:[group_display_key]],2,FALSE),"")</f>
        <v/>
      </c>
    </row>
    <row r="2321" spans="8:8" x14ac:dyDescent="0.2">
      <c r="H2321" s="11" t="str">
        <f>IFERROR(VLOOKUP(tbl_product_scores[[#This Row],[product_key]],tbl_products[[product_key]:[group_display_key]],2,FALSE),"")</f>
        <v/>
      </c>
    </row>
    <row r="2322" spans="8:8" x14ac:dyDescent="0.2">
      <c r="H2322" s="11" t="str">
        <f>IFERROR(VLOOKUP(tbl_product_scores[[#This Row],[product_key]],tbl_products[[product_key]:[group_display_key]],2,FALSE),"")</f>
        <v/>
      </c>
    </row>
    <row r="2323" spans="8:8" x14ac:dyDescent="0.2">
      <c r="H2323" s="11" t="str">
        <f>IFERROR(VLOOKUP(tbl_product_scores[[#This Row],[product_key]],tbl_products[[product_key]:[group_display_key]],2,FALSE),"")</f>
        <v/>
      </c>
    </row>
    <row r="2324" spans="8:8" x14ac:dyDescent="0.2">
      <c r="H2324" s="11" t="str">
        <f>IFERROR(VLOOKUP(tbl_product_scores[[#This Row],[product_key]],tbl_products[[product_key]:[group_display_key]],2,FALSE),"")</f>
        <v/>
      </c>
    </row>
    <row r="2325" spans="8:8" x14ac:dyDescent="0.2">
      <c r="H2325" s="11" t="str">
        <f>IFERROR(VLOOKUP(tbl_product_scores[[#This Row],[product_key]],tbl_products[[product_key]:[group_display_key]],2,FALSE),"")</f>
        <v/>
      </c>
    </row>
    <row r="2326" spans="8:8" x14ac:dyDescent="0.2">
      <c r="H2326" s="11" t="str">
        <f>IFERROR(VLOOKUP(tbl_product_scores[[#This Row],[product_key]],tbl_products[[product_key]:[group_display_key]],2,FALSE),"")</f>
        <v/>
      </c>
    </row>
    <row r="2327" spans="8:8" x14ac:dyDescent="0.2">
      <c r="H2327" s="11" t="str">
        <f>IFERROR(VLOOKUP(tbl_product_scores[[#This Row],[product_key]],tbl_products[[product_key]:[group_display_key]],2,FALSE),"")</f>
        <v/>
      </c>
    </row>
    <row r="2328" spans="8:8" x14ac:dyDescent="0.2">
      <c r="H2328" s="11" t="str">
        <f>IFERROR(VLOOKUP(tbl_product_scores[[#This Row],[product_key]],tbl_products[[product_key]:[group_display_key]],2,FALSE),"")</f>
        <v/>
      </c>
    </row>
    <row r="2329" spans="8:8" x14ac:dyDescent="0.2">
      <c r="H2329" s="11" t="str">
        <f>IFERROR(VLOOKUP(tbl_product_scores[[#This Row],[product_key]],tbl_products[[product_key]:[group_display_key]],2,FALSE),"")</f>
        <v/>
      </c>
    </row>
    <row r="2330" spans="8:8" x14ac:dyDescent="0.2">
      <c r="H2330" s="11" t="str">
        <f>IFERROR(VLOOKUP(tbl_product_scores[[#This Row],[product_key]],tbl_products[[product_key]:[group_display_key]],2,FALSE),"")</f>
        <v/>
      </c>
    </row>
    <row r="2331" spans="8:8" x14ac:dyDescent="0.2">
      <c r="H2331" s="11" t="str">
        <f>IFERROR(VLOOKUP(tbl_product_scores[[#This Row],[product_key]],tbl_products[[product_key]:[group_display_key]],2,FALSE),"")</f>
        <v/>
      </c>
    </row>
    <row r="2332" spans="8:8" x14ac:dyDescent="0.2">
      <c r="H2332" s="11" t="str">
        <f>IFERROR(VLOOKUP(tbl_product_scores[[#This Row],[product_key]],tbl_products[[product_key]:[group_display_key]],2,FALSE),"")</f>
        <v/>
      </c>
    </row>
    <row r="2333" spans="8:8" x14ac:dyDescent="0.2">
      <c r="H2333" s="11" t="str">
        <f>IFERROR(VLOOKUP(tbl_product_scores[[#This Row],[product_key]],tbl_products[[product_key]:[group_display_key]],2,FALSE),"")</f>
        <v/>
      </c>
    </row>
    <row r="2334" spans="8:8" x14ac:dyDescent="0.2">
      <c r="H2334" s="11" t="str">
        <f>IFERROR(VLOOKUP(tbl_product_scores[[#This Row],[product_key]],tbl_products[[product_key]:[group_display_key]],2,FALSE),"")</f>
        <v/>
      </c>
    </row>
    <row r="2335" spans="8:8" x14ac:dyDescent="0.2">
      <c r="H2335" s="11" t="str">
        <f>IFERROR(VLOOKUP(tbl_product_scores[[#This Row],[product_key]],tbl_products[[product_key]:[group_display_key]],2,FALSE),"")</f>
        <v/>
      </c>
    </row>
    <row r="2336" spans="8:8" x14ac:dyDescent="0.2">
      <c r="H2336" s="11" t="str">
        <f>IFERROR(VLOOKUP(tbl_product_scores[[#This Row],[product_key]],tbl_products[[product_key]:[group_display_key]],2,FALSE),"")</f>
        <v/>
      </c>
    </row>
    <row r="2337" spans="8:8" x14ac:dyDescent="0.2">
      <c r="H2337" s="11" t="str">
        <f>IFERROR(VLOOKUP(tbl_product_scores[[#This Row],[product_key]],tbl_products[[product_key]:[group_display_key]],2,FALSE),"")</f>
        <v/>
      </c>
    </row>
    <row r="2338" spans="8:8" x14ac:dyDescent="0.2">
      <c r="H2338" s="11" t="str">
        <f>IFERROR(VLOOKUP(tbl_product_scores[[#This Row],[product_key]],tbl_products[[product_key]:[group_display_key]],2,FALSE),"")</f>
        <v/>
      </c>
    </row>
    <row r="2339" spans="8:8" x14ac:dyDescent="0.2">
      <c r="H2339" s="11" t="str">
        <f>IFERROR(VLOOKUP(tbl_product_scores[[#This Row],[product_key]],tbl_products[[product_key]:[group_display_key]],2,FALSE),"")</f>
        <v/>
      </c>
    </row>
    <row r="2340" spans="8:8" x14ac:dyDescent="0.2">
      <c r="H2340" s="11" t="str">
        <f>IFERROR(VLOOKUP(tbl_product_scores[[#This Row],[product_key]],tbl_products[[product_key]:[group_display_key]],2,FALSE),"")</f>
        <v/>
      </c>
    </row>
    <row r="2341" spans="8:8" x14ac:dyDescent="0.2">
      <c r="H2341" s="11" t="str">
        <f>IFERROR(VLOOKUP(tbl_product_scores[[#This Row],[product_key]],tbl_products[[product_key]:[group_display_key]],2,FALSE),"")</f>
        <v/>
      </c>
    </row>
    <row r="2342" spans="8:8" x14ac:dyDescent="0.2">
      <c r="H2342" s="11" t="str">
        <f>IFERROR(VLOOKUP(tbl_product_scores[[#This Row],[product_key]],tbl_products[[product_key]:[group_display_key]],2,FALSE),"")</f>
        <v/>
      </c>
    </row>
    <row r="2343" spans="8:8" x14ac:dyDescent="0.2">
      <c r="H2343" s="11" t="str">
        <f>IFERROR(VLOOKUP(tbl_product_scores[[#This Row],[product_key]],tbl_products[[product_key]:[group_display_key]],2,FALSE),"")</f>
        <v/>
      </c>
    </row>
    <row r="2344" spans="8:8" x14ac:dyDescent="0.2">
      <c r="H2344" s="11" t="str">
        <f>IFERROR(VLOOKUP(tbl_product_scores[[#This Row],[product_key]],tbl_products[[product_key]:[group_display_key]],2,FALSE),"")</f>
        <v/>
      </c>
    </row>
    <row r="2345" spans="8:8" x14ac:dyDescent="0.2">
      <c r="H2345" s="11" t="str">
        <f>IFERROR(VLOOKUP(tbl_product_scores[[#This Row],[product_key]],tbl_products[[product_key]:[group_display_key]],2,FALSE),"")</f>
        <v/>
      </c>
    </row>
    <row r="2346" spans="8:8" x14ac:dyDescent="0.2">
      <c r="H2346" s="11" t="str">
        <f>IFERROR(VLOOKUP(tbl_product_scores[[#This Row],[product_key]],tbl_products[[product_key]:[group_display_key]],2,FALSE),"")</f>
        <v/>
      </c>
    </row>
    <row r="2347" spans="8:8" x14ac:dyDescent="0.2">
      <c r="H2347" s="11" t="str">
        <f>IFERROR(VLOOKUP(tbl_product_scores[[#This Row],[product_key]],tbl_products[[product_key]:[group_display_key]],2,FALSE),"")</f>
        <v/>
      </c>
    </row>
    <row r="2348" spans="8:8" x14ac:dyDescent="0.2">
      <c r="H2348" s="11" t="str">
        <f>IFERROR(VLOOKUP(tbl_product_scores[[#This Row],[product_key]],tbl_products[[product_key]:[group_display_key]],2,FALSE),"")</f>
        <v/>
      </c>
    </row>
    <row r="2349" spans="8:8" x14ac:dyDescent="0.2">
      <c r="H2349" s="11" t="str">
        <f>IFERROR(VLOOKUP(tbl_product_scores[[#This Row],[product_key]],tbl_products[[product_key]:[group_display_key]],2,FALSE),"")</f>
        <v/>
      </c>
    </row>
    <row r="2350" spans="8:8" x14ac:dyDescent="0.2">
      <c r="H2350" s="11" t="str">
        <f>IFERROR(VLOOKUP(tbl_product_scores[[#This Row],[product_key]],tbl_products[[product_key]:[group_display_key]],2,FALSE),"")</f>
        <v/>
      </c>
    </row>
    <row r="2351" spans="8:8" x14ac:dyDescent="0.2">
      <c r="H2351" s="11" t="str">
        <f>IFERROR(VLOOKUP(tbl_product_scores[[#This Row],[product_key]],tbl_products[[product_key]:[group_display_key]],2,FALSE),"")</f>
        <v/>
      </c>
    </row>
    <row r="2352" spans="8:8" x14ac:dyDescent="0.2">
      <c r="H2352" s="11" t="str">
        <f>IFERROR(VLOOKUP(tbl_product_scores[[#This Row],[product_key]],tbl_products[[product_key]:[group_display_key]],2,FALSE),"")</f>
        <v/>
      </c>
    </row>
    <row r="2353" spans="8:8" x14ac:dyDescent="0.2">
      <c r="H2353" s="11" t="str">
        <f>IFERROR(VLOOKUP(tbl_product_scores[[#This Row],[product_key]],tbl_products[[product_key]:[group_display_key]],2,FALSE),"")</f>
        <v/>
      </c>
    </row>
    <row r="2354" spans="8:8" x14ac:dyDescent="0.2">
      <c r="H2354" s="11" t="str">
        <f>IFERROR(VLOOKUP(tbl_product_scores[[#This Row],[product_key]],tbl_products[[product_key]:[group_display_key]],2,FALSE),"")</f>
        <v/>
      </c>
    </row>
    <row r="2355" spans="8:8" x14ac:dyDescent="0.2">
      <c r="H2355" s="11" t="str">
        <f>IFERROR(VLOOKUP(tbl_product_scores[[#This Row],[product_key]],tbl_products[[product_key]:[group_display_key]],2,FALSE),"")</f>
        <v/>
      </c>
    </row>
    <row r="2356" spans="8:8" x14ac:dyDescent="0.2">
      <c r="H2356" s="11" t="str">
        <f>IFERROR(VLOOKUP(tbl_product_scores[[#This Row],[product_key]],tbl_products[[product_key]:[group_display_key]],2,FALSE),"")</f>
        <v/>
      </c>
    </row>
    <row r="2357" spans="8:8" x14ac:dyDescent="0.2">
      <c r="H2357" s="11" t="str">
        <f>IFERROR(VLOOKUP(tbl_product_scores[[#This Row],[product_key]],tbl_products[[product_key]:[group_display_key]],2,FALSE),"")</f>
        <v/>
      </c>
    </row>
    <row r="2358" spans="8:8" x14ac:dyDescent="0.2">
      <c r="H2358" s="11" t="str">
        <f>IFERROR(VLOOKUP(tbl_product_scores[[#This Row],[product_key]],tbl_products[[product_key]:[group_display_key]],2,FALSE),"")</f>
        <v/>
      </c>
    </row>
    <row r="2359" spans="8:8" x14ac:dyDescent="0.2">
      <c r="H2359" s="11" t="str">
        <f>IFERROR(VLOOKUP(tbl_product_scores[[#This Row],[product_key]],tbl_products[[product_key]:[group_display_key]],2,FALSE),"")</f>
        <v/>
      </c>
    </row>
    <row r="2360" spans="8:8" x14ac:dyDescent="0.2">
      <c r="H2360" s="11" t="str">
        <f>IFERROR(VLOOKUP(tbl_product_scores[[#This Row],[product_key]],tbl_products[[product_key]:[group_display_key]],2,FALSE),"")</f>
        <v/>
      </c>
    </row>
    <row r="2361" spans="8:8" x14ac:dyDescent="0.2">
      <c r="H2361" s="11" t="str">
        <f>IFERROR(VLOOKUP(tbl_product_scores[[#This Row],[product_key]],tbl_products[[product_key]:[group_display_key]],2,FALSE),"")</f>
        <v/>
      </c>
    </row>
    <row r="2362" spans="8:8" x14ac:dyDescent="0.2">
      <c r="H2362" s="11" t="str">
        <f>IFERROR(VLOOKUP(tbl_product_scores[[#This Row],[product_key]],tbl_products[[product_key]:[group_display_key]],2,FALSE),"")</f>
        <v/>
      </c>
    </row>
    <row r="2363" spans="8:8" x14ac:dyDescent="0.2">
      <c r="H2363" s="11" t="str">
        <f>IFERROR(VLOOKUP(tbl_product_scores[[#This Row],[product_key]],tbl_products[[product_key]:[group_display_key]],2,FALSE),"")</f>
        <v/>
      </c>
    </row>
    <row r="2364" spans="8:8" x14ac:dyDescent="0.2">
      <c r="H2364" s="11" t="str">
        <f>IFERROR(VLOOKUP(tbl_product_scores[[#This Row],[product_key]],tbl_products[[product_key]:[group_display_key]],2,FALSE),"")</f>
        <v/>
      </c>
    </row>
    <row r="2365" spans="8:8" x14ac:dyDescent="0.2">
      <c r="H2365" s="11" t="str">
        <f>IFERROR(VLOOKUP(tbl_product_scores[[#This Row],[product_key]],tbl_products[[product_key]:[group_display_key]],2,FALSE),"")</f>
        <v/>
      </c>
    </row>
    <row r="2366" spans="8:8" x14ac:dyDescent="0.2">
      <c r="H2366" s="11" t="str">
        <f>IFERROR(VLOOKUP(tbl_product_scores[[#This Row],[product_key]],tbl_products[[product_key]:[group_display_key]],2,FALSE),"")</f>
        <v/>
      </c>
    </row>
    <row r="2367" spans="8:8" x14ac:dyDescent="0.2">
      <c r="H2367" s="11" t="str">
        <f>IFERROR(VLOOKUP(tbl_product_scores[[#This Row],[product_key]],tbl_products[[product_key]:[group_display_key]],2,FALSE),"")</f>
        <v/>
      </c>
    </row>
    <row r="2368" spans="8:8" x14ac:dyDescent="0.2">
      <c r="H2368" s="11" t="str">
        <f>IFERROR(VLOOKUP(tbl_product_scores[[#This Row],[product_key]],tbl_products[[product_key]:[group_display_key]],2,FALSE),"")</f>
        <v/>
      </c>
    </row>
    <row r="2369" spans="8:8" x14ac:dyDescent="0.2">
      <c r="H2369" s="11" t="str">
        <f>IFERROR(VLOOKUP(tbl_product_scores[[#This Row],[product_key]],tbl_products[[product_key]:[group_display_key]],2,FALSE),"")</f>
        <v/>
      </c>
    </row>
    <row r="2370" spans="8:8" x14ac:dyDescent="0.2">
      <c r="H2370" s="11" t="str">
        <f>IFERROR(VLOOKUP(tbl_product_scores[[#This Row],[product_key]],tbl_products[[product_key]:[group_display_key]],2,FALSE),"")</f>
        <v/>
      </c>
    </row>
    <row r="2371" spans="8:8" x14ac:dyDescent="0.2">
      <c r="H2371" s="11" t="str">
        <f>IFERROR(VLOOKUP(tbl_product_scores[[#This Row],[product_key]],tbl_products[[product_key]:[group_display_key]],2,FALSE),"")</f>
        <v/>
      </c>
    </row>
    <row r="2372" spans="8:8" x14ac:dyDescent="0.2">
      <c r="H2372" s="11" t="str">
        <f>IFERROR(VLOOKUP(tbl_product_scores[[#This Row],[product_key]],tbl_products[[product_key]:[group_display_key]],2,FALSE),"")</f>
        <v/>
      </c>
    </row>
    <row r="2373" spans="8:8" x14ac:dyDescent="0.2">
      <c r="H2373" s="11" t="str">
        <f>IFERROR(VLOOKUP(tbl_product_scores[[#This Row],[product_key]],tbl_products[[product_key]:[group_display_key]],2,FALSE),"")</f>
        <v/>
      </c>
    </row>
    <row r="2374" spans="8:8" x14ac:dyDescent="0.2">
      <c r="H2374" s="11" t="str">
        <f>IFERROR(VLOOKUP(tbl_product_scores[[#This Row],[product_key]],tbl_products[[product_key]:[group_display_key]],2,FALSE),"")</f>
        <v/>
      </c>
    </row>
    <row r="2375" spans="8:8" x14ac:dyDescent="0.2">
      <c r="H2375" s="11" t="str">
        <f>IFERROR(VLOOKUP(tbl_product_scores[[#This Row],[product_key]],tbl_products[[product_key]:[group_display_key]],2,FALSE),"")</f>
        <v/>
      </c>
    </row>
    <row r="2376" spans="8:8" x14ac:dyDescent="0.2">
      <c r="H2376" s="11" t="str">
        <f>IFERROR(VLOOKUP(tbl_product_scores[[#This Row],[product_key]],tbl_products[[product_key]:[group_display_key]],2,FALSE),"")</f>
        <v/>
      </c>
    </row>
    <row r="2377" spans="8:8" x14ac:dyDescent="0.2">
      <c r="H2377" s="11" t="str">
        <f>IFERROR(VLOOKUP(tbl_product_scores[[#This Row],[product_key]],tbl_products[[product_key]:[group_display_key]],2,FALSE),"")</f>
        <v/>
      </c>
    </row>
    <row r="2378" spans="8:8" x14ac:dyDescent="0.2">
      <c r="H2378" s="11" t="str">
        <f>IFERROR(VLOOKUP(tbl_product_scores[[#This Row],[product_key]],tbl_products[[product_key]:[group_display_key]],2,FALSE),"")</f>
        <v/>
      </c>
    </row>
    <row r="2379" spans="8:8" x14ac:dyDescent="0.2">
      <c r="H2379" s="11" t="str">
        <f>IFERROR(VLOOKUP(tbl_product_scores[[#This Row],[product_key]],tbl_products[[product_key]:[group_display_key]],2,FALSE),"")</f>
        <v/>
      </c>
    </row>
    <row r="2380" spans="8:8" x14ac:dyDescent="0.2">
      <c r="H2380" s="11" t="str">
        <f>IFERROR(VLOOKUP(tbl_product_scores[[#This Row],[product_key]],tbl_products[[product_key]:[group_display_key]],2,FALSE),"")</f>
        <v/>
      </c>
    </row>
    <row r="2381" spans="8:8" x14ac:dyDescent="0.2">
      <c r="H2381" s="11" t="str">
        <f>IFERROR(VLOOKUP(tbl_product_scores[[#This Row],[product_key]],tbl_products[[product_key]:[group_display_key]],2,FALSE),"")</f>
        <v/>
      </c>
    </row>
    <row r="2382" spans="8:8" x14ac:dyDescent="0.2">
      <c r="H2382" s="11" t="str">
        <f>IFERROR(VLOOKUP(tbl_product_scores[[#This Row],[product_key]],tbl_products[[product_key]:[group_display_key]],2,FALSE),"")</f>
        <v/>
      </c>
    </row>
    <row r="2383" spans="8:8" x14ac:dyDescent="0.2">
      <c r="H2383" s="11" t="str">
        <f>IFERROR(VLOOKUP(tbl_product_scores[[#This Row],[product_key]],tbl_products[[product_key]:[group_display_key]],2,FALSE),"")</f>
        <v/>
      </c>
    </row>
    <row r="2384" spans="8:8" x14ac:dyDescent="0.2">
      <c r="H2384" s="11" t="str">
        <f>IFERROR(VLOOKUP(tbl_product_scores[[#This Row],[product_key]],tbl_products[[product_key]:[group_display_key]],2,FALSE),"")</f>
        <v/>
      </c>
    </row>
    <row r="2385" spans="8:8" x14ac:dyDescent="0.2">
      <c r="H2385" s="11" t="str">
        <f>IFERROR(VLOOKUP(tbl_product_scores[[#This Row],[product_key]],tbl_products[[product_key]:[group_display_key]],2,FALSE),"")</f>
        <v/>
      </c>
    </row>
    <row r="2386" spans="8:8" x14ac:dyDescent="0.2">
      <c r="H2386" s="11" t="str">
        <f>IFERROR(VLOOKUP(tbl_product_scores[[#This Row],[product_key]],tbl_products[[product_key]:[group_display_key]],2,FALSE),"")</f>
        <v/>
      </c>
    </row>
    <row r="2387" spans="8:8" x14ac:dyDescent="0.2">
      <c r="H2387" s="11" t="str">
        <f>IFERROR(VLOOKUP(tbl_product_scores[[#This Row],[product_key]],tbl_products[[product_key]:[group_display_key]],2,FALSE),"")</f>
        <v/>
      </c>
    </row>
    <row r="2388" spans="8:8" x14ac:dyDescent="0.2">
      <c r="H2388" s="11" t="str">
        <f>IFERROR(VLOOKUP(tbl_product_scores[[#This Row],[product_key]],tbl_products[[product_key]:[group_display_key]],2,FALSE),"")</f>
        <v/>
      </c>
    </row>
    <row r="2389" spans="8:8" x14ac:dyDescent="0.2">
      <c r="H2389" s="11" t="str">
        <f>IFERROR(VLOOKUP(tbl_product_scores[[#This Row],[product_key]],tbl_products[[product_key]:[group_display_key]],2,FALSE),"")</f>
        <v/>
      </c>
    </row>
    <row r="2390" spans="8:8" x14ac:dyDescent="0.2">
      <c r="H2390" s="11" t="str">
        <f>IFERROR(VLOOKUP(tbl_product_scores[[#This Row],[product_key]],tbl_products[[product_key]:[group_display_key]],2,FALSE),"")</f>
        <v/>
      </c>
    </row>
    <row r="2391" spans="8:8" x14ac:dyDescent="0.2">
      <c r="H2391" s="11" t="str">
        <f>IFERROR(VLOOKUP(tbl_product_scores[[#This Row],[product_key]],tbl_products[[product_key]:[group_display_key]],2,FALSE),"")</f>
        <v/>
      </c>
    </row>
    <row r="2392" spans="8:8" x14ac:dyDescent="0.2">
      <c r="H2392" s="11" t="str">
        <f>IFERROR(VLOOKUP(tbl_product_scores[[#This Row],[product_key]],tbl_products[[product_key]:[group_display_key]],2,FALSE),"")</f>
        <v/>
      </c>
    </row>
    <row r="2393" spans="8:8" x14ac:dyDescent="0.2">
      <c r="H2393" s="11" t="str">
        <f>IFERROR(VLOOKUP(tbl_product_scores[[#This Row],[product_key]],tbl_products[[product_key]:[group_display_key]],2,FALSE),"")</f>
        <v/>
      </c>
    </row>
    <row r="2394" spans="8:8" x14ac:dyDescent="0.2">
      <c r="H2394" s="11" t="str">
        <f>IFERROR(VLOOKUP(tbl_product_scores[[#This Row],[product_key]],tbl_products[[product_key]:[group_display_key]],2,FALSE),"")</f>
        <v/>
      </c>
    </row>
    <row r="2395" spans="8:8" x14ac:dyDescent="0.2">
      <c r="H2395" s="11" t="str">
        <f>IFERROR(VLOOKUP(tbl_product_scores[[#This Row],[product_key]],tbl_products[[product_key]:[group_display_key]],2,FALSE),"")</f>
        <v/>
      </c>
    </row>
    <row r="2396" spans="8:8" x14ac:dyDescent="0.2">
      <c r="H2396" s="11" t="str">
        <f>IFERROR(VLOOKUP(tbl_product_scores[[#This Row],[product_key]],tbl_products[[product_key]:[group_display_key]],2,FALSE),"")</f>
        <v/>
      </c>
    </row>
    <row r="2397" spans="8:8" x14ac:dyDescent="0.2">
      <c r="H2397" s="11" t="str">
        <f>IFERROR(VLOOKUP(tbl_product_scores[[#This Row],[product_key]],tbl_products[[product_key]:[group_display_key]],2,FALSE),"")</f>
        <v/>
      </c>
    </row>
    <row r="2398" spans="8:8" x14ac:dyDescent="0.2">
      <c r="H2398" s="11" t="str">
        <f>IFERROR(VLOOKUP(tbl_product_scores[[#This Row],[product_key]],tbl_products[[product_key]:[group_display_key]],2,FALSE),"")</f>
        <v/>
      </c>
    </row>
    <row r="2399" spans="8:8" x14ac:dyDescent="0.2">
      <c r="H2399" s="11" t="str">
        <f>IFERROR(VLOOKUP(tbl_product_scores[[#This Row],[product_key]],tbl_products[[product_key]:[group_display_key]],2,FALSE),"")</f>
        <v/>
      </c>
    </row>
    <row r="2400" spans="8:8" x14ac:dyDescent="0.2">
      <c r="H2400" s="11" t="str">
        <f>IFERROR(VLOOKUP(tbl_product_scores[[#This Row],[product_key]],tbl_products[[product_key]:[group_display_key]],2,FALSE),"")</f>
        <v/>
      </c>
    </row>
    <row r="2401" spans="8:8" x14ac:dyDescent="0.2">
      <c r="H2401" s="11" t="str">
        <f>IFERROR(VLOOKUP(tbl_product_scores[[#This Row],[product_key]],tbl_products[[product_key]:[group_display_key]],2,FALSE),"")</f>
        <v/>
      </c>
    </row>
    <row r="2402" spans="8:8" x14ac:dyDescent="0.2">
      <c r="H2402" s="11" t="str">
        <f>IFERROR(VLOOKUP(tbl_product_scores[[#This Row],[product_key]],tbl_products[[product_key]:[group_display_key]],2,FALSE),"")</f>
        <v/>
      </c>
    </row>
    <row r="2403" spans="8:8" x14ac:dyDescent="0.2">
      <c r="H2403" s="11" t="str">
        <f>IFERROR(VLOOKUP(tbl_product_scores[[#This Row],[product_key]],tbl_products[[product_key]:[group_display_key]],2,FALSE),"")</f>
        <v/>
      </c>
    </row>
    <row r="2404" spans="8:8" x14ac:dyDescent="0.2">
      <c r="H2404" s="11" t="str">
        <f>IFERROR(VLOOKUP(tbl_product_scores[[#This Row],[product_key]],tbl_products[[product_key]:[group_display_key]],2,FALSE),"")</f>
        <v/>
      </c>
    </row>
    <row r="2405" spans="8:8" x14ac:dyDescent="0.2">
      <c r="H2405" s="11" t="str">
        <f>IFERROR(VLOOKUP(tbl_product_scores[[#This Row],[product_key]],tbl_products[[product_key]:[group_display_key]],2,FALSE),"")</f>
        <v/>
      </c>
    </row>
    <row r="2406" spans="8:8" x14ac:dyDescent="0.2">
      <c r="H2406" s="11" t="str">
        <f>IFERROR(VLOOKUP(tbl_product_scores[[#This Row],[product_key]],tbl_products[[product_key]:[group_display_key]],2,FALSE),"")</f>
        <v/>
      </c>
    </row>
    <row r="2407" spans="8:8" x14ac:dyDescent="0.2">
      <c r="H2407" s="11" t="str">
        <f>IFERROR(VLOOKUP(tbl_product_scores[[#This Row],[product_key]],tbl_products[[product_key]:[group_display_key]],2,FALSE),"")</f>
        <v/>
      </c>
    </row>
    <row r="2408" spans="8:8" x14ac:dyDescent="0.2">
      <c r="H2408" s="11" t="str">
        <f>IFERROR(VLOOKUP(tbl_product_scores[[#This Row],[product_key]],tbl_products[[product_key]:[group_display_key]],2,FALSE),"")</f>
        <v/>
      </c>
    </row>
    <row r="2409" spans="8:8" x14ac:dyDescent="0.2">
      <c r="H2409" s="11" t="str">
        <f>IFERROR(VLOOKUP(tbl_product_scores[[#This Row],[product_key]],tbl_products[[product_key]:[group_display_key]],2,FALSE),"")</f>
        <v/>
      </c>
    </row>
    <row r="2410" spans="8:8" x14ac:dyDescent="0.2">
      <c r="H2410" s="11" t="str">
        <f>IFERROR(VLOOKUP(tbl_product_scores[[#This Row],[product_key]],tbl_products[[product_key]:[group_display_key]],2,FALSE),"")</f>
        <v/>
      </c>
    </row>
    <row r="2411" spans="8:8" x14ac:dyDescent="0.2">
      <c r="H2411" s="11" t="str">
        <f>IFERROR(VLOOKUP(tbl_product_scores[[#This Row],[product_key]],tbl_products[[product_key]:[group_display_key]],2,FALSE),"")</f>
        <v/>
      </c>
    </row>
    <row r="2412" spans="8:8" x14ac:dyDescent="0.2">
      <c r="H2412" s="11" t="str">
        <f>IFERROR(VLOOKUP(tbl_product_scores[[#This Row],[product_key]],tbl_products[[product_key]:[group_display_key]],2,FALSE),"")</f>
        <v/>
      </c>
    </row>
    <row r="2413" spans="8:8" x14ac:dyDescent="0.2">
      <c r="H2413" s="11" t="str">
        <f>IFERROR(VLOOKUP(tbl_product_scores[[#This Row],[product_key]],tbl_products[[product_key]:[group_display_key]],2,FALSE),"")</f>
        <v/>
      </c>
    </row>
    <row r="2414" spans="8:8" x14ac:dyDescent="0.2">
      <c r="H2414" s="11" t="str">
        <f>IFERROR(VLOOKUP(tbl_product_scores[[#This Row],[product_key]],tbl_products[[product_key]:[group_display_key]],2,FALSE),"")</f>
        <v/>
      </c>
    </row>
    <row r="2415" spans="8:8" x14ac:dyDescent="0.2">
      <c r="H2415" s="11" t="str">
        <f>IFERROR(VLOOKUP(tbl_product_scores[[#This Row],[product_key]],tbl_products[[product_key]:[group_display_key]],2,FALSE),"")</f>
        <v/>
      </c>
    </row>
    <row r="2416" spans="8:8" x14ac:dyDescent="0.2">
      <c r="H2416" s="11" t="str">
        <f>IFERROR(VLOOKUP(tbl_product_scores[[#This Row],[product_key]],tbl_products[[product_key]:[group_display_key]],2,FALSE),"")</f>
        <v/>
      </c>
    </row>
    <row r="2417" spans="8:8" x14ac:dyDescent="0.2">
      <c r="H2417" s="11" t="str">
        <f>IFERROR(VLOOKUP(tbl_product_scores[[#This Row],[product_key]],tbl_products[[product_key]:[group_display_key]],2,FALSE),"")</f>
        <v/>
      </c>
    </row>
    <row r="2418" spans="8:8" x14ac:dyDescent="0.2">
      <c r="H2418" s="11" t="str">
        <f>IFERROR(VLOOKUP(tbl_product_scores[[#This Row],[product_key]],tbl_products[[product_key]:[group_display_key]],2,FALSE),"")</f>
        <v/>
      </c>
    </row>
    <row r="2419" spans="8:8" x14ac:dyDescent="0.2">
      <c r="H2419" s="11" t="str">
        <f>IFERROR(VLOOKUP(tbl_product_scores[[#This Row],[product_key]],tbl_products[[product_key]:[group_display_key]],2,FALSE),"")</f>
        <v/>
      </c>
    </row>
    <row r="2420" spans="8:8" x14ac:dyDescent="0.2">
      <c r="H2420" s="11" t="str">
        <f>IFERROR(VLOOKUP(tbl_product_scores[[#This Row],[product_key]],tbl_products[[product_key]:[group_display_key]],2,FALSE),"")</f>
        <v/>
      </c>
    </row>
    <row r="2421" spans="8:8" x14ac:dyDescent="0.2">
      <c r="H2421" s="11" t="str">
        <f>IFERROR(VLOOKUP(tbl_product_scores[[#This Row],[product_key]],tbl_products[[product_key]:[group_display_key]],2,FALSE),"")</f>
        <v/>
      </c>
    </row>
    <row r="2422" spans="8:8" x14ac:dyDescent="0.2">
      <c r="H2422" s="11" t="str">
        <f>IFERROR(VLOOKUP(tbl_product_scores[[#This Row],[product_key]],tbl_products[[product_key]:[group_display_key]],2,FALSE),"")</f>
        <v/>
      </c>
    </row>
    <row r="2423" spans="8:8" x14ac:dyDescent="0.2">
      <c r="H2423" s="11" t="str">
        <f>IFERROR(VLOOKUP(tbl_product_scores[[#This Row],[product_key]],tbl_products[[product_key]:[group_display_key]],2,FALSE),"")</f>
        <v/>
      </c>
    </row>
    <row r="2424" spans="8:8" x14ac:dyDescent="0.2">
      <c r="H2424" s="11" t="str">
        <f>IFERROR(VLOOKUP(tbl_product_scores[[#This Row],[product_key]],tbl_products[[product_key]:[group_display_key]],2,FALSE),"")</f>
        <v/>
      </c>
    </row>
    <row r="2425" spans="8:8" x14ac:dyDescent="0.2">
      <c r="H2425" s="11" t="str">
        <f>IFERROR(VLOOKUP(tbl_product_scores[[#This Row],[product_key]],tbl_products[[product_key]:[group_display_key]],2,FALSE),"")</f>
        <v/>
      </c>
    </row>
    <row r="2426" spans="8:8" x14ac:dyDescent="0.2">
      <c r="H2426" s="11" t="str">
        <f>IFERROR(VLOOKUP(tbl_product_scores[[#This Row],[product_key]],tbl_products[[product_key]:[group_display_key]],2,FALSE),"")</f>
        <v/>
      </c>
    </row>
    <row r="2427" spans="8:8" x14ac:dyDescent="0.2">
      <c r="H2427" s="11" t="str">
        <f>IFERROR(VLOOKUP(tbl_product_scores[[#This Row],[product_key]],tbl_products[[product_key]:[group_display_key]],2,FALSE),"")</f>
        <v/>
      </c>
    </row>
    <row r="2428" spans="8:8" x14ac:dyDescent="0.2">
      <c r="H2428" s="11" t="str">
        <f>IFERROR(VLOOKUP(tbl_product_scores[[#This Row],[product_key]],tbl_products[[product_key]:[group_display_key]],2,FALSE),"")</f>
        <v/>
      </c>
    </row>
    <row r="2429" spans="8:8" x14ac:dyDescent="0.2">
      <c r="H2429" s="11" t="str">
        <f>IFERROR(VLOOKUP(tbl_product_scores[[#This Row],[product_key]],tbl_products[[product_key]:[group_display_key]],2,FALSE),"")</f>
        <v/>
      </c>
    </row>
    <row r="2430" spans="8:8" x14ac:dyDescent="0.2">
      <c r="H2430" s="11" t="str">
        <f>IFERROR(VLOOKUP(tbl_product_scores[[#This Row],[product_key]],tbl_products[[product_key]:[group_display_key]],2,FALSE),"")</f>
        <v/>
      </c>
    </row>
    <row r="2431" spans="8:8" x14ac:dyDescent="0.2">
      <c r="H2431" s="11" t="str">
        <f>IFERROR(VLOOKUP(tbl_product_scores[[#This Row],[product_key]],tbl_products[[product_key]:[group_display_key]],2,FALSE),"")</f>
        <v/>
      </c>
    </row>
    <row r="2432" spans="8:8" x14ac:dyDescent="0.2">
      <c r="H2432" s="11" t="str">
        <f>IFERROR(VLOOKUP(tbl_product_scores[[#This Row],[product_key]],tbl_products[[product_key]:[group_display_key]],2,FALSE),"")</f>
        <v/>
      </c>
    </row>
    <row r="2433" spans="8:8" x14ac:dyDescent="0.2">
      <c r="H2433" s="11" t="str">
        <f>IFERROR(VLOOKUP(tbl_product_scores[[#This Row],[product_key]],tbl_products[[product_key]:[group_display_key]],2,FALSE),"")</f>
        <v/>
      </c>
    </row>
    <row r="2434" spans="8:8" x14ac:dyDescent="0.2">
      <c r="H2434" s="11" t="str">
        <f>IFERROR(VLOOKUP(tbl_product_scores[[#This Row],[product_key]],tbl_products[[product_key]:[group_display_key]],2,FALSE),"")</f>
        <v/>
      </c>
    </row>
    <row r="2435" spans="8:8" x14ac:dyDescent="0.2">
      <c r="H2435" s="11" t="str">
        <f>IFERROR(VLOOKUP(tbl_product_scores[[#This Row],[product_key]],tbl_products[[product_key]:[group_display_key]],2,FALSE),"")</f>
        <v/>
      </c>
    </row>
    <row r="2436" spans="8:8" x14ac:dyDescent="0.2">
      <c r="H2436" s="11" t="str">
        <f>IFERROR(VLOOKUP(tbl_product_scores[[#This Row],[product_key]],tbl_products[[product_key]:[group_display_key]],2,FALSE),"")</f>
        <v/>
      </c>
    </row>
    <row r="2437" spans="8:8" x14ac:dyDescent="0.2">
      <c r="H2437" s="11" t="str">
        <f>IFERROR(VLOOKUP(tbl_product_scores[[#This Row],[product_key]],tbl_products[[product_key]:[group_display_key]],2,FALSE),"")</f>
        <v/>
      </c>
    </row>
    <row r="2438" spans="8:8" x14ac:dyDescent="0.2">
      <c r="H2438" s="11" t="str">
        <f>IFERROR(VLOOKUP(tbl_product_scores[[#This Row],[product_key]],tbl_products[[product_key]:[group_display_key]],2,FALSE),"")</f>
        <v/>
      </c>
    </row>
    <row r="2439" spans="8:8" x14ac:dyDescent="0.2">
      <c r="H2439" s="11" t="str">
        <f>IFERROR(VLOOKUP(tbl_product_scores[[#This Row],[product_key]],tbl_products[[product_key]:[group_display_key]],2,FALSE),"")</f>
        <v/>
      </c>
    </row>
    <row r="2440" spans="8:8" x14ac:dyDescent="0.2">
      <c r="H2440" s="11" t="str">
        <f>IFERROR(VLOOKUP(tbl_product_scores[[#This Row],[product_key]],tbl_products[[product_key]:[group_display_key]],2,FALSE),"")</f>
        <v/>
      </c>
    </row>
    <row r="2441" spans="8:8" x14ac:dyDescent="0.2">
      <c r="H2441" s="11" t="str">
        <f>IFERROR(VLOOKUP(tbl_product_scores[[#This Row],[product_key]],tbl_products[[product_key]:[group_display_key]],2,FALSE),"")</f>
        <v/>
      </c>
    </row>
    <row r="2442" spans="8:8" x14ac:dyDescent="0.2">
      <c r="H2442" s="11" t="str">
        <f>IFERROR(VLOOKUP(tbl_product_scores[[#This Row],[product_key]],tbl_products[[product_key]:[group_display_key]],2,FALSE),"")</f>
        <v/>
      </c>
    </row>
    <row r="2443" spans="8:8" x14ac:dyDescent="0.2">
      <c r="H2443" s="11" t="str">
        <f>IFERROR(VLOOKUP(tbl_product_scores[[#This Row],[product_key]],tbl_products[[product_key]:[group_display_key]],2,FALSE),"")</f>
        <v/>
      </c>
    </row>
    <row r="2444" spans="8:8" x14ac:dyDescent="0.2">
      <c r="H2444" s="11" t="str">
        <f>IFERROR(VLOOKUP(tbl_product_scores[[#This Row],[product_key]],tbl_products[[product_key]:[group_display_key]],2,FALSE),"")</f>
        <v/>
      </c>
    </row>
    <row r="2445" spans="8:8" x14ac:dyDescent="0.2">
      <c r="H2445" s="11" t="str">
        <f>IFERROR(VLOOKUP(tbl_product_scores[[#This Row],[product_key]],tbl_products[[product_key]:[group_display_key]],2,FALSE),"")</f>
        <v/>
      </c>
    </row>
    <row r="2446" spans="8:8" x14ac:dyDescent="0.2">
      <c r="H2446" s="11" t="str">
        <f>IFERROR(VLOOKUP(tbl_product_scores[[#This Row],[product_key]],tbl_products[[product_key]:[group_display_key]],2,FALSE),"")</f>
        <v/>
      </c>
    </row>
    <row r="2447" spans="8:8" x14ac:dyDescent="0.2">
      <c r="H2447" s="11" t="str">
        <f>IFERROR(VLOOKUP(tbl_product_scores[[#This Row],[product_key]],tbl_products[[product_key]:[group_display_key]],2,FALSE),"")</f>
        <v/>
      </c>
    </row>
    <row r="2448" spans="8:8" x14ac:dyDescent="0.2">
      <c r="H2448" s="11" t="str">
        <f>IFERROR(VLOOKUP(tbl_product_scores[[#This Row],[product_key]],tbl_products[[product_key]:[group_display_key]],2,FALSE),"")</f>
        <v/>
      </c>
    </row>
    <row r="2449" spans="8:8" x14ac:dyDescent="0.2">
      <c r="H2449" s="11" t="str">
        <f>IFERROR(VLOOKUP(tbl_product_scores[[#This Row],[product_key]],tbl_products[[product_key]:[group_display_key]],2,FALSE),"")</f>
        <v/>
      </c>
    </row>
    <row r="2450" spans="8:8" x14ac:dyDescent="0.2">
      <c r="H2450" s="11" t="str">
        <f>IFERROR(VLOOKUP(tbl_product_scores[[#This Row],[product_key]],tbl_products[[product_key]:[group_display_key]],2,FALSE),"")</f>
        <v/>
      </c>
    </row>
    <row r="2451" spans="8:8" x14ac:dyDescent="0.2">
      <c r="H2451" s="11" t="str">
        <f>IFERROR(VLOOKUP(tbl_product_scores[[#This Row],[product_key]],tbl_products[[product_key]:[group_display_key]],2,FALSE),"")</f>
        <v/>
      </c>
    </row>
    <row r="2452" spans="8:8" x14ac:dyDescent="0.2">
      <c r="H2452" s="11" t="str">
        <f>IFERROR(VLOOKUP(tbl_product_scores[[#This Row],[product_key]],tbl_products[[product_key]:[group_display_key]],2,FALSE),"")</f>
        <v/>
      </c>
    </row>
    <row r="2453" spans="8:8" x14ac:dyDescent="0.2">
      <c r="H2453" s="11" t="str">
        <f>IFERROR(VLOOKUP(tbl_product_scores[[#This Row],[product_key]],tbl_products[[product_key]:[group_display_key]],2,FALSE),"")</f>
        <v/>
      </c>
    </row>
    <row r="2454" spans="8:8" x14ac:dyDescent="0.2">
      <c r="H2454" s="11" t="str">
        <f>IFERROR(VLOOKUP(tbl_product_scores[[#This Row],[product_key]],tbl_products[[product_key]:[group_display_key]],2,FALSE),"")</f>
        <v/>
      </c>
    </row>
    <row r="2455" spans="8:8" x14ac:dyDescent="0.2">
      <c r="H2455" s="11" t="str">
        <f>IFERROR(VLOOKUP(tbl_product_scores[[#This Row],[product_key]],tbl_products[[product_key]:[group_display_key]],2,FALSE),"")</f>
        <v/>
      </c>
    </row>
    <row r="2456" spans="8:8" x14ac:dyDescent="0.2">
      <c r="H2456" s="11" t="str">
        <f>IFERROR(VLOOKUP(tbl_product_scores[[#This Row],[product_key]],tbl_products[[product_key]:[group_display_key]],2,FALSE),"")</f>
        <v/>
      </c>
    </row>
    <row r="2457" spans="8:8" x14ac:dyDescent="0.2">
      <c r="H2457" s="11" t="str">
        <f>IFERROR(VLOOKUP(tbl_product_scores[[#This Row],[product_key]],tbl_products[[product_key]:[group_display_key]],2,FALSE),"")</f>
        <v/>
      </c>
    </row>
    <row r="2458" spans="8:8" x14ac:dyDescent="0.2">
      <c r="H2458" s="11" t="str">
        <f>IFERROR(VLOOKUP(tbl_product_scores[[#This Row],[product_key]],tbl_products[[product_key]:[group_display_key]],2,FALSE),"")</f>
        <v/>
      </c>
    </row>
    <row r="2459" spans="8:8" x14ac:dyDescent="0.2">
      <c r="H2459" s="11" t="str">
        <f>IFERROR(VLOOKUP(tbl_product_scores[[#This Row],[product_key]],tbl_products[[product_key]:[group_display_key]],2,FALSE),"")</f>
        <v/>
      </c>
    </row>
    <row r="2460" spans="8:8" x14ac:dyDescent="0.2">
      <c r="H2460" s="11" t="str">
        <f>IFERROR(VLOOKUP(tbl_product_scores[[#This Row],[product_key]],tbl_products[[product_key]:[group_display_key]],2,FALSE),"")</f>
        <v/>
      </c>
    </row>
    <row r="2461" spans="8:8" x14ac:dyDescent="0.2">
      <c r="H2461" s="11" t="str">
        <f>IFERROR(VLOOKUP(tbl_product_scores[[#This Row],[product_key]],tbl_products[[product_key]:[group_display_key]],2,FALSE),"")</f>
        <v/>
      </c>
    </row>
    <row r="2462" spans="8:8" x14ac:dyDescent="0.2">
      <c r="H2462" s="11" t="str">
        <f>IFERROR(VLOOKUP(tbl_product_scores[[#This Row],[product_key]],tbl_products[[product_key]:[group_display_key]],2,FALSE),"")</f>
        <v/>
      </c>
    </row>
    <row r="2463" spans="8:8" x14ac:dyDescent="0.2">
      <c r="H2463" s="11" t="str">
        <f>IFERROR(VLOOKUP(tbl_product_scores[[#This Row],[product_key]],tbl_products[[product_key]:[group_display_key]],2,FALSE),"")</f>
        <v/>
      </c>
    </row>
    <row r="2464" spans="8:8" x14ac:dyDescent="0.2">
      <c r="H2464" s="11" t="str">
        <f>IFERROR(VLOOKUP(tbl_product_scores[[#This Row],[product_key]],tbl_products[[product_key]:[group_display_key]],2,FALSE),"")</f>
        <v/>
      </c>
    </row>
    <row r="2465" spans="8:8" x14ac:dyDescent="0.2">
      <c r="H2465" s="11" t="str">
        <f>IFERROR(VLOOKUP(tbl_product_scores[[#This Row],[product_key]],tbl_products[[product_key]:[group_display_key]],2,FALSE),"")</f>
        <v/>
      </c>
    </row>
    <row r="2466" spans="8:8" x14ac:dyDescent="0.2">
      <c r="H2466" s="11" t="str">
        <f>IFERROR(VLOOKUP(tbl_product_scores[[#This Row],[product_key]],tbl_products[[product_key]:[group_display_key]],2,FALSE),"")</f>
        <v/>
      </c>
    </row>
    <row r="2467" spans="8:8" x14ac:dyDescent="0.2">
      <c r="H2467" s="11" t="str">
        <f>IFERROR(VLOOKUP(tbl_product_scores[[#This Row],[product_key]],tbl_products[[product_key]:[group_display_key]],2,FALSE),"")</f>
        <v/>
      </c>
    </row>
    <row r="2468" spans="8:8" x14ac:dyDescent="0.2">
      <c r="H2468" s="11" t="str">
        <f>IFERROR(VLOOKUP(tbl_product_scores[[#This Row],[product_key]],tbl_products[[product_key]:[group_display_key]],2,FALSE),"")</f>
        <v/>
      </c>
    </row>
    <row r="2469" spans="8:8" x14ac:dyDescent="0.2">
      <c r="H2469" s="11" t="str">
        <f>IFERROR(VLOOKUP(tbl_product_scores[[#This Row],[product_key]],tbl_products[[product_key]:[group_display_key]],2,FALSE),"")</f>
        <v/>
      </c>
    </row>
    <row r="2470" spans="8:8" x14ac:dyDescent="0.2">
      <c r="H2470" s="11" t="str">
        <f>IFERROR(VLOOKUP(tbl_product_scores[[#This Row],[product_key]],tbl_products[[product_key]:[group_display_key]],2,FALSE),"")</f>
        <v/>
      </c>
    </row>
    <row r="2471" spans="8:8" x14ac:dyDescent="0.2">
      <c r="H2471" s="11" t="str">
        <f>IFERROR(VLOOKUP(tbl_product_scores[[#This Row],[product_key]],tbl_products[[product_key]:[group_display_key]],2,FALSE),"")</f>
        <v/>
      </c>
    </row>
    <row r="2472" spans="8:8" x14ac:dyDescent="0.2">
      <c r="H2472" s="11" t="str">
        <f>IFERROR(VLOOKUP(tbl_product_scores[[#This Row],[product_key]],tbl_products[[product_key]:[group_display_key]],2,FALSE),"")</f>
        <v/>
      </c>
    </row>
    <row r="2473" spans="8:8" x14ac:dyDescent="0.2">
      <c r="H2473" s="11" t="str">
        <f>IFERROR(VLOOKUP(tbl_product_scores[[#This Row],[product_key]],tbl_products[[product_key]:[group_display_key]],2,FALSE),"")</f>
        <v/>
      </c>
    </row>
    <row r="2474" spans="8:8" x14ac:dyDescent="0.2">
      <c r="H2474" s="11" t="str">
        <f>IFERROR(VLOOKUP(tbl_product_scores[[#This Row],[product_key]],tbl_products[[product_key]:[group_display_key]],2,FALSE),"")</f>
        <v/>
      </c>
    </row>
    <row r="2475" spans="8:8" x14ac:dyDescent="0.2">
      <c r="H2475" s="11" t="str">
        <f>IFERROR(VLOOKUP(tbl_product_scores[[#This Row],[product_key]],tbl_products[[product_key]:[group_display_key]],2,FALSE),"")</f>
        <v/>
      </c>
    </row>
    <row r="2476" spans="8:8" x14ac:dyDescent="0.2">
      <c r="H2476" s="11" t="str">
        <f>IFERROR(VLOOKUP(tbl_product_scores[[#This Row],[product_key]],tbl_products[[product_key]:[group_display_key]],2,FALSE),"")</f>
        <v/>
      </c>
    </row>
    <row r="2477" spans="8:8" x14ac:dyDescent="0.2">
      <c r="H2477" s="11" t="str">
        <f>IFERROR(VLOOKUP(tbl_product_scores[[#This Row],[product_key]],tbl_products[[product_key]:[group_display_key]],2,FALSE),"")</f>
        <v/>
      </c>
    </row>
    <row r="2478" spans="8:8" x14ac:dyDescent="0.2">
      <c r="H2478" s="11" t="str">
        <f>IFERROR(VLOOKUP(tbl_product_scores[[#This Row],[product_key]],tbl_products[[product_key]:[group_display_key]],2,FALSE),"")</f>
        <v/>
      </c>
    </row>
    <row r="2479" spans="8:8" x14ac:dyDescent="0.2">
      <c r="H2479" s="11" t="str">
        <f>IFERROR(VLOOKUP(tbl_product_scores[[#This Row],[product_key]],tbl_products[[product_key]:[group_display_key]],2,FALSE),"")</f>
        <v/>
      </c>
    </row>
    <row r="2480" spans="8:8" x14ac:dyDescent="0.2">
      <c r="H2480" s="11" t="str">
        <f>IFERROR(VLOOKUP(tbl_product_scores[[#This Row],[product_key]],tbl_products[[product_key]:[group_display_key]],2,FALSE),"")</f>
        <v/>
      </c>
    </row>
    <row r="2481" spans="8:8" x14ac:dyDescent="0.2">
      <c r="H2481" s="11" t="str">
        <f>IFERROR(VLOOKUP(tbl_product_scores[[#This Row],[product_key]],tbl_products[[product_key]:[group_display_key]],2,FALSE),"")</f>
        <v/>
      </c>
    </row>
    <row r="2482" spans="8:8" x14ac:dyDescent="0.2">
      <c r="H2482" s="11" t="str">
        <f>IFERROR(VLOOKUP(tbl_product_scores[[#This Row],[product_key]],tbl_products[[product_key]:[group_display_key]],2,FALSE),"")</f>
        <v/>
      </c>
    </row>
    <row r="2483" spans="8:8" x14ac:dyDescent="0.2">
      <c r="H2483" s="11" t="str">
        <f>IFERROR(VLOOKUP(tbl_product_scores[[#This Row],[product_key]],tbl_products[[product_key]:[group_display_key]],2,FALSE),"")</f>
        <v/>
      </c>
    </row>
    <row r="2484" spans="8:8" x14ac:dyDescent="0.2">
      <c r="H2484" s="11" t="str">
        <f>IFERROR(VLOOKUP(tbl_product_scores[[#This Row],[product_key]],tbl_products[[product_key]:[group_display_key]],2,FALSE),"")</f>
        <v/>
      </c>
    </row>
    <row r="2485" spans="8:8" x14ac:dyDescent="0.2">
      <c r="H2485" s="11" t="str">
        <f>IFERROR(VLOOKUP(tbl_product_scores[[#This Row],[product_key]],tbl_products[[product_key]:[group_display_key]],2,FALSE),"")</f>
        <v/>
      </c>
    </row>
    <row r="2486" spans="8:8" x14ac:dyDescent="0.2">
      <c r="H2486" s="11" t="str">
        <f>IFERROR(VLOOKUP(tbl_product_scores[[#This Row],[product_key]],tbl_products[[product_key]:[group_display_key]],2,FALSE),"")</f>
        <v/>
      </c>
    </row>
    <row r="2487" spans="8:8" x14ac:dyDescent="0.2">
      <c r="H2487" s="11" t="str">
        <f>IFERROR(VLOOKUP(tbl_product_scores[[#This Row],[product_key]],tbl_products[[product_key]:[group_display_key]],2,FALSE),"")</f>
        <v/>
      </c>
    </row>
    <row r="2488" spans="8:8" x14ac:dyDescent="0.2">
      <c r="H2488" s="11" t="str">
        <f>IFERROR(VLOOKUP(tbl_product_scores[[#This Row],[product_key]],tbl_products[[product_key]:[group_display_key]],2,FALSE),"")</f>
        <v/>
      </c>
    </row>
    <row r="2489" spans="8:8" x14ac:dyDescent="0.2">
      <c r="H2489" s="11" t="str">
        <f>IFERROR(VLOOKUP(tbl_product_scores[[#This Row],[product_key]],tbl_products[[product_key]:[group_display_key]],2,FALSE),"")</f>
        <v/>
      </c>
    </row>
    <row r="2490" spans="8:8" x14ac:dyDescent="0.2">
      <c r="H2490" s="11" t="str">
        <f>IFERROR(VLOOKUP(tbl_product_scores[[#This Row],[product_key]],tbl_products[[product_key]:[group_display_key]],2,FALSE),"")</f>
        <v/>
      </c>
    </row>
    <row r="2491" spans="8:8" x14ac:dyDescent="0.2">
      <c r="H2491" s="11" t="str">
        <f>IFERROR(VLOOKUP(tbl_product_scores[[#This Row],[product_key]],tbl_products[[product_key]:[group_display_key]],2,FALSE),"")</f>
        <v/>
      </c>
    </row>
    <row r="2492" spans="8:8" x14ac:dyDescent="0.2">
      <c r="H2492" s="11" t="str">
        <f>IFERROR(VLOOKUP(tbl_product_scores[[#This Row],[product_key]],tbl_products[[product_key]:[group_display_key]],2,FALSE),"")</f>
        <v/>
      </c>
    </row>
    <row r="2493" spans="8:8" x14ac:dyDescent="0.2">
      <c r="H2493" s="11" t="str">
        <f>IFERROR(VLOOKUP(tbl_product_scores[[#This Row],[product_key]],tbl_products[[product_key]:[group_display_key]],2,FALSE),"")</f>
        <v/>
      </c>
    </row>
    <row r="2494" spans="8:8" x14ac:dyDescent="0.2">
      <c r="H2494" s="11" t="str">
        <f>IFERROR(VLOOKUP(tbl_product_scores[[#This Row],[product_key]],tbl_products[[product_key]:[group_display_key]],2,FALSE),"")</f>
        <v/>
      </c>
    </row>
    <row r="2495" spans="8:8" x14ac:dyDescent="0.2">
      <c r="H2495" s="11" t="str">
        <f>IFERROR(VLOOKUP(tbl_product_scores[[#This Row],[product_key]],tbl_products[[product_key]:[group_display_key]],2,FALSE),"")</f>
        <v/>
      </c>
    </row>
    <row r="2496" spans="8:8" x14ac:dyDescent="0.2">
      <c r="H2496" s="11" t="str">
        <f>IFERROR(VLOOKUP(tbl_product_scores[[#This Row],[product_key]],tbl_products[[product_key]:[group_display_key]],2,FALSE),"")</f>
        <v/>
      </c>
    </row>
    <row r="2497" spans="8:8" x14ac:dyDescent="0.2">
      <c r="H2497" s="11" t="str">
        <f>IFERROR(VLOOKUP(tbl_product_scores[[#This Row],[product_key]],tbl_products[[product_key]:[group_display_key]],2,FALSE),"")</f>
        <v/>
      </c>
    </row>
    <row r="2498" spans="8:8" x14ac:dyDescent="0.2">
      <c r="H2498" s="11" t="str">
        <f>IFERROR(VLOOKUP(tbl_product_scores[[#This Row],[product_key]],tbl_products[[product_key]:[group_display_key]],2,FALSE),"")</f>
        <v/>
      </c>
    </row>
    <row r="2499" spans="8:8" x14ac:dyDescent="0.2">
      <c r="H2499" s="11" t="str">
        <f>IFERROR(VLOOKUP(tbl_product_scores[[#This Row],[product_key]],tbl_products[[product_key]:[group_display_key]],2,FALSE),"")</f>
        <v/>
      </c>
    </row>
    <row r="2500" spans="8:8" x14ac:dyDescent="0.2">
      <c r="H2500" s="11" t="str">
        <f>IFERROR(VLOOKUP(tbl_product_scores[[#This Row],[product_key]],tbl_products[[product_key]:[group_display_key]],2,FALSE),"")</f>
        <v/>
      </c>
    </row>
    <row r="2501" spans="8:8" x14ac:dyDescent="0.2">
      <c r="H2501" s="11" t="str">
        <f>IFERROR(VLOOKUP(tbl_product_scores[[#This Row],[product_key]],tbl_products[[product_key]:[group_display_key]],2,FALSE),"")</f>
        <v/>
      </c>
    </row>
    <row r="2502" spans="8:8" x14ac:dyDescent="0.2">
      <c r="H2502" s="11" t="str">
        <f>IFERROR(VLOOKUP(tbl_product_scores[[#This Row],[product_key]],tbl_products[[product_key]:[group_display_key]],2,FALSE),"")</f>
        <v/>
      </c>
    </row>
    <row r="2503" spans="8:8" x14ac:dyDescent="0.2">
      <c r="H2503" s="11" t="str">
        <f>IFERROR(VLOOKUP(tbl_product_scores[[#This Row],[product_key]],tbl_products[[product_key]:[group_display_key]],2,FALSE),"")</f>
        <v/>
      </c>
    </row>
    <row r="2504" spans="8:8" x14ac:dyDescent="0.2">
      <c r="H2504" s="11" t="str">
        <f>IFERROR(VLOOKUP(tbl_product_scores[[#This Row],[product_key]],tbl_products[[product_key]:[group_display_key]],2,FALSE),"")</f>
        <v/>
      </c>
    </row>
    <row r="2505" spans="8:8" x14ac:dyDescent="0.2">
      <c r="H2505" s="11" t="str">
        <f>IFERROR(VLOOKUP(tbl_product_scores[[#This Row],[product_key]],tbl_products[[product_key]:[group_display_key]],2,FALSE),"")</f>
        <v/>
      </c>
    </row>
    <row r="2506" spans="8:8" x14ac:dyDescent="0.2">
      <c r="H2506" s="11" t="str">
        <f>IFERROR(VLOOKUP(tbl_product_scores[[#This Row],[product_key]],tbl_products[[product_key]:[group_display_key]],2,FALSE),"")</f>
        <v/>
      </c>
    </row>
    <row r="2507" spans="8:8" x14ac:dyDescent="0.2">
      <c r="H2507" s="11" t="str">
        <f>IFERROR(VLOOKUP(tbl_product_scores[[#This Row],[product_key]],tbl_products[[product_key]:[group_display_key]],2,FALSE),"")</f>
        <v/>
      </c>
    </row>
    <row r="2508" spans="8:8" x14ac:dyDescent="0.2">
      <c r="H2508" s="11" t="str">
        <f>IFERROR(VLOOKUP(tbl_product_scores[[#This Row],[product_key]],tbl_products[[product_key]:[group_display_key]],2,FALSE),"")</f>
        <v/>
      </c>
    </row>
    <row r="2509" spans="8:8" x14ac:dyDescent="0.2">
      <c r="H2509" s="11" t="str">
        <f>IFERROR(VLOOKUP(tbl_product_scores[[#This Row],[product_key]],tbl_products[[product_key]:[group_display_key]],2,FALSE),"")</f>
        <v/>
      </c>
    </row>
    <row r="2510" spans="8:8" x14ac:dyDescent="0.2">
      <c r="H2510" s="11" t="str">
        <f>IFERROR(VLOOKUP(tbl_product_scores[[#This Row],[product_key]],tbl_products[[product_key]:[group_display_key]],2,FALSE),"")</f>
        <v/>
      </c>
    </row>
    <row r="2511" spans="8:8" x14ac:dyDescent="0.2">
      <c r="H2511" s="11" t="str">
        <f>IFERROR(VLOOKUP(tbl_product_scores[[#This Row],[product_key]],tbl_products[[product_key]:[group_display_key]],2,FALSE),"")</f>
        <v/>
      </c>
    </row>
    <row r="2512" spans="8:8" x14ac:dyDescent="0.2">
      <c r="H2512" s="11" t="str">
        <f>IFERROR(VLOOKUP(tbl_product_scores[[#This Row],[product_key]],tbl_products[[product_key]:[group_display_key]],2,FALSE),"")</f>
        <v/>
      </c>
    </row>
    <row r="2513" spans="8:8" x14ac:dyDescent="0.2">
      <c r="H2513" s="11" t="str">
        <f>IFERROR(VLOOKUP(tbl_product_scores[[#This Row],[product_key]],tbl_products[[product_key]:[group_display_key]],2,FALSE),"")</f>
        <v/>
      </c>
    </row>
    <row r="2514" spans="8:8" x14ac:dyDescent="0.2">
      <c r="H2514" s="11" t="str">
        <f>IFERROR(VLOOKUP(tbl_product_scores[[#This Row],[product_key]],tbl_products[[product_key]:[group_display_key]],2,FALSE),"")</f>
        <v/>
      </c>
    </row>
    <row r="2515" spans="8:8" x14ac:dyDescent="0.2">
      <c r="H2515" s="11" t="str">
        <f>IFERROR(VLOOKUP(tbl_product_scores[[#This Row],[product_key]],tbl_products[[product_key]:[group_display_key]],2,FALSE),"")</f>
        <v/>
      </c>
    </row>
    <row r="2516" spans="8:8" x14ac:dyDescent="0.2">
      <c r="H2516" s="11" t="str">
        <f>IFERROR(VLOOKUP(tbl_product_scores[[#This Row],[product_key]],tbl_products[[product_key]:[group_display_key]],2,FALSE),"")</f>
        <v/>
      </c>
    </row>
    <row r="2517" spans="8:8" x14ac:dyDescent="0.2">
      <c r="H2517" s="11" t="str">
        <f>IFERROR(VLOOKUP(tbl_product_scores[[#This Row],[product_key]],tbl_products[[product_key]:[group_display_key]],2,FALSE),"")</f>
        <v/>
      </c>
    </row>
    <row r="2518" spans="8:8" x14ac:dyDescent="0.2">
      <c r="H2518" s="11" t="str">
        <f>IFERROR(VLOOKUP(tbl_product_scores[[#This Row],[product_key]],tbl_products[[product_key]:[group_display_key]],2,FALSE),"")</f>
        <v/>
      </c>
    </row>
    <row r="2519" spans="8:8" x14ac:dyDescent="0.2">
      <c r="H2519" s="11" t="str">
        <f>IFERROR(VLOOKUP(tbl_product_scores[[#This Row],[product_key]],tbl_products[[product_key]:[group_display_key]],2,FALSE),"")</f>
        <v/>
      </c>
    </row>
    <row r="2520" spans="8:8" x14ac:dyDescent="0.2">
      <c r="H2520" s="11" t="str">
        <f>IFERROR(VLOOKUP(tbl_product_scores[[#This Row],[product_key]],tbl_products[[product_key]:[group_display_key]],2,FALSE),"")</f>
        <v/>
      </c>
    </row>
    <row r="2521" spans="8:8" x14ac:dyDescent="0.2">
      <c r="H2521" s="11" t="str">
        <f>IFERROR(VLOOKUP(tbl_product_scores[[#This Row],[product_key]],tbl_products[[product_key]:[group_display_key]],2,FALSE),"")</f>
        <v/>
      </c>
    </row>
    <row r="2522" spans="8:8" x14ac:dyDescent="0.2">
      <c r="H2522" s="11" t="str">
        <f>IFERROR(VLOOKUP(tbl_product_scores[[#This Row],[product_key]],tbl_products[[product_key]:[group_display_key]],2,FALSE),"")</f>
        <v/>
      </c>
    </row>
    <row r="2523" spans="8:8" x14ac:dyDescent="0.2">
      <c r="H2523" s="11" t="str">
        <f>IFERROR(VLOOKUP(tbl_product_scores[[#This Row],[product_key]],tbl_products[[product_key]:[group_display_key]],2,FALSE),"")</f>
        <v/>
      </c>
    </row>
    <row r="2524" spans="8:8" x14ac:dyDescent="0.2">
      <c r="H2524" s="11" t="str">
        <f>IFERROR(VLOOKUP(tbl_product_scores[[#This Row],[product_key]],tbl_products[[product_key]:[group_display_key]],2,FALSE),"")</f>
        <v/>
      </c>
    </row>
    <row r="2525" spans="8:8" x14ac:dyDescent="0.2">
      <c r="H2525" s="11" t="str">
        <f>IFERROR(VLOOKUP(tbl_product_scores[[#This Row],[product_key]],tbl_products[[product_key]:[group_display_key]],2,FALSE),"")</f>
        <v/>
      </c>
    </row>
    <row r="2526" spans="8:8" x14ac:dyDescent="0.2">
      <c r="H2526" s="11" t="str">
        <f>IFERROR(VLOOKUP(tbl_product_scores[[#This Row],[product_key]],tbl_products[[product_key]:[group_display_key]],2,FALSE),"")</f>
        <v/>
      </c>
    </row>
    <row r="2527" spans="8:8" x14ac:dyDescent="0.2">
      <c r="H2527" s="11" t="str">
        <f>IFERROR(VLOOKUP(tbl_product_scores[[#This Row],[product_key]],tbl_products[[product_key]:[group_display_key]],2,FALSE),"")</f>
        <v/>
      </c>
    </row>
    <row r="2528" spans="8:8" x14ac:dyDescent="0.2">
      <c r="H2528" s="11" t="str">
        <f>IFERROR(VLOOKUP(tbl_product_scores[[#This Row],[product_key]],tbl_products[[product_key]:[group_display_key]],2,FALSE),"")</f>
        <v/>
      </c>
    </row>
    <row r="2529" spans="8:8" x14ac:dyDescent="0.2">
      <c r="H2529" s="11" t="str">
        <f>IFERROR(VLOOKUP(tbl_product_scores[[#This Row],[product_key]],tbl_products[[product_key]:[group_display_key]],2,FALSE),"")</f>
        <v/>
      </c>
    </row>
    <row r="2530" spans="8:8" x14ac:dyDescent="0.2">
      <c r="H2530" s="11" t="str">
        <f>IFERROR(VLOOKUP(tbl_product_scores[[#This Row],[product_key]],tbl_products[[product_key]:[group_display_key]],2,FALSE),"")</f>
        <v/>
      </c>
    </row>
    <row r="2531" spans="8:8" x14ac:dyDescent="0.2">
      <c r="H2531" s="11" t="str">
        <f>IFERROR(VLOOKUP(tbl_product_scores[[#This Row],[product_key]],tbl_products[[product_key]:[group_display_key]],2,FALSE),"")</f>
        <v/>
      </c>
    </row>
    <row r="2532" spans="8:8" x14ac:dyDescent="0.2">
      <c r="H2532" s="11" t="str">
        <f>IFERROR(VLOOKUP(tbl_product_scores[[#This Row],[product_key]],tbl_products[[product_key]:[group_display_key]],2,FALSE),"")</f>
        <v/>
      </c>
    </row>
    <row r="2533" spans="8:8" x14ac:dyDescent="0.2">
      <c r="H2533" s="11" t="str">
        <f>IFERROR(VLOOKUP(tbl_product_scores[[#This Row],[product_key]],tbl_products[[product_key]:[group_display_key]],2,FALSE),"")</f>
        <v/>
      </c>
    </row>
    <row r="2534" spans="8:8" x14ac:dyDescent="0.2">
      <c r="H2534" s="11" t="str">
        <f>IFERROR(VLOOKUP(tbl_product_scores[[#This Row],[product_key]],tbl_products[[product_key]:[group_display_key]],2,FALSE),"")</f>
        <v/>
      </c>
    </row>
    <row r="2535" spans="8:8" x14ac:dyDescent="0.2">
      <c r="H2535" s="11" t="str">
        <f>IFERROR(VLOOKUP(tbl_product_scores[[#This Row],[product_key]],tbl_products[[product_key]:[group_display_key]],2,FALSE),"")</f>
        <v/>
      </c>
    </row>
    <row r="2536" spans="8:8" x14ac:dyDescent="0.2">
      <c r="H2536" s="11" t="str">
        <f>IFERROR(VLOOKUP(tbl_product_scores[[#This Row],[product_key]],tbl_products[[product_key]:[group_display_key]],2,FALSE),"")</f>
        <v/>
      </c>
    </row>
    <row r="2537" spans="8:8" x14ac:dyDescent="0.2">
      <c r="H2537" s="11" t="str">
        <f>IFERROR(VLOOKUP(tbl_product_scores[[#This Row],[product_key]],tbl_products[[product_key]:[group_display_key]],2,FALSE),"")</f>
        <v/>
      </c>
    </row>
    <row r="2538" spans="8:8" x14ac:dyDescent="0.2">
      <c r="H2538" s="11" t="str">
        <f>IFERROR(VLOOKUP(tbl_product_scores[[#This Row],[product_key]],tbl_products[[product_key]:[group_display_key]],2,FALSE),"")</f>
        <v/>
      </c>
    </row>
    <row r="2539" spans="8:8" x14ac:dyDescent="0.2">
      <c r="H2539" s="11" t="str">
        <f>IFERROR(VLOOKUP(tbl_product_scores[[#This Row],[product_key]],tbl_products[[product_key]:[group_display_key]],2,FALSE),"")</f>
        <v/>
      </c>
    </row>
    <row r="2540" spans="8:8" x14ac:dyDescent="0.2">
      <c r="H2540" s="11" t="str">
        <f>IFERROR(VLOOKUP(tbl_product_scores[[#This Row],[product_key]],tbl_products[[product_key]:[group_display_key]],2,FALSE),"")</f>
        <v/>
      </c>
    </row>
    <row r="2541" spans="8:8" x14ac:dyDescent="0.2">
      <c r="H2541" s="11" t="str">
        <f>IFERROR(VLOOKUP(tbl_product_scores[[#This Row],[product_key]],tbl_products[[product_key]:[group_display_key]],2,FALSE),"")</f>
        <v/>
      </c>
    </row>
    <row r="2542" spans="8:8" x14ac:dyDescent="0.2">
      <c r="H2542" s="11" t="str">
        <f>IFERROR(VLOOKUP(tbl_product_scores[[#This Row],[product_key]],tbl_products[[product_key]:[group_display_key]],2,FALSE),"")</f>
        <v/>
      </c>
    </row>
    <row r="2543" spans="8:8" x14ac:dyDescent="0.2">
      <c r="H2543" s="11" t="str">
        <f>IFERROR(VLOOKUP(tbl_product_scores[[#This Row],[product_key]],tbl_products[[product_key]:[group_display_key]],2,FALSE),"")</f>
        <v/>
      </c>
    </row>
    <row r="2544" spans="8:8" x14ac:dyDescent="0.2">
      <c r="H2544" s="11" t="str">
        <f>IFERROR(VLOOKUP(tbl_product_scores[[#This Row],[product_key]],tbl_products[[product_key]:[group_display_key]],2,FALSE),"")</f>
        <v/>
      </c>
    </row>
    <row r="2545" spans="8:8" x14ac:dyDescent="0.2">
      <c r="H2545" s="11" t="str">
        <f>IFERROR(VLOOKUP(tbl_product_scores[[#This Row],[product_key]],tbl_products[[product_key]:[group_display_key]],2,FALSE),"")</f>
        <v/>
      </c>
    </row>
    <row r="2546" spans="8:8" x14ac:dyDescent="0.2">
      <c r="H2546" s="11" t="str">
        <f>IFERROR(VLOOKUP(tbl_product_scores[[#This Row],[product_key]],tbl_products[[product_key]:[group_display_key]],2,FALSE),"")</f>
        <v/>
      </c>
    </row>
    <row r="2547" spans="8:8" x14ac:dyDescent="0.2">
      <c r="H2547" s="11" t="str">
        <f>IFERROR(VLOOKUP(tbl_product_scores[[#This Row],[product_key]],tbl_products[[product_key]:[group_display_key]],2,FALSE),"")</f>
        <v/>
      </c>
    </row>
    <row r="2548" spans="8:8" x14ac:dyDescent="0.2">
      <c r="H2548" s="11" t="str">
        <f>IFERROR(VLOOKUP(tbl_product_scores[[#This Row],[product_key]],tbl_products[[product_key]:[group_display_key]],2,FALSE),"")</f>
        <v/>
      </c>
    </row>
    <row r="2549" spans="8:8" x14ac:dyDescent="0.2">
      <c r="H2549" s="11" t="str">
        <f>IFERROR(VLOOKUP(tbl_product_scores[[#This Row],[product_key]],tbl_products[[product_key]:[group_display_key]],2,FALSE),"")</f>
        <v/>
      </c>
    </row>
    <row r="2550" spans="8:8" x14ac:dyDescent="0.2">
      <c r="H2550" s="11" t="str">
        <f>IFERROR(VLOOKUP(tbl_product_scores[[#This Row],[product_key]],tbl_products[[product_key]:[group_display_key]],2,FALSE),"")</f>
        <v/>
      </c>
    </row>
    <row r="2551" spans="8:8" x14ac:dyDescent="0.2">
      <c r="H2551" s="11" t="str">
        <f>IFERROR(VLOOKUP(tbl_product_scores[[#This Row],[product_key]],tbl_products[[product_key]:[group_display_key]],2,FALSE),"")</f>
        <v/>
      </c>
    </row>
    <row r="2552" spans="8:8" x14ac:dyDescent="0.2">
      <c r="H2552" s="11" t="str">
        <f>IFERROR(VLOOKUP(tbl_product_scores[[#This Row],[product_key]],tbl_products[[product_key]:[group_display_key]],2,FALSE),"")</f>
        <v/>
      </c>
    </row>
    <row r="2553" spans="8:8" x14ac:dyDescent="0.2">
      <c r="H2553" s="11" t="str">
        <f>IFERROR(VLOOKUP(tbl_product_scores[[#This Row],[product_key]],tbl_products[[product_key]:[group_display_key]],2,FALSE),"")</f>
        <v/>
      </c>
    </row>
    <row r="2554" spans="8:8" x14ac:dyDescent="0.2">
      <c r="H2554" s="11" t="str">
        <f>IFERROR(VLOOKUP(tbl_product_scores[[#This Row],[product_key]],tbl_products[[product_key]:[group_display_key]],2,FALSE),"")</f>
        <v/>
      </c>
    </row>
    <row r="2555" spans="8:8" x14ac:dyDescent="0.2">
      <c r="H2555" s="11" t="str">
        <f>IFERROR(VLOOKUP(tbl_product_scores[[#This Row],[product_key]],tbl_products[[product_key]:[group_display_key]],2,FALSE),"")</f>
        <v/>
      </c>
    </row>
    <row r="2556" spans="8:8" x14ac:dyDescent="0.2">
      <c r="H2556" s="11" t="str">
        <f>IFERROR(VLOOKUP(tbl_product_scores[[#This Row],[product_key]],tbl_products[[product_key]:[group_display_key]],2,FALSE),"")</f>
        <v/>
      </c>
    </row>
    <row r="2557" spans="8:8" x14ac:dyDescent="0.2">
      <c r="H2557" s="11" t="str">
        <f>IFERROR(VLOOKUP(tbl_product_scores[[#This Row],[product_key]],tbl_products[[product_key]:[group_display_key]],2,FALSE),"")</f>
        <v/>
      </c>
    </row>
    <row r="2558" spans="8:8" x14ac:dyDescent="0.2">
      <c r="H2558" s="11" t="str">
        <f>IFERROR(VLOOKUP(tbl_product_scores[[#This Row],[product_key]],tbl_products[[product_key]:[group_display_key]],2,FALSE),"")</f>
        <v/>
      </c>
    </row>
    <row r="2559" spans="8:8" x14ac:dyDescent="0.2">
      <c r="H2559" s="11" t="str">
        <f>IFERROR(VLOOKUP(tbl_product_scores[[#This Row],[product_key]],tbl_products[[product_key]:[group_display_key]],2,FALSE),"")</f>
        <v/>
      </c>
    </row>
    <row r="2560" spans="8:8" x14ac:dyDescent="0.2">
      <c r="H2560" s="11" t="str">
        <f>IFERROR(VLOOKUP(tbl_product_scores[[#This Row],[product_key]],tbl_products[[product_key]:[group_display_key]],2,FALSE),"")</f>
        <v/>
      </c>
    </row>
    <row r="2561" spans="8:8" x14ac:dyDescent="0.2">
      <c r="H2561" s="11" t="str">
        <f>IFERROR(VLOOKUP(tbl_product_scores[[#This Row],[product_key]],tbl_products[[product_key]:[group_display_key]],2,FALSE),"")</f>
        <v/>
      </c>
    </row>
    <row r="2562" spans="8:8" x14ac:dyDescent="0.2">
      <c r="H2562" s="11" t="str">
        <f>IFERROR(VLOOKUP(tbl_product_scores[[#This Row],[product_key]],tbl_products[[product_key]:[group_display_key]],2,FALSE),"")</f>
        <v/>
      </c>
    </row>
    <row r="2563" spans="8:8" x14ac:dyDescent="0.2">
      <c r="H2563" s="11" t="str">
        <f>IFERROR(VLOOKUP(tbl_product_scores[[#This Row],[product_key]],tbl_products[[product_key]:[group_display_key]],2,FALSE),"")</f>
        <v/>
      </c>
    </row>
    <row r="2564" spans="8:8" x14ac:dyDescent="0.2">
      <c r="H2564" s="11" t="str">
        <f>IFERROR(VLOOKUP(tbl_product_scores[[#This Row],[product_key]],tbl_products[[product_key]:[group_display_key]],2,FALSE),"")</f>
        <v/>
      </c>
    </row>
    <row r="2565" spans="8:8" x14ac:dyDescent="0.2">
      <c r="H2565" s="11" t="str">
        <f>IFERROR(VLOOKUP(tbl_product_scores[[#This Row],[product_key]],tbl_products[[product_key]:[group_display_key]],2,FALSE),"")</f>
        <v/>
      </c>
    </row>
    <row r="2566" spans="8:8" x14ac:dyDescent="0.2">
      <c r="H2566" s="11" t="str">
        <f>IFERROR(VLOOKUP(tbl_product_scores[[#This Row],[product_key]],tbl_products[[product_key]:[group_display_key]],2,FALSE),"")</f>
        <v/>
      </c>
    </row>
    <row r="2567" spans="8:8" x14ac:dyDescent="0.2">
      <c r="H2567" s="11" t="str">
        <f>IFERROR(VLOOKUP(tbl_product_scores[[#This Row],[product_key]],tbl_products[[product_key]:[group_display_key]],2,FALSE),"")</f>
        <v/>
      </c>
    </row>
    <row r="2568" spans="8:8" x14ac:dyDescent="0.2">
      <c r="H2568" s="11" t="str">
        <f>IFERROR(VLOOKUP(tbl_product_scores[[#This Row],[product_key]],tbl_products[[product_key]:[group_display_key]],2,FALSE),"")</f>
        <v/>
      </c>
    </row>
    <row r="2569" spans="8:8" x14ac:dyDescent="0.2">
      <c r="H2569" s="11" t="str">
        <f>IFERROR(VLOOKUP(tbl_product_scores[[#This Row],[product_key]],tbl_products[[product_key]:[group_display_key]],2,FALSE),"")</f>
        <v/>
      </c>
    </row>
    <row r="2570" spans="8:8" x14ac:dyDescent="0.2">
      <c r="H2570" s="11" t="str">
        <f>IFERROR(VLOOKUP(tbl_product_scores[[#This Row],[product_key]],tbl_products[[product_key]:[group_display_key]],2,FALSE),"")</f>
        <v/>
      </c>
    </row>
    <row r="2571" spans="8:8" x14ac:dyDescent="0.2">
      <c r="H2571" s="11" t="str">
        <f>IFERROR(VLOOKUP(tbl_product_scores[[#This Row],[product_key]],tbl_products[[product_key]:[group_display_key]],2,FALSE),"")</f>
        <v/>
      </c>
    </row>
    <row r="2572" spans="8:8" x14ac:dyDescent="0.2">
      <c r="H2572" s="11" t="str">
        <f>IFERROR(VLOOKUP(tbl_product_scores[[#This Row],[product_key]],tbl_products[[product_key]:[group_display_key]],2,FALSE),"")</f>
        <v/>
      </c>
    </row>
    <row r="2573" spans="8:8" x14ac:dyDescent="0.2">
      <c r="H2573" s="11" t="str">
        <f>IFERROR(VLOOKUP(tbl_product_scores[[#This Row],[product_key]],tbl_products[[product_key]:[group_display_key]],2,FALSE),"")</f>
        <v/>
      </c>
    </row>
    <row r="2574" spans="8:8" x14ac:dyDescent="0.2">
      <c r="H2574" s="11" t="str">
        <f>IFERROR(VLOOKUP(tbl_product_scores[[#This Row],[product_key]],tbl_products[[product_key]:[group_display_key]],2,FALSE),"")</f>
        <v/>
      </c>
    </row>
    <row r="2575" spans="8:8" x14ac:dyDescent="0.2">
      <c r="H2575" s="11" t="str">
        <f>IFERROR(VLOOKUP(tbl_product_scores[[#This Row],[product_key]],tbl_products[[product_key]:[group_display_key]],2,FALSE),"")</f>
        <v/>
      </c>
    </row>
    <row r="2576" spans="8:8" x14ac:dyDescent="0.2">
      <c r="H2576" s="11" t="str">
        <f>IFERROR(VLOOKUP(tbl_product_scores[[#This Row],[product_key]],tbl_products[[product_key]:[group_display_key]],2,FALSE),"")</f>
        <v/>
      </c>
    </row>
    <row r="2577" spans="8:8" x14ac:dyDescent="0.2">
      <c r="H2577" s="11" t="str">
        <f>IFERROR(VLOOKUP(tbl_product_scores[[#This Row],[product_key]],tbl_products[[product_key]:[group_display_key]],2,FALSE),"")</f>
        <v/>
      </c>
    </row>
    <row r="2578" spans="8:8" x14ac:dyDescent="0.2">
      <c r="H2578" s="11" t="str">
        <f>IFERROR(VLOOKUP(tbl_product_scores[[#This Row],[product_key]],tbl_products[[product_key]:[group_display_key]],2,FALSE),"")</f>
        <v/>
      </c>
    </row>
    <row r="2579" spans="8:8" x14ac:dyDescent="0.2">
      <c r="H2579" s="11" t="str">
        <f>IFERROR(VLOOKUP(tbl_product_scores[[#This Row],[product_key]],tbl_products[[product_key]:[group_display_key]],2,FALSE),"")</f>
        <v/>
      </c>
    </row>
    <row r="2580" spans="8:8" x14ac:dyDescent="0.2">
      <c r="H2580" s="11" t="str">
        <f>IFERROR(VLOOKUP(tbl_product_scores[[#This Row],[product_key]],tbl_products[[product_key]:[group_display_key]],2,FALSE),"")</f>
        <v/>
      </c>
    </row>
    <row r="2581" spans="8:8" x14ac:dyDescent="0.2">
      <c r="H2581" s="11" t="str">
        <f>IFERROR(VLOOKUP(tbl_product_scores[[#This Row],[product_key]],tbl_products[[product_key]:[group_display_key]],2,FALSE),"")</f>
        <v/>
      </c>
    </row>
    <row r="2582" spans="8:8" x14ac:dyDescent="0.2">
      <c r="H2582" s="11" t="str">
        <f>IFERROR(VLOOKUP(tbl_product_scores[[#This Row],[product_key]],tbl_products[[product_key]:[group_display_key]],2,FALSE),"")</f>
        <v/>
      </c>
    </row>
    <row r="2583" spans="8:8" x14ac:dyDescent="0.2">
      <c r="H2583" s="11" t="str">
        <f>IFERROR(VLOOKUP(tbl_product_scores[[#This Row],[product_key]],tbl_products[[product_key]:[group_display_key]],2,FALSE),"")</f>
        <v/>
      </c>
    </row>
    <row r="2584" spans="8:8" x14ac:dyDescent="0.2">
      <c r="H2584" s="11" t="str">
        <f>IFERROR(VLOOKUP(tbl_product_scores[[#This Row],[product_key]],tbl_products[[product_key]:[group_display_key]],2,FALSE),"")</f>
        <v/>
      </c>
    </row>
    <row r="2585" spans="8:8" x14ac:dyDescent="0.2">
      <c r="H2585" s="11" t="str">
        <f>IFERROR(VLOOKUP(tbl_product_scores[[#This Row],[product_key]],tbl_products[[product_key]:[group_display_key]],2,FALSE),"")</f>
        <v/>
      </c>
    </row>
    <row r="2586" spans="8:8" x14ac:dyDescent="0.2">
      <c r="H2586" s="11" t="str">
        <f>IFERROR(VLOOKUP(tbl_product_scores[[#This Row],[product_key]],tbl_products[[product_key]:[group_display_key]],2,FALSE),"")</f>
        <v/>
      </c>
    </row>
    <row r="2587" spans="8:8" x14ac:dyDescent="0.2">
      <c r="H2587" s="11" t="str">
        <f>IFERROR(VLOOKUP(tbl_product_scores[[#This Row],[product_key]],tbl_products[[product_key]:[group_display_key]],2,FALSE),"")</f>
        <v/>
      </c>
    </row>
    <row r="2588" spans="8:8" x14ac:dyDescent="0.2">
      <c r="H2588" s="11" t="str">
        <f>IFERROR(VLOOKUP(tbl_product_scores[[#This Row],[product_key]],tbl_products[[product_key]:[group_display_key]],2,FALSE),"")</f>
        <v/>
      </c>
    </row>
    <row r="2589" spans="8:8" x14ac:dyDescent="0.2">
      <c r="H2589" s="11" t="str">
        <f>IFERROR(VLOOKUP(tbl_product_scores[[#This Row],[product_key]],tbl_products[[product_key]:[group_display_key]],2,FALSE),"")</f>
        <v/>
      </c>
    </row>
    <row r="2590" spans="8:8" x14ac:dyDescent="0.2">
      <c r="H2590" s="11" t="str">
        <f>IFERROR(VLOOKUP(tbl_product_scores[[#This Row],[product_key]],tbl_products[[product_key]:[group_display_key]],2,FALSE),"")</f>
        <v/>
      </c>
    </row>
    <row r="2591" spans="8:8" x14ac:dyDescent="0.2">
      <c r="H2591" s="11" t="str">
        <f>IFERROR(VLOOKUP(tbl_product_scores[[#This Row],[product_key]],tbl_products[[product_key]:[group_display_key]],2,FALSE),"")</f>
        <v/>
      </c>
    </row>
    <row r="2592" spans="8:8" x14ac:dyDescent="0.2">
      <c r="H2592" s="11" t="str">
        <f>IFERROR(VLOOKUP(tbl_product_scores[[#This Row],[product_key]],tbl_products[[product_key]:[group_display_key]],2,FALSE),"")</f>
        <v/>
      </c>
    </row>
    <row r="2593" spans="8:8" x14ac:dyDescent="0.2">
      <c r="H2593" s="11" t="str">
        <f>IFERROR(VLOOKUP(tbl_product_scores[[#This Row],[product_key]],tbl_products[[product_key]:[group_display_key]],2,FALSE),"")</f>
        <v/>
      </c>
    </row>
    <row r="2594" spans="8:8" x14ac:dyDescent="0.2">
      <c r="H2594" s="11" t="str">
        <f>IFERROR(VLOOKUP(tbl_product_scores[[#This Row],[product_key]],tbl_products[[product_key]:[group_display_key]],2,FALSE),"")</f>
        <v/>
      </c>
    </row>
    <row r="2595" spans="8:8" x14ac:dyDescent="0.2">
      <c r="H2595" s="11" t="str">
        <f>IFERROR(VLOOKUP(tbl_product_scores[[#This Row],[product_key]],tbl_products[[product_key]:[group_display_key]],2,FALSE),"")</f>
        <v/>
      </c>
    </row>
    <row r="2596" spans="8:8" x14ac:dyDescent="0.2">
      <c r="H2596" s="11" t="str">
        <f>IFERROR(VLOOKUP(tbl_product_scores[[#This Row],[product_key]],tbl_products[[product_key]:[group_display_key]],2,FALSE),"")</f>
        <v/>
      </c>
    </row>
    <row r="2597" spans="8:8" x14ac:dyDescent="0.2">
      <c r="H2597" s="11" t="str">
        <f>IFERROR(VLOOKUP(tbl_product_scores[[#This Row],[product_key]],tbl_products[[product_key]:[group_display_key]],2,FALSE),"")</f>
        <v/>
      </c>
    </row>
    <row r="2598" spans="8:8" x14ac:dyDescent="0.2">
      <c r="H2598" s="11" t="str">
        <f>IFERROR(VLOOKUP(tbl_product_scores[[#This Row],[product_key]],tbl_products[[product_key]:[group_display_key]],2,FALSE),"")</f>
        <v/>
      </c>
    </row>
    <row r="2599" spans="8:8" x14ac:dyDescent="0.2">
      <c r="H2599" s="11" t="str">
        <f>IFERROR(VLOOKUP(tbl_product_scores[[#This Row],[product_key]],tbl_products[[product_key]:[group_display_key]],2,FALSE),"")</f>
        <v/>
      </c>
    </row>
    <row r="2600" spans="8:8" x14ac:dyDescent="0.2">
      <c r="H2600" s="11" t="str">
        <f>IFERROR(VLOOKUP(tbl_product_scores[[#This Row],[product_key]],tbl_products[[product_key]:[group_display_key]],2,FALSE),"")</f>
        <v/>
      </c>
    </row>
    <row r="2601" spans="8:8" x14ac:dyDescent="0.2">
      <c r="H2601" s="11" t="str">
        <f>IFERROR(VLOOKUP(tbl_product_scores[[#This Row],[product_key]],tbl_products[[product_key]:[group_display_key]],2,FALSE),"")</f>
        <v/>
      </c>
    </row>
    <row r="2602" spans="8:8" x14ac:dyDescent="0.2">
      <c r="H2602" s="11" t="str">
        <f>IFERROR(VLOOKUP(tbl_product_scores[[#This Row],[product_key]],tbl_products[[product_key]:[group_display_key]],2,FALSE),"")</f>
        <v/>
      </c>
    </row>
    <row r="2603" spans="8:8" x14ac:dyDescent="0.2">
      <c r="H2603" s="11" t="str">
        <f>IFERROR(VLOOKUP(tbl_product_scores[[#This Row],[product_key]],tbl_products[[product_key]:[group_display_key]],2,FALSE),"")</f>
        <v/>
      </c>
    </row>
    <row r="2604" spans="8:8" x14ac:dyDescent="0.2">
      <c r="H2604" s="11" t="str">
        <f>IFERROR(VLOOKUP(tbl_product_scores[[#This Row],[product_key]],tbl_products[[product_key]:[group_display_key]],2,FALSE),"")</f>
        <v/>
      </c>
    </row>
    <row r="2605" spans="8:8" x14ac:dyDescent="0.2">
      <c r="H2605" s="11" t="str">
        <f>IFERROR(VLOOKUP(tbl_product_scores[[#This Row],[product_key]],tbl_products[[product_key]:[group_display_key]],2,FALSE),"")</f>
        <v/>
      </c>
    </row>
    <row r="2606" spans="8:8" x14ac:dyDescent="0.2">
      <c r="H2606" s="11" t="str">
        <f>IFERROR(VLOOKUP(tbl_product_scores[[#This Row],[product_key]],tbl_products[[product_key]:[group_display_key]],2,FALSE),"")</f>
        <v/>
      </c>
    </row>
    <row r="2607" spans="8:8" x14ac:dyDescent="0.2">
      <c r="H2607" s="11" t="str">
        <f>IFERROR(VLOOKUP(tbl_product_scores[[#This Row],[product_key]],tbl_products[[product_key]:[group_display_key]],2,FALSE),"")</f>
        <v/>
      </c>
    </row>
    <row r="2608" spans="8:8" x14ac:dyDescent="0.2">
      <c r="H2608" s="11" t="str">
        <f>IFERROR(VLOOKUP(tbl_product_scores[[#This Row],[product_key]],tbl_products[[product_key]:[group_display_key]],2,FALSE),"")</f>
        <v/>
      </c>
    </row>
    <row r="2609" spans="8:8" x14ac:dyDescent="0.2">
      <c r="H2609" s="11" t="str">
        <f>IFERROR(VLOOKUP(tbl_product_scores[[#This Row],[product_key]],tbl_products[[product_key]:[group_display_key]],2,FALSE),"")</f>
        <v/>
      </c>
    </row>
    <row r="2610" spans="8:8" x14ac:dyDescent="0.2">
      <c r="H2610" s="11" t="str">
        <f>IFERROR(VLOOKUP(tbl_product_scores[[#This Row],[product_key]],tbl_products[[product_key]:[group_display_key]],2,FALSE),"")</f>
        <v/>
      </c>
    </row>
    <row r="2611" spans="8:8" x14ac:dyDescent="0.2">
      <c r="H2611" s="11" t="str">
        <f>IFERROR(VLOOKUP(tbl_product_scores[[#This Row],[product_key]],tbl_products[[product_key]:[group_display_key]],2,FALSE),"")</f>
        <v/>
      </c>
    </row>
    <row r="2612" spans="8:8" x14ac:dyDescent="0.2">
      <c r="H2612" s="11" t="str">
        <f>IFERROR(VLOOKUP(tbl_product_scores[[#This Row],[product_key]],tbl_products[[product_key]:[group_display_key]],2,FALSE),"")</f>
        <v/>
      </c>
    </row>
    <row r="2613" spans="8:8" x14ac:dyDescent="0.2">
      <c r="H2613" s="11" t="str">
        <f>IFERROR(VLOOKUP(tbl_product_scores[[#This Row],[product_key]],tbl_products[[product_key]:[group_display_key]],2,FALSE),"")</f>
        <v/>
      </c>
    </row>
    <row r="2614" spans="8:8" x14ac:dyDescent="0.2">
      <c r="H2614" s="11" t="str">
        <f>IFERROR(VLOOKUP(tbl_product_scores[[#This Row],[product_key]],tbl_products[[product_key]:[group_display_key]],2,FALSE),"")</f>
        <v/>
      </c>
    </row>
    <row r="2615" spans="8:8" x14ac:dyDescent="0.2">
      <c r="H2615" s="11" t="str">
        <f>IFERROR(VLOOKUP(tbl_product_scores[[#This Row],[product_key]],tbl_products[[product_key]:[group_display_key]],2,FALSE),"")</f>
        <v/>
      </c>
    </row>
    <row r="2616" spans="8:8" x14ac:dyDescent="0.2">
      <c r="H2616" s="11" t="str">
        <f>IFERROR(VLOOKUP(tbl_product_scores[[#This Row],[product_key]],tbl_products[[product_key]:[group_display_key]],2,FALSE),"")</f>
        <v/>
      </c>
    </row>
    <row r="2617" spans="8:8" x14ac:dyDescent="0.2">
      <c r="H2617" s="11" t="str">
        <f>IFERROR(VLOOKUP(tbl_product_scores[[#This Row],[product_key]],tbl_products[[product_key]:[group_display_key]],2,FALSE),"")</f>
        <v/>
      </c>
    </row>
    <row r="2618" spans="8:8" x14ac:dyDescent="0.2">
      <c r="H2618" s="11" t="str">
        <f>IFERROR(VLOOKUP(tbl_product_scores[[#This Row],[product_key]],tbl_products[[product_key]:[group_display_key]],2,FALSE),"")</f>
        <v/>
      </c>
    </row>
    <row r="2619" spans="8:8" x14ac:dyDescent="0.2">
      <c r="H2619" s="11" t="str">
        <f>IFERROR(VLOOKUP(tbl_product_scores[[#This Row],[product_key]],tbl_products[[product_key]:[group_display_key]],2,FALSE),"")</f>
        <v/>
      </c>
    </row>
    <row r="2620" spans="8:8" x14ac:dyDescent="0.2">
      <c r="H2620" s="11" t="str">
        <f>IFERROR(VLOOKUP(tbl_product_scores[[#This Row],[product_key]],tbl_products[[product_key]:[group_display_key]],2,FALSE),"")</f>
        <v/>
      </c>
    </row>
    <row r="2621" spans="8:8" x14ac:dyDescent="0.2">
      <c r="H2621" s="11" t="str">
        <f>IFERROR(VLOOKUP(tbl_product_scores[[#This Row],[product_key]],tbl_products[[product_key]:[group_display_key]],2,FALSE),"")</f>
        <v/>
      </c>
    </row>
    <row r="2622" spans="8:8" x14ac:dyDescent="0.2">
      <c r="H2622" s="11" t="str">
        <f>IFERROR(VLOOKUP(tbl_product_scores[[#This Row],[product_key]],tbl_products[[product_key]:[group_display_key]],2,FALSE),"")</f>
        <v/>
      </c>
    </row>
    <row r="2623" spans="8:8" x14ac:dyDescent="0.2">
      <c r="H2623" s="11" t="str">
        <f>IFERROR(VLOOKUP(tbl_product_scores[[#This Row],[product_key]],tbl_products[[product_key]:[group_display_key]],2,FALSE),"")</f>
        <v/>
      </c>
    </row>
    <row r="2624" spans="8:8" x14ac:dyDescent="0.2">
      <c r="H2624" s="11" t="str">
        <f>IFERROR(VLOOKUP(tbl_product_scores[[#This Row],[product_key]],tbl_products[[product_key]:[group_display_key]],2,FALSE),"")</f>
        <v/>
      </c>
    </row>
    <row r="2625" spans="8:8" x14ac:dyDescent="0.2">
      <c r="H2625" s="11" t="str">
        <f>IFERROR(VLOOKUP(tbl_product_scores[[#This Row],[product_key]],tbl_products[[product_key]:[group_display_key]],2,FALSE),"")</f>
        <v/>
      </c>
    </row>
    <row r="2626" spans="8:8" x14ac:dyDescent="0.2">
      <c r="H2626" s="11" t="str">
        <f>IFERROR(VLOOKUP(tbl_product_scores[[#This Row],[product_key]],tbl_products[[product_key]:[group_display_key]],2,FALSE),"")</f>
        <v/>
      </c>
    </row>
    <row r="2627" spans="8:8" x14ac:dyDescent="0.2">
      <c r="H2627" s="11" t="str">
        <f>IFERROR(VLOOKUP(tbl_product_scores[[#This Row],[product_key]],tbl_products[[product_key]:[group_display_key]],2,FALSE),"")</f>
        <v/>
      </c>
    </row>
    <row r="2628" spans="8:8" x14ac:dyDescent="0.2">
      <c r="H2628" s="11" t="str">
        <f>IFERROR(VLOOKUP(tbl_product_scores[[#This Row],[product_key]],tbl_products[[product_key]:[group_display_key]],2,FALSE),"")</f>
        <v/>
      </c>
    </row>
    <row r="2629" spans="8:8" x14ac:dyDescent="0.2">
      <c r="H2629" s="11" t="str">
        <f>IFERROR(VLOOKUP(tbl_product_scores[[#This Row],[product_key]],tbl_products[[product_key]:[group_display_key]],2,FALSE),"")</f>
        <v/>
      </c>
    </row>
    <row r="2630" spans="8:8" x14ac:dyDescent="0.2">
      <c r="H2630" s="11" t="str">
        <f>IFERROR(VLOOKUP(tbl_product_scores[[#This Row],[product_key]],tbl_products[[product_key]:[group_display_key]],2,FALSE),"")</f>
        <v/>
      </c>
    </row>
    <row r="2631" spans="8:8" x14ac:dyDescent="0.2">
      <c r="H2631" s="11" t="str">
        <f>IFERROR(VLOOKUP(tbl_product_scores[[#This Row],[product_key]],tbl_products[[product_key]:[group_display_key]],2,FALSE),"")</f>
        <v/>
      </c>
    </row>
    <row r="2632" spans="8:8" x14ac:dyDescent="0.2">
      <c r="H2632" s="11" t="str">
        <f>IFERROR(VLOOKUP(tbl_product_scores[[#This Row],[product_key]],tbl_products[[product_key]:[group_display_key]],2,FALSE),"")</f>
        <v/>
      </c>
    </row>
    <row r="2633" spans="8:8" x14ac:dyDescent="0.2">
      <c r="H2633" s="11" t="str">
        <f>IFERROR(VLOOKUP(tbl_product_scores[[#This Row],[product_key]],tbl_products[[product_key]:[group_display_key]],2,FALSE),"")</f>
        <v/>
      </c>
    </row>
    <row r="2634" spans="8:8" x14ac:dyDescent="0.2">
      <c r="H2634" s="11" t="str">
        <f>IFERROR(VLOOKUP(tbl_product_scores[[#This Row],[product_key]],tbl_products[[product_key]:[group_display_key]],2,FALSE),"")</f>
        <v/>
      </c>
    </row>
    <row r="2635" spans="8:8" x14ac:dyDescent="0.2">
      <c r="H2635" s="11" t="str">
        <f>IFERROR(VLOOKUP(tbl_product_scores[[#This Row],[product_key]],tbl_products[[product_key]:[group_display_key]],2,FALSE),"")</f>
        <v/>
      </c>
    </row>
    <row r="2636" spans="8:8" x14ac:dyDescent="0.2">
      <c r="H2636" s="11" t="str">
        <f>IFERROR(VLOOKUP(tbl_product_scores[[#This Row],[product_key]],tbl_products[[product_key]:[group_display_key]],2,FALSE),"")</f>
        <v/>
      </c>
    </row>
    <row r="2637" spans="8:8" x14ac:dyDescent="0.2">
      <c r="H2637" s="11" t="str">
        <f>IFERROR(VLOOKUP(tbl_product_scores[[#This Row],[product_key]],tbl_products[[product_key]:[group_display_key]],2,FALSE),"")</f>
        <v/>
      </c>
    </row>
    <row r="2638" spans="8:8" x14ac:dyDescent="0.2">
      <c r="H2638" s="11" t="str">
        <f>IFERROR(VLOOKUP(tbl_product_scores[[#This Row],[product_key]],tbl_products[[product_key]:[group_display_key]],2,FALSE),"")</f>
        <v/>
      </c>
    </row>
    <row r="2639" spans="8:8" x14ac:dyDescent="0.2">
      <c r="H2639" s="11" t="str">
        <f>IFERROR(VLOOKUP(tbl_product_scores[[#This Row],[product_key]],tbl_products[[product_key]:[group_display_key]],2,FALSE),"")</f>
        <v/>
      </c>
    </row>
    <row r="2640" spans="8:8" x14ac:dyDescent="0.2">
      <c r="H2640" s="11" t="str">
        <f>IFERROR(VLOOKUP(tbl_product_scores[[#This Row],[product_key]],tbl_products[[product_key]:[group_display_key]],2,FALSE),"")</f>
        <v/>
      </c>
    </row>
    <row r="2641" spans="8:8" x14ac:dyDescent="0.2">
      <c r="H2641" s="11" t="str">
        <f>IFERROR(VLOOKUP(tbl_product_scores[[#This Row],[product_key]],tbl_products[[product_key]:[group_display_key]],2,FALSE),"")</f>
        <v/>
      </c>
    </row>
    <row r="2642" spans="8:8" x14ac:dyDescent="0.2">
      <c r="H2642" s="11" t="str">
        <f>IFERROR(VLOOKUP(tbl_product_scores[[#This Row],[product_key]],tbl_products[[product_key]:[group_display_key]],2,FALSE),"")</f>
        <v/>
      </c>
    </row>
    <row r="2643" spans="8:8" x14ac:dyDescent="0.2">
      <c r="H2643" s="11" t="str">
        <f>IFERROR(VLOOKUP(tbl_product_scores[[#This Row],[product_key]],tbl_products[[product_key]:[group_display_key]],2,FALSE),"")</f>
        <v/>
      </c>
    </row>
    <row r="2644" spans="8:8" x14ac:dyDescent="0.2">
      <c r="H2644" s="11" t="str">
        <f>IFERROR(VLOOKUP(tbl_product_scores[[#This Row],[product_key]],tbl_products[[product_key]:[group_display_key]],2,FALSE),"")</f>
        <v/>
      </c>
    </row>
    <row r="2645" spans="8:8" x14ac:dyDescent="0.2">
      <c r="H2645" s="11" t="str">
        <f>IFERROR(VLOOKUP(tbl_product_scores[[#This Row],[product_key]],tbl_products[[product_key]:[group_display_key]],2,FALSE),"")</f>
        <v/>
      </c>
    </row>
    <row r="2646" spans="8:8" x14ac:dyDescent="0.2">
      <c r="H2646" s="11" t="str">
        <f>IFERROR(VLOOKUP(tbl_product_scores[[#This Row],[product_key]],tbl_products[[product_key]:[group_display_key]],2,FALSE),"")</f>
        <v/>
      </c>
    </row>
    <row r="2647" spans="8:8" x14ac:dyDescent="0.2">
      <c r="H2647" s="11" t="str">
        <f>IFERROR(VLOOKUP(tbl_product_scores[[#This Row],[product_key]],tbl_products[[product_key]:[group_display_key]],2,FALSE),"")</f>
        <v/>
      </c>
    </row>
    <row r="2648" spans="8:8" x14ac:dyDescent="0.2">
      <c r="H2648" s="11" t="str">
        <f>IFERROR(VLOOKUP(tbl_product_scores[[#This Row],[product_key]],tbl_products[[product_key]:[group_display_key]],2,FALSE),"")</f>
        <v/>
      </c>
    </row>
    <row r="2649" spans="8:8" x14ac:dyDescent="0.2">
      <c r="H2649" s="11" t="str">
        <f>IFERROR(VLOOKUP(tbl_product_scores[[#This Row],[product_key]],tbl_products[[product_key]:[group_display_key]],2,FALSE),"")</f>
        <v/>
      </c>
    </row>
    <row r="2650" spans="8:8" x14ac:dyDescent="0.2">
      <c r="H2650" s="11" t="str">
        <f>IFERROR(VLOOKUP(tbl_product_scores[[#This Row],[product_key]],tbl_products[[product_key]:[group_display_key]],2,FALSE),"")</f>
        <v/>
      </c>
    </row>
    <row r="2651" spans="8:8" x14ac:dyDescent="0.2">
      <c r="H2651" s="11" t="str">
        <f>IFERROR(VLOOKUP(tbl_product_scores[[#This Row],[product_key]],tbl_products[[product_key]:[group_display_key]],2,FALSE),"")</f>
        <v/>
      </c>
    </row>
    <row r="2652" spans="8:8" x14ac:dyDescent="0.2">
      <c r="H2652" s="11" t="str">
        <f>IFERROR(VLOOKUP(tbl_product_scores[[#This Row],[product_key]],tbl_products[[product_key]:[group_display_key]],2,FALSE),"")</f>
        <v/>
      </c>
    </row>
    <row r="2653" spans="8:8" x14ac:dyDescent="0.2">
      <c r="H2653" s="11" t="str">
        <f>IFERROR(VLOOKUP(tbl_product_scores[[#This Row],[product_key]],tbl_products[[product_key]:[group_display_key]],2,FALSE),"")</f>
        <v/>
      </c>
    </row>
    <row r="2654" spans="8:8" x14ac:dyDescent="0.2">
      <c r="H2654" s="11" t="str">
        <f>IFERROR(VLOOKUP(tbl_product_scores[[#This Row],[product_key]],tbl_products[[product_key]:[group_display_key]],2,FALSE),"")</f>
        <v/>
      </c>
    </row>
    <row r="2655" spans="8:8" x14ac:dyDescent="0.2">
      <c r="H2655" s="11" t="str">
        <f>IFERROR(VLOOKUP(tbl_product_scores[[#This Row],[product_key]],tbl_products[[product_key]:[group_display_key]],2,FALSE),"")</f>
        <v/>
      </c>
    </row>
    <row r="2656" spans="8:8" x14ac:dyDescent="0.2">
      <c r="H2656" s="11" t="str">
        <f>IFERROR(VLOOKUP(tbl_product_scores[[#This Row],[product_key]],tbl_products[[product_key]:[group_display_key]],2,FALSE),"")</f>
        <v/>
      </c>
    </row>
    <row r="2657" spans="8:8" x14ac:dyDescent="0.2">
      <c r="H2657" s="11" t="str">
        <f>IFERROR(VLOOKUP(tbl_product_scores[[#This Row],[product_key]],tbl_products[[product_key]:[group_display_key]],2,FALSE),"")</f>
        <v/>
      </c>
    </row>
    <row r="2658" spans="8:8" x14ac:dyDescent="0.2">
      <c r="H2658" s="11" t="str">
        <f>IFERROR(VLOOKUP(tbl_product_scores[[#This Row],[product_key]],tbl_products[[product_key]:[group_display_key]],2,FALSE),"")</f>
        <v/>
      </c>
    </row>
    <row r="2659" spans="8:8" x14ac:dyDescent="0.2">
      <c r="H2659" s="11" t="str">
        <f>IFERROR(VLOOKUP(tbl_product_scores[[#This Row],[product_key]],tbl_products[[product_key]:[group_display_key]],2,FALSE),"")</f>
        <v/>
      </c>
    </row>
    <row r="2660" spans="8:8" x14ac:dyDescent="0.2">
      <c r="H2660" s="11" t="str">
        <f>IFERROR(VLOOKUP(tbl_product_scores[[#This Row],[product_key]],tbl_products[[product_key]:[group_display_key]],2,FALSE),"")</f>
        <v/>
      </c>
    </row>
    <row r="2661" spans="8:8" x14ac:dyDescent="0.2">
      <c r="H2661" s="11" t="str">
        <f>IFERROR(VLOOKUP(tbl_product_scores[[#This Row],[product_key]],tbl_products[[product_key]:[group_display_key]],2,FALSE),"")</f>
        <v/>
      </c>
    </row>
    <row r="2662" spans="8:8" x14ac:dyDescent="0.2">
      <c r="H2662" s="11" t="str">
        <f>IFERROR(VLOOKUP(tbl_product_scores[[#This Row],[product_key]],tbl_products[[product_key]:[group_display_key]],2,FALSE),"")</f>
        <v/>
      </c>
    </row>
    <row r="2663" spans="8:8" x14ac:dyDescent="0.2">
      <c r="H2663" s="11" t="str">
        <f>IFERROR(VLOOKUP(tbl_product_scores[[#This Row],[product_key]],tbl_products[[product_key]:[group_display_key]],2,FALSE),"")</f>
        <v/>
      </c>
    </row>
    <row r="2664" spans="8:8" x14ac:dyDescent="0.2">
      <c r="H2664" s="11" t="str">
        <f>IFERROR(VLOOKUP(tbl_product_scores[[#This Row],[product_key]],tbl_products[[product_key]:[group_display_key]],2,FALSE),"")</f>
        <v/>
      </c>
    </row>
    <row r="2665" spans="8:8" x14ac:dyDescent="0.2">
      <c r="H2665" s="11" t="str">
        <f>IFERROR(VLOOKUP(tbl_product_scores[[#This Row],[product_key]],tbl_products[[product_key]:[group_display_key]],2,FALSE),"")</f>
        <v/>
      </c>
    </row>
    <row r="2666" spans="8:8" x14ac:dyDescent="0.2">
      <c r="H2666" s="11" t="str">
        <f>IFERROR(VLOOKUP(tbl_product_scores[[#This Row],[product_key]],tbl_products[[product_key]:[group_display_key]],2,FALSE),"")</f>
        <v/>
      </c>
    </row>
    <row r="2667" spans="8:8" x14ac:dyDescent="0.2">
      <c r="H2667" s="11" t="str">
        <f>IFERROR(VLOOKUP(tbl_product_scores[[#This Row],[product_key]],tbl_products[[product_key]:[group_display_key]],2,FALSE),"")</f>
        <v/>
      </c>
    </row>
    <row r="2668" spans="8:8" x14ac:dyDescent="0.2">
      <c r="H2668" s="11" t="str">
        <f>IFERROR(VLOOKUP(tbl_product_scores[[#This Row],[product_key]],tbl_products[[product_key]:[group_display_key]],2,FALSE),"")</f>
        <v/>
      </c>
    </row>
    <row r="2669" spans="8:8" x14ac:dyDescent="0.2">
      <c r="H2669" s="11" t="str">
        <f>IFERROR(VLOOKUP(tbl_product_scores[[#This Row],[product_key]],tbl_products[[product_key]:[group_display_key]],2,FALSE),"")</f>
        <v/>
      </c>
    </row>
    <row r="2670" spans="8:8" x14ac:dyDescent="0.2">
      <c r="H2670" s="11" t="str">
        <f>IFERROR(VLOOKUP(tbl_product_scores[[#This Row],[product_key]],tbl_products[[product_key]:[group_display_key]],2,FALSE),"")</f>
        <v/>
      </c>
    </row>
    <row r="2671" spans="8:8" x14ac:dyDescent="0.2">
      <c r="H2671" s="11" t="str">
        <f>IFERROR(VLOOKUP(tbl_product_scores[[#This Row],[product_key]],tbl_products[[product_key]:[group_display_key]],2,FALSE),"")</f>
        <v/>
      </c>
    </row>
    <row r="2672" spans="8:8" x14ac:dyDescent="0.2">
      <c r="H2672" s="11" t="str">
        <f>IFERROR(VLOOKUP(tbl_product_scores[[#This Row],[product_key]],tbl_products[[product_key]:[group_display_key]],2,FALSE),"")</f>
        <v/>
      </c>
    </row>
    <row r="2673" spans="8:8" x14ac:dyDescent="0.2">
      <c r="H2673" s="11" t="str">
        <f>IFERROR(VLOOKUP(tbl_product_scores[[#This Row],[product_key]],tbl_products[[product_key]:[group_display_key]],2,FALSE),"")</f>
        <v/>
      </c>
    </row>
    <row r="2674" spans="8:8" x14ac:dyDescent="0.2">
      <c r="H2674" s="11" t="str">
        <f>IFERROR(VLOOKUP(tbl_product_scores[[#This Row],[product_key]],tbl_products[[product_key]:[group_display_key]],2,FALSE),"")</f>
        <v/>
      </c>
    </row>
    <row r="2675" spans="8:8" x14ac:dyDescent="0.2">
      <c r="H2675" s="11" t="str">
        <f>IFERROR(VLOOKUP(tbl_product_scores[[#This Row],[product_key]],tbl_products[[product_key]:[group_display_key]],2,FALSE),"")</f>
        <v/>
      </c>
    </row>
    <row r="2676" spans="8:8" x14ac:dyDescent="0.2">
      <c r="H2676" s="11" t="str">
        <f>IFERROR(VLOOKUP(tbl_product_scores[[#This Row],[product_key]],tbl_products[[product_key]:[group_display_key]],2,FALSE),"")</f>
        <v/>
      </c>
    </row>
    <row r="2677" spans="8:8" x14ac:dyDescent="0.2">
      <c r="H2677" s="11" t="str">
        <f>IFERROR(VLOOKUP(tbl_product_scores[[#This Row],[product_key]],tbl_products[[product_key]:[group_display_key]],2,FALSE),"")</f>
        <v/>
      </c>
    </row>
    <row r="2678" spans="8:8" x14ac:dyDescent="0.2">
      <c r="H2678" s="11" t="str">
        <f>IFERROR(VLOOKUP(tbl_product_scores[[#This Row],[product_key]],tbl_products[[product_key]:[group_display_key]],2,FALSE),"")</f>
        <v/>
      </c>
    </row>
    <row r="2679" spans="8:8" x14ac:dyDescent="0.2">
      <c r="H2679" s="11" t="str">
        <f>IFERROR(VLOOKUP(tbl_product_scores[[#This Row],[product_key]],tbl_products[[product_key]:[group_display_key]],2,FALSE),"")</f>
        <v/>
      </c>
    </row>
    <row r="2680" spans="8:8" x14ac:dyDescent="0.2">
      <c r="H2680" s="11" t="str">
        <f>IFERROR(VLOOKUP(tbl_product_scores[[#This Row],[product_key]],tbl_products[[product_key]:[group_display_key]],2,FALSE),"")</f>
        <v/>
      </c>
    </row>
    <row r="2681" spans="8:8" x14ac:dyDescent="0.2">
      <c r="H2681" s="11" t="str">
        <f>IFERROR(VLOOKUP(tbl_product_scores[[#This Row],[product_key]],tbl_products[[product_key]:[group_display_key]],2,FALSE),"")</f>
        <v/>
      </c>
    </row>
    <row r="2682" spans="8:8" x14ac:dyDescent="0.2">
      <c r="H2682" s="11" t="str">
        <f>IFERROR(VLOOKUP(tbl_product_scores[[#This Row],[product_key]],tbl_products[[product_key]:[group_display_key]],2,FALSE),"")</f>
        <v/>
      </c>
    </row>
    <row r="2683" spans="8:8" x14ac:dyDescent="0.2">
      <c r="H2683" s="11" t="str">
        <f>IFERROR(VLOOKUP(tbl_product_scores[[#This Row],[product_key]],tbl_products[[product_key]:[group_display_key]],2,FALSE),"")</f>
        <v/>
      </c>
    </row>
    <row r="2684" spans="8:8" x14ac:dyDescent="0.2">
      <c r="H2684" s="11" t="str">
        <f>IFERROR(VLOOKUP(tbl_product_scores[[#This Row],[product_key]],tbl_products[[product_key]:[group_display_key]],2,FALSE),"")</f>
        <v/>
      </c>
    </row>
    <row r="2685" spans="8:8" x14ac:dyDescent="0.2">
      <c r="H2685" s="11" t="str">
        <f>IFERROR(VLOOKUP(tbl_product_scores[[#This Row],[product_key]],tbl_products[[product_key]:[group_display_key]],2,FALSE),"")</f>
        <v/>
      </c>
    </row>
    <row r="2686" spans="8:8" x14ac:dyDescent="0.2">
      <c r="H2686" s="11" t="str">
        <f>IFERROR(VLOOKUP(tbl_product_scores[[#This Row],[product_key]],tbl_products[[product_key]:[group_display_key]],2,FALSE),"")</f>
        <v/>
      </c>
    </row>
    <row r="2687" spans="8:8" x14ac:dyDescent="0.2">
      <c r="H2687" s="11" t="str">
        <f>IFERROR(VLOOKUP(tbl_product_scores[[#This Row],[product_key]],tbl_products[[product_key]:[group_display_key]],2,FALSE),"")</f>
        <v/>
      </c>
    </row>
    <row r="2688" spans="8:8" x14ac:dyDescent="0.2">
      <c r="H2688" s="11" t="str">
        <f>IFERROR(VLOOKUP(tbl_product_scores[[#This Row],[product_key]],tbl_products[[product_key]:[group_display_key]],2,FALSE),"")</f>
        <v/>
      </c>
    </row>
    <row r="2689" spans="8:8" x14ac:dyDescent="0.2">
      <c r="H2689" s="11" t="str">
        <f>IFERROR(VLOOKUP(tbl_product_scores[[#This Row],[product_key]],tbl_products[[product_key]:[group_display_key]],2,FALSE),"")</f>
        <v/>
      </c>
    </row>
    <row r="2690" spans="8:8" x14ac:dyDescent="0.2">
      <c r="H2690" s="11" t="str">
        <f>IFERROR(VLOOKUP(tbl_product_scores[[#This Row],[product_key]],tbl_products[[product_key]:[group_display_key]],2,FALSE),"")</f>
        <v/>
      </c>
    </row>
    <row r="2691" spans="8:8" x14ac:dyDescent="0.2">
      <c r="H2691" s="11" t="str">
        <f>IFERROR(VLOOKUP(tbl_product_scores[[#This Row],[product_key]],tbl_products[[product_key]:[group_display_key]],2,FALSE),"")</f>
        <v/>
      </c>
    </row>
    <row r="2692" spans="8:8" x14ac:dyDescent="0.2">
      <c r="H2692" s="11" t="str">
        <f>IFERROR(VLOOKUP(tbl_product_scores[[#This Row],[product_key]],tbl_products[[product_key]:[group_display_key]],2,FALSE),"")</f>
        <v/>
      </c>
    </row>
    <row r="2693" spans="8:8" x14ac:dyDescent="0.2">
      <c r="H2693" s="11" t="str">
        <f>IFERROR(VLOOKUP(tbl_product_scores[[#This Row],[product_key]],tbl_products[[product_key]:[group_display_key]],2,FALSE),"")</f>
        <v/>
      </c>
    </row>
    <row r="2694" spans="8:8" x14ac:dyDescent="0.2">
      <c r="H2694" s="11" t="str">
        <f>IFERROR(VLOOKUP(tbl_product_scores[[#This Row],[product_key]],tbl_products[[product_key]:[group_display_key]],2,FALSE),"")</f>
        <v/>
      </c>
    </row>
    <row r="2695" spans="8:8" x14ac:dyDescent="0.2">
      <c r="H2695" s="11" t="str">
        <f>IFERROR(VLOOKUP(tbl_product_scores[[#This Row],[product_key]],tbl_products[[product_key]:[group_display_key]],2,FALSE),"")</f>
        <v/>
      </c>
    </row>
    <row r="2696" spans="8:8" x14ac:dyDescent="0.2">
      <c r="H2696" s="11" t="str">
        <f>IFERROR(VLOOKUP(tbl_product_scores[[#This Row],[product_key]],tbl_products[[product_key]:[group_display_key]],2,FALSE),"")</f>
        <v/>
      </c>
    </row>
    <row r="2697" spans="8:8" x14ac:dyDescent="0.2">
      <c r="H2697" s="11" t="str">
        <f>IFERROR(VLOOKUP(tbl_product_scores[[#This Row],[product_key]],tbl_products[[product_key]:[group_display_key]],2,FALSE),"")</f>
        <v/>
      </c>
    </row>
    <row r="2698" spans="8:8" x14ac:dyDescent="0.2">
      <c r="H2698" s="11" t="str">
        <f>IFERROR(VLOOKUP(tbl_product_scores[[#This Row],[product_key]],tbl_products[[product_key]:[group_display_key]],2,FALSE),"")</f>
        <v/>
      </c>
    </row>
    <row r="2699" spans="8:8" x14ac:dyDescent="0.2">
      <c r="H2699" s="11" t="str">
        <f>IFERROR(VLOOKUP(tbl_product_scores[[#This Row],[product_key]],tbl_products[[product_key]:[group_display_key]],2,FALSE),"")</f>
        <v/>
      </c>
    </row>
    <row r="2700" spans="8:8" x14ac:dyDescent="0.2">
      <c r="H2700" s="11" t="str">
        <f>IFERROR(VLOOKUP(tbl_product_scores[[#This Row],[product_key]],tbl_products[[product_key]:[group_display_key]],2,FALSE),"")</f>
        <v/>
      </c>
    </row>
    <row r="2701" spans="8:8" x14ac:dyDescent="0.2">
      <c r="H2701" s="11" t="str">
        <f>IFERROR(VLOOKUP(tbl_product_scores[[#This Row],[product_key]],tbl_products[[product_key]:[group_display_key]],2,FALSE),"")</f>
        <v/>
      </c>
    </row>
    <row r="2702" spans="8:8" x14ac:dyDescent="0.2">
      <c r="H2702" s="11" t="str">
        <f>IFERROR(VLOOKUP(tbl_product_scores[[#This Row],[product_key]],tbl_products[[product_key]:[group_display_key]],2,FALSE),"")</f>
        <v/>
      </c>
    </row>
    <row r="2703" spans="8:8" x14ac:dyDescent="0.2">
      <c r="H2703" s="11" t="str">
        <f>IFERROR(VLOOKUP(tbl_product_scores[[#This Row],[product_key]],tbl_products[[product_key]:[group_display_key]],2,FALSE),"")</f>
        <v/>
      </c>
    </row>
    <row r="2704" spans="8:8" x14ac:dyDescent="0.2">
      <c r="H2704" s="11" t="str">
        <f>IFERROR(VLOOKUP(tbl_product_scores[[#This Row],[product_key]],tbl_products[[product_key]:[group_display_key]],2,FALSE),"")</f>
        <v/>
      </c>
    </row>
    <row r="2705" spans="8:8" x14ac:dyDescent="0.2">
      <c r="H2705" s="11" t="str">
        <f>IFERROR(VLOOKUP(tbl_product_scores[[#This Row],[product_key]],tbl_products[[product_key]:[group_display_key]],2,FALSE),"")</f>
        <v/>
      </c>
    </row>
    <row r="2706" spans="8:8" x14ac:dyDescent="0.2">
      <c r="H2706" s="11" t="str">
        <f>IFERROR(VLOOKUP(tbl_product_scores[[#This Row],[product_key]],tbl_products[[product_key]:[group_display_key]],2,FALSE),"")</f>
        <v/>
      </c>
    </row>
    <row r="2707" spans="8:8" x14ac:dyDescent="0.2">
      <c r="H2707" s="11" t="str">
        <f>IFERROR(VLOOKUP(tbl_product_scores[[#This Row],[product_key]],tbl_products[[product_key]:[group_display_key]],2,FALSE),"")</f>
        <v/>
      </c>
    </row>
    <row r="2708" spans="8:8" x14ac:dyDescent="0.2">
      <c r="H2708" s="11" t="str">
        <f>IFERROR(VLOOKUP(tbl_product_scores[[#This Row],[product_key]],tbl_products[[product_key]:[group_display_key]],2,FALSE),"")</f>
        <v/>
      </c>
    </row>
    <row r="2709" spans="8:8" x14ac:dyDescent="0.2">
      <c r="H2709" s="11" t="str">
        <f>IFERROR(VLOOKUP(tbl_product_scores[[#This Row],[product_key]],tbl_products[[product_key]:[group_display_key]],2,FALSE),"")</f>
        <v/>
      </c>
    </row>
    <row r="2710" spans="8:8" x14ac:dyDescent="0.2">
      <c r="H2710" s="11" t="str">
        <f>IFERROR(VLOOKUP(tbl_product_scores[[#This Row],[product_key]],tbl_products[[product_key]:[group_display_key]],2,FALSE),"")</f>
        <v/>
      </c>
    </row>
    <row r="2711" spans="8:8" x14ac:dyDescent="0.2">
      <c r="H2711" s="11" t="str">
        <f>IFERROR(VLOOKUP(tbl_product_scores[[#This Row],[product_key]],tbl_products[[product_key]:[group_display_key]],2,FALSE),"")</f>
        <v/>
      </c>
    </row>
    <row r="2712" spans="8:8" x14ac:dyDescent="0.2">
      <c r="H2712" s="11" t="str">
        <f>IFERROR(VLOOKUP(tbl_product_scores[[#This Row],[product_key]],tbl_products[[product_key]:[group_display_key]],2,FALSE),"")</f>
        <v/>
      </c>
    </row>
    <row r="2713" spans="8:8" x14ac:dyDescent="0.2">
      <c r="H2713" s="11" t="str">
        <f>IFERROR(VLOOKUP(tbl_product_scores[[#This Row],[product_key]],tbl_products[[product_key]:[group_display_key]],2,FALSE),"")</f>
        <v/>
      </c>
    </row>
    <row r="2714" spans="8:8" x14ac:dyDescent="0.2">
      <c r="H2714" s="11" t="str">
        <f>IFERROR(VLOOKUP(tbl_product_scores[[#This Row],[product_key]],tbl_products[[product_key]:[group_display_key]],2,FALSE),"")</f>
        <v/>
      </c>
    </row>
    <row r="2715" spans="8:8" x14ac:dyDescent="0.2">
      <c r="H2715" s="11" t="str">
        <f>IFERROR(VLOOKUP(tbl_product_scores[[#This Row],[product_key]],tbl_products[[product_key]:[group_display_key]],2,FALSE),"")</f>
        <v/>
      </c>
    </row>
    <row r="2716" spans="8:8" x14ac:dyDescent="0.2">
      <c r="H2716" s="11" t="str">
        <f>IFERROR(VLOOKUP(tbl_product_scores[[#This Row],[product_key]],tbl_products[[product_key]:[group_display_key]],2,FALSE),"")</f>
        <v/>
      </c>
    </row>
    <row r="2717" spans="8:8" x14ac:dyDescent="0.2">
      <c r="H2717" s="11" t="str">
        <f>IFERROR(VLOOKUP(tbl_product_scores[[#This Row],[product_key]],tbl_products[[product_key]:[group_display_key]],2,FALSE),"")</f>
        <v/>
      </c>
    </row>
    <row r="2718" spans="8:8" x14ac:dyDescent="0.2">
      <c r="H2718" s="11" t="str">
        <f>IFERROR(VLOOKUP(tbl_product_scores[[#This Row],[product_key]],tbl_products[[product_key]:[group_display_key]],2,FALSE),"")</f>
        <v/>
      </c>
    </row>
    <row r="2719" spans="8:8" x14ac:dyDescent="0.2">
      <c r="H2719" s="11" t="str">
        <f>IFERROR(VLOOKUP(tbl_product_scores[[#This Row],[product_key]],tbl_products[[product_key]:[group_display_key]],2,FALSE),"")</f>
        <v/>
      </c>
    </row>
    <row r="2720" spans="8:8" x14ac:dyDescent="0.2">
      <c r="H2720" s="11" t="str">
        <f>IFERROR(VLOOKUP(tbl_product_scores[[#This Row],[product_key]],tbl_products[[product_key]:[group_display_key]],2,FALSE),"")</f>
        <v/>
      </c>
    </row>
    <row r="2721" spans="8:8" x14ac:dyDescent="0.2">
      <c r="H2721" s="11" t="str">
        <f>IFERROR(VLOOKUP(tbl_product_scores[[#This Row],[product_key]],tbl_products[[product_key]:[group_display_key]],2,FALSE),"")</f>
        <v/>
      </c>
    </row>
    <row r="2722" spans="8:8" x14ac:dyDescent="0.2">
      <c r="H2722" s="11" t="str">
        <f>IFERROR(VLOOKUP(tbl_product_scores[[#This Row],[product_key]],tbl_products[[product_key]:[group_display_key]],2,FALSE),"")</f>
        <v/>
      </c>
    </row>
    <row r="2723" spans="8:8" x14ac:dyDescent="0.2">
      <c r="H2723" s="11" t="str">
        <f>IFERROR(VLOOKUP(tbl_product_scores[[#This Row],[product_key]],tbl_products[[product_key]:[group_display_key]],2,FALSE),"")</f>
        <v/>
      </c>
    </row>
    <row r="2724" spans="8:8" x14ac:dyDescent="0.2">
      <c r="H2724" s="11" t="str">
        <f>IFERROR(VLOOKUP(tbl_product_scores[[#This Row],[product_key]],tbl_products[[product_key]:[group_display_key]],2,FALSE),"")</f>
        <v/>
      </c>
    </row>
    <row r="2725" spans="8:8" x14ac:dyDescent="0.2">
      <c r="H2725" s="11" t="str">
        <f>IFERROR(VLOOKUP(tbl_product_scores[[#This Row],[product_key]],tbl_products[[product_key]:[group_display_key]],2,FALSE),"")</f>
        <v/>
      </c>
    </row>
    <row r="2726" spans="8:8" x14ac:dyDescent="0.2">
      <c r="H2726" s="11" t="str">
        <f>IFERROR(VLOOKUP(tbl_product_scores[[#This Row],[product_key]],tbl_products[[product_key]:[group_display_key]],2,FALSE),"")</f>
        <v/>
      </c>
    </row>
    <row r="2727" spans="8:8" x14ac:dyDescent="0.2">
      <c r="H2727" s="11" t="str">
        <f>IFERROR(VLOOKUP(tbl_product_scores[[#This Row],[product_key]],tbl_products[[product_key]:[group_display_key]],2,FALSE),"")</f>
        <v/>
      </c>
    </row>
    <row r="2728" spans="8:8" x14ac:dyDescent="0.2">
      <c r="H2728" s="11" t="str">
        <f>IFERROR(VLOOKUP(tbl_product_scores[[#This Row],[product_key]],tbl_products[[product_key]:[group_display_key]],2,FALSE),"")</f>
        <v/>
      </c>
    </row>
    <row r="2729" spans="8:8" x14ac:dyDescent="0.2">
      <c r="H2729" s="11" t="str">
        <f>IFERROR(VLOOKUP(tbl_product_scores[[#This Row],[product_key]],tbl_products[[product_key]:[group_display_key]],2,FALSE),"")</f>
        <v/>
      </c>
    </row>
    <row r="2730" spans="8:8" x14ac:dyDescent="0.2">
      <c r="H2730" s="11" t="str">
        <f>IFERROR(VLOOKUP(tbl_product_scores[[#This Row],[product_key]],tbl_products[[product_key]:[group_display_key]],2,FALSE),"")</f>
        <v/>
      </c>
    </row>
    <row r="2731" spans="8:8" x14ac:dyDescent="0.2">
      <c r="H2731" s="11" t="str">
        <f>IFERROR(VLOOKUP(tbl_product_scores[[#This Row],[product_key]],tbl_products[[product_key]:[group_display_key]],2,FALSE),"")</f>
        <v/>
      </c>
    </row>
    <row r="2732" spans="8:8" x14ac:dyDescent="0.2">
      <c r="H2732" s="11" t="str">
        <f>IFERROR(VLOOKUP(tbl_product_scores[[#This Row],[product_key]],tbl_products[[product_key]:[group_display_key]],2,FALSE),"")</f>
        <v/>
      </c>
    </row>
    <row r="2733" spans="8:8" x14ac:dyDescent="0.2">
      <c r="H2733" s="11" t="str">
        <f>IFERROR(VLOOKUP(tbl_product_scores[[#This Row],[product_key]],tbl_products[[product_key]:[group_display_key]],2,FALSE),"")</f>
        <v/>
      </c>
    </row>
    <row r="2734" spans="8:8" x14ac:dyDescent="0.2">
      <c r="H2734" s="11" t="str">
        <f>IFERROR(VLOOKUP(tbl_product_scores[[#This Row],[product_key]],tbl_products[[product_key]:[group_display_key]],2,FALSE),"")</f>
        <v/>
      </c>
    </row>
    <row r="2735" spans="8:8" x14ac:dyDescent="0.2">
      <c r="H2735" s="11" t="str">
        <f>IFERROR(VLOOKUP(tbl_product_scores[[#This Row],[product_key]],tbl_products[[product_key]:[group_display_key]],2,FALSE),"")</f>
        <v/>
      </c>
    </row>
    <row r="2736" spans="8:8" x14ac:dyDescent="0.2">
      <c r="H2736" s="11" t="str">
        <f>IFERROR(VLOOKUP(tbl_product_scores[[#This Row],[product_key]],tbl_products[[product_key]:[group_display_key]],2,FALSE),"")</f>
        <v/>
      </c>
    </row>
    <row r="2737" spans="8:8" x14ac:dyDescent="0.2">
      <c r="H2737" s="11" t="str">
        <f>IFERROR(VLOOKUP(tbl_product_scores[[#This Row],[product_key]],tbl_products[[product_key]:[group_display_key]],2,FALSE),"")</f>
        <v/>
      </c>
    </row>
    <row r="2738" spans="8:8" x14ac:dyDescent="0.2">
      <c r="H2738" s="11" t="str">
        <f>IFERROR(VLOOKUP(tbl_product_scores[[#This Row],[product_key]],tbl_products[[product_key]:[group_display_key]],2,FALSE),"")</f>
        <v/>
      </c>
    </row>
    <row r="2739" spans="8:8" x14ac:dyDescent="0.2">
      <c r="H2739" s="11" t="str">
        <f>IFERROR(VLOOKUP(tbl_product_scores[[#This Row],[product_key]],tbl_products[[product_key]:[group_display_key]],2,FALSE),"")</f>
        <v/>
      </c>
    </row>
    <row r="2740" spans="8:8" x14ac:dyDescent="0.2">
      <c r="H2740" s="11" t="str">
        <f>IFERROR(VLOOKUP(tbl_product_scores[[#This Row],[product_key]],tbl_products[[product_key]:[group_display_key]],2,FALSE),"")</f>
        <v/>
      </c>
    </row>
    <row r="2741" spans="8:8" x14ac:dyDescent="0.2">
      <c r="H2741" s="11" t="str">
        <f>IFERROR(VLOOKUP(tbl_product_scores[[#This Row],[product_key]],tbl_products[[product_key]:[group_display_key]],2,FALSE),"")</f>
        <v/>
      </c>
    </row>
    <row r="2742" spans="8:8" x14ac:dyDescent="0.2">
      <c r="H2742" s="11" t="str">
        <f>IFERROR(VLOOKUP(tbl_product_scores[[#This Row],[product_key]],tbl_products[[product_key]:[group_display_key]],2,FALSE),"")</f>
        <v/>
      </c>
    </row>
    <row r="2743" spans="8:8" x14ac:dyDescent="0.2">
      <c r="H2743" s="11" t="str">
        <f>IFERROR(VLOOKUP(tbl_product_scores[[#This Row],[product_key]],tbl_products[[product_key]:[group_display_key]],2,FALSE),"")</f>
        <v/>
      </c>
    </row>
    <row r="2744" spans="8:8" x14ac:dyDescent="0.2">
      <c r="H2744" s="11" t="str">
        <f>IFERROR(VLOOKUP(tbl_product_scores[[#This Row],[product_key]],tbl_products[[product_key]:[group_display_key]],2,FALSE),"")</f>
        <v/>
      </c>
    </row>
    <row r="2745" spans="8:8" x14ac:dyDescent="0.2">
      <c r="H2745" s="11" t="str">
        <f>IFERROR(VLOOKUP(tbl_product_scores[[#This Row],[product_key]],tbl_products[[product_key]:[group_display_key]],2,FALSE),"")</f>
        <v/>
      </c>
    </row>
    <row r="2746" spans="8:8" x14ac:dyDescent="0.2">
      <c r="H2746" s="11" t="str">
        <f>IFERROR(VLOOKUP(tbl_product_scores[[#This Row],[product_key]],tbl_products[[product_key]:[group_display_key]],2,FALSE),"")</f>
        <v/>
      </c>
    </row>
    <row r="2747" spans="8:8" x14ac:dyDescent="0.2">
      <c r="H2747" s="11" t="str">
        <f>IFERROR(VLOOKUP(tbl_product_scores[[#This Row],[product_key]],tbl_products[[product_key]:[group_display_key]],2,FALSE),"")</f>
        <v/>
      </c>
    </row>
    <row r="2748" spans="8:8" x14ac:dyDescent="0.2">
      <c r="H2748" s="11" t="str">
        <f>IFERROR(VLOOKUP(tbl_product_scores[[#This Row],[product_key]],tbl_products[[product_key]:[group_display_key]],2,FALSE),"")</f>
        <v/>
      </c>
    </row>
    <row r="2749" spans="8:8" x14ac:dyDescent="0.2">
      <c r="H2749" s="11" t="str">
        <f>IFERROR(VLOOKUP(tbl_product_scores[[#This Row],[product_key]],tbl_products[[product_key]:[group_display_key]],2,FALSE),"")</f>
        <v/>
      </c>
    </row>
    <row r="2750" spans="8:8" x14ac:dyDescent="0.2">
      <c r="H2750" s="11" t="str">
        <f>IFERROR(VLOOKUP(tbl_product_scores[[#This Row],[product_key]],tbl_products[[product_key]:[group_display_key]],2,FALSE),"")</f>
        <v/>
      </c>
    </row>
    <row r="2751" spans="8:8" x14ac:dyDescent="0.2">
      <c r="H2751" s="11" t="str">
        <f>IFERROR(VLOOKUP(tbl_product_scores[[#This Row],[product_key]],tbl_products[[product_key]:[group_display_key]],2,FALSE),"")</f>
        <v/>
      </c>
    </row>
    <row r="2752" spans="8:8" x14ac:dyDescent="0.2">
      <c r="H2752" s="11" t="str">
        <f>IFERROR(VLOOKUP(tbl_product_scores[[#This Row],[product_key]],tbl_products[[product_key]:[group_display_key]],2,FALSE),"")</f>
        <v/>
      </c>
    </row>
    <row r="2753" spans="8:8" x14ac:dyDescent="0.2">
      <c r="H2753" s="11" t="str">
        <f>IFERROR(VLOOKUP(tbl_product_scores[[#This Row],[product_key]],tbl_products[[product_key]:[group_display_key]],2,FALSE),"")</f>
        <v/>
      </c>
    </row>
    <row r="2754" spans="8:8" x14ac:dyDescent="0.2">
      <c r="H2754" s="11" t="str">
        <f>IFERROR(VLOOKUP(tbl_product_scores[[#This Row],[product_key]],tbl_products[[product_key]:[group_display_key]],2,FALSE),"")</f>
        <v/>
      </c>
    </row>
    <row r="2755" spans="8:8" x14ac:dyDescent="0.2">
      <c r="H2755" s="11" t="str">
        <f>IFERROR(VLOOKUP(tbl_product_scores[[#This Row],[product_key]],tbl_products[[product_key]:[group_display_key]],2,FALSE),"")</f>
        <v/>
      </c>
    </row>
    <row r="2756" spans="8:8" x14ac:dyDescent="0.2">
      <c r="H2756" s="11" t="str">
        <f>IFERROR(VLOOKUP(tbl_product_scores[[#This Row],[product_key]],tbl_products[[product_key]:[group_display_key]],2,FALSE),"")</f>
        <v/>
      </c>
    </row>
    <row r="2757" spans="8:8" x14ac:dyDescent="0.2">
      <c r="H2757" s="11" t="str">
        <f>IFERROR(VLOOKUP(tbl_product_scores[[#This Row],[product_key]],tbl_products[[product_key]:[group_display_key]],2,FALSE),"")</f>
        <v/>
      </c>
    </row>
    <row r="2758" spans="8:8" x14ac:dyDescent="0.2">
      <c r="H2758" s="11" t="str">
        <f>IFERROR(VLOOKUP(tbl_product_scores[[#This Row],[product_key]],tbl_products[[product_key]:[group_display_key]],2,FALSE),"")</f>
        <v/>
      </c>
    </row>
    <row r="2759" spans="8:8" x14ac:dyDescent="0.2">
      <c r="H2759" s="11" t="str">
        <f>IFERROR(VLOOKUP(tbl_product_scores[[#This Row],[product_key]],tbl_products[[product_key]:[group_display_key]],2,FALSE),"")</f>
        <v/>
      </c>
    </row>
    <row r="2760" spans="8:8" x14ac:dyDescent="0.2">
      <c r="H2760" s="11" t="str">
        <f>IFERROR(VLOOKUP(tbl_product_scores[[#This Row],[product_key]],tbl_products[[product_key]:[group_display_key]],2,FALSE),"")</f>
        <v/>
      </c>
    </row>
    <row r="2761" spans="8:8" x14ac:dyDescent="0.2">
      <c r="H2761" s="11" t="str">
        <f>IFERROR(VLOOKUP(tbl_product_scores[[#This Row],[product_key]],tbl_products[[product_key]:[group_display_key]],2,FALSE),"")</f>
        <v/>
      </c>
    </row>
    <row r="2762" spans="8:8" x14ac:dyDescent="0.2">
      <c r="H2762" s="11" t="str">
        <f>IFERROR(VLOOKUP(tbl_product_scores[[#This Row],[product_key]],tbl_products[[product_key]:[group_display_key]],2,FALSE),"")</f>
        <v/>
      </c>
    </row>
    <row r="2763" spans="8:8" x14ac:dyDescent="0.2">
      <c r="H2763" s="11" t="str">
        <f>IFERROR(VLOOKUP(tbl_product_scores[[#This Row],[product_key]],tbl_products[[product_key]:[group_display_key]],2,FALSE),"")</f>
        <v/>
      </c>
    </row>
    <row r="2764" spans="8:8" x14ac:dyDescent="0.2">
      <c r="H2764" s="11" t="str">
        <f>IFERROR(VLOOKUP(tbl_product_scores[[#This Row],[product_key]],tbl_products[[product_key]:[group_display_key]],2,FALSE),"")</f>
        <v/>
      </c>
    </row>
    <row r="2765" spans="8:8" x14ac:dyDescent="0.2">
      <c r="H2765" s="11" t="str">
        <f>IFERROR(VLOOKUP(tbl_product_scores[[#This Row],[product_key]],tbl_products[[product_key]:[group_display_key]],2,FALSE),"")</f>
        <v/>
      </c>
    </row>
    <row r="2766" spans="8:8" x14ac:dyDescent="0.2">
      <c r="H2766" s="11" t="str">
        <f>IFERROR(VLOOKUP(tbl_product_scores[[#This Row],[product_key]],tbl_products[[product_key]:[group_display_key]],2,FALSE),"")</f>
        <v/>
      </c>
    </row>
    <row r="2767" spans="8:8" x14ac:dyDescent="0.2">
      <c r="H2767" s="11" t="str">
        <f>IFERROR(VLOOKUP(tbl_product_scores[[#This Row],[product_key]],tbl_products[[product_key]:[group_display_key]],2,FALSE),"")</f>
        <v/>
      </c>
    </row>
    <row r="2768" spans="8:8" x14ac:dyDescent="0.2">
      <c r="H2768" s="11" t="str">
        <f>IFERROR(VLOOKUP(tbl_product_scores[[#This Row],[product_key]],tbl_products[[product_key]:[group_display_key]],2,FALSE),"")</f>
        <v/>
      </c>
    </row>
    <row r="2769" spans="8:8" x14ac:dyDescent="0.2">
      <c r="H2769" s="11" t="str">
        <f>IFERROR(VLOOKUP(tbl_product_scores[[#This Row],[product_key]],tbl_products[[product_key]:[group_display_key]],2,FALSE),"")</f>
        <v/>
      </c>
    </row>
    <row r="2770" spans="8:8" x14ac:dyDescent="0.2">
      <c r="H2770" s="11" t="str">
        <f>IFERROR(VLOOKUP(tbl_product_scores[[#This Row],[product_key]],tbl_products[[product_key]:[group_display_key]],2,FALSE),"")</f>
        <v/>
      </c>
    </row>
    <row r="2771" spans="8:8" x14ac:dyDescent="0.2">
      <c r="H2771" s="11" t="str">
        <f>IFERROR(VLOOKUP(tbl_product_scores[[#This Row],[product_key]],tbl_products[[product_key]:[group_display_key]],2,FALSE),"")</f>
        <v/>
      </c>
    </row>
    <row r="2772" spans="8:8" x14ac:dyDescent="0.2">
      <c r="H2772" s="11" t="str">
        <f>IFERROR(VLOOKUP(tbl_product_scores[[#This Row],[product_key]],tbl_products[[product_key]:[group_display_key]],2,FALSE),"")</f>
        <v/>
      </c>
    </row>
    <row r="2773" spans="8:8" x14ac:dyDescent="0.2">
      <c r="H2773" s="11" t="str">
        <f>IFERROR(VLOOKUP(tbl_product_scores[[#This Row],[product_key]],tbl_products[[product_key]:[group_display_key]],2,FALSE),"")</f>
        <v/>
      </c>
    </row>
    <row r="2774" spans="8:8" x14ac:dyDescent="0.2">
      <c r="H2774" s="11" t="str">
        <f>IFERROR(VLOOKUP(tbl_product_scores[[#This Row],[product_key]],tbl_products[[product_key]:[group_display_key]],2,FALSE),"")</f>
        <v/>
      </c>
    </row>
    <row r="2775" spans="8:8" x14ac:dyDescent="0.2">
      <c r="H2775" s="11" t="str">
        <f>IFERROR(VLOOKUP(tbl_product_scores[[#This Row],[product_key]],tbl_products[[product_key]:[group_display_key]],2,FALSE),"")</f>
        <v/>
      </c>
    </row>
    <row r="2776" spans="8:8" x14ac:dyDescent="0.2">
      <c r="H2776" s="11" t="str">
        <f>IFERROR(VLOOKUP(tbl_product_scores[[#This Row],[product_key]],tbl_products[[product_key]:[group_display_key]],2,FALSE),"")</f>
        <v/>
      </c>
    </row>
    <row r="2777" spans="8:8" x14ac:dyDescent="0.2">
      <c r="H2777" s="11" t="str">
        <f>IFERROR(VLOOKUP(tbl_product_scores[[#This Row],[product_key]],tbl_products[[product_key]:[group_display_key]],2,FALSE),"")</f>
        <v/>
      </c>
    </row>
    <row r="2778" spans="8:8" x14ac:dyDescent="0.2">
      <c r="H2778" s="11" t="str">
        <f>IFERROR(VLOOKUP(tbl_product_scores[[#This Row],[product_key]],tbl_products[[product_key]:[group_display_key]],2,FALSE),"")</f>
        <v/>
      </c>
    </row>
    <row r="2779" spans="8:8" x14ac:dyDescent="0.2">
      <c r="H2779" s="11" t="str">
        <f>IFERROR(VLOOKUP(tbl_product_scores[[#This Row],[product_key]],tbl_products[[product_key]:[group_display_key]],2,FALSE),"")</f>
        <v/>
      </c>
    </row>
    <row r="2780" spans="8:8" x14ac:dyDescent="0.2">
      <c r="H2780" s="11" t="str">
        <f>IFERROR(VLOOKUP(tbl_product_scores[[#This Row],[product_key]],tbl_products[[product_key]:[group_display_key]],2,FALSE),"")</f>
        <v/>
      </c>
    </row>
    <row r="2781" spans="8:8" x14ac:dyDescent="0.2">
      <c r="H2781" s="11" t="str">
        <f>IFERROR(VLOOKUP(tbl_product_scores[[#This Row],[product_key]],tbl_products[[product_key]:[group_display_key]],2,FALSE),"")</f>
        <v/>
      </c>
    </row>
    <row r="2782" spans="8:8" x14ac:dyDescent="0.2">
      <c r="H2782" s="11" t="str">
        <f>IFERROR(VLOOKUP(tbl_product_scores[[#This Row],[product_key]],tbl_products[[product_key]:[group_display_key]],2,FALSE),"")</f>
        <v/>
      </c>
    </row>
    <row r="2783" spans="8:8" x14ac:dyDescent="0.2">
      <c r="H2783" s="11" t="str">
        <f>IFERROR(VLOOKUP(tbl_product_scores[[#This Row],[product_key]],tbl_products[[product_key]:[group_display_key]],2,FALSE),"")</f>
        <v/>
      </c>
    </row>
    <row r="2784" spans="8:8" x14ac:dyDescent="0.2">
      <c r="H2784" s="11" t="str">
        <f>IFERROR(VLOOKUP(tbl_product_scores[[#This Row],[product_key]],tbl_products[[product_key]:[group_display_key]],2,FALSE),"")</f>
        <v/>
      </c>
    </row>
    <row r="2785" spans="8:8" x14ac:dyDescent="0.2">
      <c r="H2785" s="11" t="str">
        <f>IFERROR(VLOOKUP(tbl_product_scores[[#This Row],[product_key]],tbl_products[[product_key]:[group_display_key]],2,FALSE),"")</f>
        <v/>
      </c>
    </row>
    <row r="2786" spans="8:8" x14ac:dyDescent="0.2">
      <c r="H2786" s="11" t="str">
        <f>IFERROR(VLOOKUP(tbl_product_scores[[#This Row],[product_key]],tbl_products[[product_key]:[group_display_key]],2,FALSE),"")</f>
        <v/>
      </c>
    </row>
    <row r="2787" spans="8:8" x14ac:dyDescent="0.2">
      <c r="H2787" s="11" t="str">
        <f>IFERROR(VLOOKUP(tbl_product_scores[[#This Row],[product_key]],tbl_products[[product_key]:[group_display_key]],2,FALSE),"")</f>
        <v/>
      </c>
    </row>
    <row r="2788" spans="8:8" x14ac:dyDescent="0.2">
      <c r="H2788" s="11" t="str">
        <f>IFERROR(VLOOKUP(tbl_product_scores[[#This Row],[product_key]],tbl_products[[product_key]:[group_display_key]],2,FALSE),"")</f>
        <v/>
      </c>
    </row>
    <row r="2789" spans="8:8" x14ac:dyDescent="0.2">
      <c r="H2789" s="11" t="str">
        <f>IFERROR(VLOOKUP(tbl_product_scores[[#This Row],[product_key]],tbl_products[[product_key]:[group_display_key]],2,FALSE),"")</f>
        <v/>
      </c>
    </row>
    <row r="2790" spans="8:8" x14ac:dyDescent="0.2">
      <c r="H2790" s="11" t="str">
        <f>IFERROR(VLOOKUP(tbl_product_scores[[#This Row],[product_key]],tbl_products[[product_key]:[group_display_key]],2,FALSE),"")</f>
        <v/>
      </c>
    </row>
    <row r="2791" spans="8:8" x14ac:dyDescent="0.2">
      <c r="H2791" s="11" t="str">
        <f>IFERROR(VLOOKUP(tbl_product_scores[[#This Row],[product_key]],tbl_products[[product_key]:[group_display_key]],2,FALSE),"")</f>
        <v/>
      </c>
    </row>
    <row r="2792" spans="8:8" x14ac:dyDescent="0.2">
      <c r="H2792" s="11" t="str">
        <f>IFERROR(VLOOKUP(tbl_product_scores[[#This Row],[product_key]],tbl_products[[product_key]:[group_display_key]],2,FALSE),"")</f>
        <v/>
      </c>
    </row>
    <row r="2793" spans="8:8" x14ac:dyDescent="0.2">
      <c r="H2793" s="11" t="str">
        <f>IFERROR(VLOOKUP(tbl_product_scores[[#This Row],[product_key]],tbl_products[[product_key]:[group_display_key]],2,FALSE),"")</f>
        <v/>
      </c>
    </row>
    <row r="2794" spans="8:8" x14ac:dyDescent="0.2">
      <c r="H2794" s="11" t="str">
        <f>IFERROR(VLOOKUP(tbl_product_scores[[#This Row],[product_key]],tbl_products[[product_key]:[group_display_key]],2,FALSE),"")</f>
        <v/>
      </c>
    </row>
    <row r="2795" spans="8:8" x14ac:dyDescent="0.2">
      <c r="H2795" s="11" t="str">
        <f>IFERROR(VLOOKUP(tbl_product_scores[[#This Row],[product_key]],tbl_products[[product_key]:[group_display_key]],2,FALSE),"")</f>
        <v/>
      </c>
    </row>
    <row r="2796" spans="8:8" x14ac:dyDescent="0.2">
      <c r="H2796" s="11" t="str">
        <f>IFERROR(VLOOKUP(tbl_product_scores[[#This Row],[product_key]],tbl_products[[product_key]:[group_display_key]],2,FALSE),"")</f>
        <v/>
      </c>
    </row>
    <row r="2797" spans="8:8" x14ac:dyDescent="0.2">
      <c r="H2797" s="11" t="str">
        <f>IFERROR(VLOOKUP(tbl_product_scores[[#This Row],[product_key]],tbl_products[[product_key]:[group_display_key]],2,FALSE),"")</f>
        <v/>
      </c>
    </row>
    <row r="2798" spans="8:8" x14ac:dyDescent="0.2">
      <c r="H2798" s="11" t="str">
        <f>IFERROR(VLOOKUP(tbl_product_scores[[#This Row],[product_key]],tbl_products[[product_key]:[group_display_key]],2,FALSE),"")</f>
        <v/>
      </c>
    </row>
    <row r="2799" spans="8:8" x14ac:dyDescent="0.2">
      <c r="H2799" s="11" t="str">
        <f>IFERROR(VLOOKUP(tbl_product_scores[[#This Row],[product_key]],tbl_products[[product_key]:[group_display_key]],2,FALSE),"")</f>
        <v/>
      </c>
    </row>
    <row r="2800" spans="8:8" x14ac:dyDescent="0.2">
      <c r="H2800" s="11" t="str">
        <f>IFERROR(VLOOKUP(tbl_product_scores[[#This Row],[product_key]],tbl_products[[product_key]:[group_display_key]],2,FALSE),"")</f>
        <v/>
      </c>
    </row>
    <row r="2801" spans="8:8" x14ac:dyDescent="0.2">
      <c r="H2801" s="11" t="str">
        <f>IFERROR(VLOOKUP(tbl_product_scores[[#This Row],[product_key]],tbl_products[[product_key]:[group_display_key]],2,FALSE),"")</f>
        <v/>
      </c>
    </row>
    <row r="2802" spans="8:8" x14ac:dyDescent="0.2">
      <c r="H2802" s="11" t="str">
        <f>IFERROR(VLOOKUP(tbl_product_scores[[#This Row],[product_key]],tbl_products[[product_key]:[group_display_key]],2,FALSE),"")</f>
        <v/>
      </c>
    </row>
    <row r="2803" spans="8:8" x14ac:dyDescent="0.2">
      <c r="H2803" s="11" t="str">
        <f>IFERROR(VLOOKUP(tbl_product_scores[[#This Row],[product_key]],tbl_products[[product_key]:[group_display_key]],2,FALSE),"")</f>
        <v/>
      </c>
    </row>
    <row r="2804" spans="8:8" x14ac:dyDescent="0.2">
      <c r="H2804" s="11" t="str">
        <f>IFERROR(VLOOKUP(tbl_product_scores[[#This Row],[product_key]],tbl_products[[product_key]:[group_display_key]],2,FALSE),"")</f>
        <v/>
      </c>
    </row>
    <row r="2805" spans="8:8" x14ac:dyDescent="0.2">
      <c r="H2805" s="11" t="str">
        <f>IFERROR(VLOOKUP(tbl_product_scores[[#This Row],[product_key]],tbl_products[[product_key]:[group_display_key]],2,FALSE),"")</f>
        <v/>
      </c>
    </row>
    <row r="2806" spans="8:8" x14ac:dyDescent="0.2">
      <c r="H2806" s="11" t="str">
        <f>IFERROR(VLOOKUP(tbl_product_scores[[#This Row],[product_key]],tbl_products[[product_key]:[group_display_key]],2,FALSE),"")</f>
        <v/>
      </c>
    </row>
    <row r="2807" spans="8:8" x14ac:dyDescent="0.2">
      <c r="H2807" s="11" t="str">
        <f>IFERROR(VLOOKUP(tbl_product_scores[[#This Row],[product_key]],tbl_products[[product_key]:[group_display_key]],2,FALSE),"")</f>
        <v/>
      </c>
    </row>
    <row r="2808" spans="8:8" x14ac:dyDescent="0.2">
      <c r="H2808" s="11" t="str">
        <f>IFERROR(VLOOKUP(tbl_product_scores[[#This Row],[product_key]],tbl_products[[product_key]:[group_display_key]],2,FALSE),"")</f>
        <v/>
      </c>
    </row>
    <row r="2809" spans="8:8" x14ac:dyDescent="0.2">
      <c r="H2809" s="11" t="str">
        <f>IFERROR(VLOOKUP(tbl_product_scores[[#This Row],[product_key]],tbl_products[[product_key]:[group_display_key]],2,FALSE),"")</f>
        <v/>
      </c>
    </row>
    <row r="2810" spans="8:8" x14ac:dyDescent="0.2">
      <c r="H2810" s="11" t="str">
        <f>IFERROR(VLOOKUP(tbl_product_scores[[#This Row],[product_key]],tbl_products[[product_key]:[group_display_key]],2,FALSE),"")</f>
        <v/>
      </c>
    </row>
    <row r="2811" spans="8:8" x14ac:dyDescent="0.2">
      <c r="H2811" s="11" t="str">
        <f>IFERROR(VLOOKUP(tbl_product_scores[[#This Row],[product_key]],tbl_products[[product_key]:[group_display_key]],2,FALSE),"")</f>
        <v/>
      </c>
    </row>
    <row r="2812" spans="8:8" x14ac:dyDescent="0.2">
      <c r="H2812" s="11" t="str">
        <f>IFERROR(VLOOKUP(tbl_product_scores[[#This Row],[product_key]],tbl_products[[product_key]:[group_display_key]],2,FALSE),"")</f>
        <v/>
      </c>
    </row>
    <row r="2813" spans="8:8" x14ac:dyDescent="0.2">
      <c r="H2813" s="11" t="str">
        <f>IFERROR(VLOOKUP(tbl_product_scores[[#This Row],[product_key]],tbl_products[[product_key]:[group_display_key]],2,FALSE),"")</f>
        <v/>
      </c>
    </row>
    <row r="2814" spans="8:8" x14ac:dyDescent="0.2">
      <c r="H2814" s="11" t="str">
        <f>IFERROR(VLOOKUP(tbl_product_scores[[#This Row],[product_key]],tbl_products[[product_key]:[group_display_key]],2,FALSE),"")</f>
        <v/>
      </c>
    </row>
    <row r="2815" spans="8:8" x14ac:dyDescent="0.2">
      <c r="H2815" s="11" t="str">
        <f>IFERROR(VLOOKUP(tbl_product_scores[[#This Row],[product_key]],tbl_products[[product_key]:[group_display_key]],2,FALSE),"")</f>
        <v/>
      </c>
    </row>
    <row r="2816" spans="8:8" x14ac:dyDescent="0.2">
      <c r="H2816" s="11" t="str">
        <f>IFERROR(VLOOKUP(tbl_product_scores[[#This Row],[product_key]],tbl_products[[product_key]:[group_display_key]],2,FALSE),"")</f>
        <v/>
      </c>
    </row>
    <row r="2817" spans="8:8" x14ac:dyDescent="0.2">
      <c r="H2817" s="11" t="str">
        <f>IFERROR(VLOOKUP(tbl_product_scores[[#This Row],[product_key]],tbl_products[[product_key]:[group_display_key]],2,FALSE),"")</f>
        <v/>
      </c>
    </row>
    <row r="2818" spans="8:8" x14ac:dyDescent="0.2">
      <c r="H2818" s="11" t="str">
        <f>IFERROR(VLOOKUP(tbl_product_scores[[#This Row],[product_key]],tbl_products[[product_key]:[group_display_key]],2,FALSE),"")</f>
        <v/>
      </c>
    </row>
    <row r="2819" spans="8:8" x14ac:dyDescent="0.2">
      <c r="H2819" s="11" t="str">
        <f>IFERROR(VLOOKUP(tbl_product_scores[[#This Row],[product_key]],tbl_products[[product_key]:[group_display_key]],2,FALSE),"")</f>
        <v/>
      </c>
    </row>
    <row r="2820" spans="8:8" x14ac:dyDescent="0.2">
      <c r="H2820" s="11" t="str">
        <f>IFERROR(VLOOKUP(tbl_product_scores[[#This Row],[product_key]],tbl_products[[product_key]:[group_display_key]],2,FALSE),"")</f>
        <v/>
      </c>
    </row>
    <row r="2821" spans="8:8" x14ac:dyDescent="0.2">
      <c r="H2821" s="11" t="str">
        <f>IFERROR(VLOOKUP(tbl_product_scores[[#This Row],[product_key]],tbl_products[[product_key]:[group_display_key]],2,FALSE),"")</f>
        <v/>
      </c>
    </row>
    <row r="2822" spans="8:8" x14ac:dyDescent="0.2">
      <c r="H2822" s="11" t="str">
        <f>IFERROR(VLOOKUP(tbl_product_scores[[#This Row],[product_key]],tbl_products[[product_key]:[group_display_key]],2,FALSE),"")</f>
        <v/>
      </c>
    </row>
    <row r="2823" spans="8:8" x14ac:dyDescent="0.2">
      <c r="H2823" s="11" t="str">
        <f>IFERROR(VLOOKUP(tbl_product_scores[[#This Row],[product_key]],tbl_products[[product_key]:[group_display_key]],2,FALSE),"")</f>
        <v/>
      </c>
    </row>
    <row r="2824" spans="8:8" x14ac:dyDescent="0.2">
      <c r="H2824" s="11" t="str">
        <f>IFERROR(VLOOKUP(tbl_product_scores[[#This Row],[product_key]],tbl_products[[product_key]:[group_display_key]],2,FALSE),"")</f>
        <v/>
      </c>
    </row>
    <row r="2825" spans="8:8" x14ac:dyDescent="0.2">
      <c r="H2825" s="11" t="str">
        <f>IFERROR(VLOOKUP(tbl_product_scores[[#This Row],[product_key]],tbl_products[[product_key]:[group_display_key]],2,FALSE),"")</f>
        <v/>
      </c>
    </row>
    <row r="2826" spans="8:8" x14ac:dyDescent="0.2">
      <c r="H2826" s="11" t="str">
        <f>IFERROR(VLOOKUP(tbl_product_scores[[#This Row],[product_key]],tbl_products[[product_key]:[group_display_key]],2,FALSE),"")</f>
        <v/>
      </c>
    </row>
    <row r="2827" spans="8:8" x14ac:dyDescent="0.2">
      <c r="H2827" s="11" t="str">
        <f>IFERROR(VLOOKUP(tbl_product_scores[[#This Row],[product_key]],tbl_products[[product_key]:[group_display_key]],2,FALSE),"")</f>
        <v/>
      </c>
    </row>
    <row r="2828" spans="8:8" x14ac:dyDescent="0.2">
      <c r="H2828" s="11" t="str">
        <f>IFERROR(VLOOKUP(tbl_product_scores[[#This Row],[product_key]],tbl_products[[product_key]:[group_display_key]],2,FALSE),"")</f>
        <v/>
      </c>
    </row>
    <row r="2829" spans="8:8" x14ac:dyDescent="0.2">
      <c r="H2829" s="11" t="str">
        <f>IFERROR(VLOOKUP(tbl_product_scores[[#This Row],[product_key]],tbl_products[[product_key]:[group_display_key]],2,FALSE),"")</f>
        <v/>
      </c>
    </row>
    <row r="2830" spans="8:8" x14ac:dyDescent="0.2">
      <c r="H2830" s="11" t="str">
        <f>IFERROR(VLOOKUP(tbl_product_scores[[#This Row],[product_key]],tbl_products[[product_key]:[group_display_key]],2,FALSE),"")</f>
        <v/>
      </c>
    </row>
    <row r="2831" spans="8:8" x14ac:dyDescent="0.2">
      <c r="H2831" s="11" t="str">
        <f>IFERROR(VLOOKUP(tbl_product_scores[[#This Row],[product_key]],tbl_products[[product_key]:[group_display_key]],2,FALSE),"")</f>
        <v/>
      </c>
    </row>
    <row r="2832" spans="8:8" x14ac:dyDescent="0.2">
      <c r="H2832" s="11" t="str">
        <f>IFERROR(VLOOKUP(tbl_product_scores[[#This Row],[product_key]],tbl_products[[product_key]:[group_display_key]],2,FALSE),"")</f>
        <v/>
      </c>
    </row>
    <row r="2833" spans="8:8" x14ac:dyDescent="0.2">
      <c r="H2833" s="11" t="str">
        <f>IFERROR(VLOOKUP(tbl_product_scores[[#This Row],[product_key]],tbl_products[[product_key]:[group_display_key]],2,FALSE),"")</f>
        <v/>
      </c>
    </row>
    <row r="2834" spans="8:8" x14ac:dyDescent="0.2">
      <c r="H2834" s="11" t="str">
        <f>IFERROR(VLOOKUP(tbl_product_scores[[#This Row],[product_key]],tbl_products[[product_key]:[group_display_key]],2,FALSE),"")</f>
        <v/>
      </c>
    </row>
    <row r="2835" spans="8:8" x14ac:dyDescent="0.2">
      <c r="H2835" s="11" t="str">
        <f>IFERROR(VLOOKUP(tbl_product_scores[[#This Row],[product_key]],tbl_products[[product_key]:[group_display_key]],2,FALSE),"")</f>
        <v/>
      </c>
    </row>
    <row r="2836" spans="8:8" x14ac:dyDescent="0.2">
      <c r="H2836" s="11" t="str">
        <f>IFERROR(VLOOKUP(tbl_product_scores[[#This Row],[product_key]],tbl_products[[product_key]:[group_display_key]],2,FALSE),"")</f>
        <v/>
      </c>
    </row>
    <row r="2837" spans="8:8" x14ac:dyDescent="0.2">
      <c r="H2837" s="11" t="str">
        <f>IFERROR(VLOOKUP(tbl_product_scores[[#This Row],[product_key]],tbl_products[[product_key]:[group_display_key]],2,FALSE),"")</f>
        <v/>
      </c>
    </row>
    <row r="2838" spans="8:8" x14ac:dyDescent="0.2">
      <c r="H2838" s="11" t="str">
        <f>IFERROR(VLOOKUP(tbl_product_scores[[#This Row],[product_key]],tbl_products[[product_key]:[group_display_key]],2,FALSE),"")</f>
        <v/>
      </c>
    </row>
    <row r="2839" spans="8:8" x14ac:dyDescent="0.2">
      <c r="H2839" s="11" t="str">
        <f>IFERROR(VLOOKUP(tbl_product_scores[[#This Row],[product_key]],tbl_products[[product_key]:[group_display_key]],2,FALSE),"")</f>
        <v/>
      </c>
    </row>
    <row r="2840" spans="8:8" x14ac:dyDescent="0.2">
      <c r="H2840" s="11" t="str">
        <f>IFERROR(VLOOKUP(tbl_product_scores[[#This Row],[product_key]],tbl_products[[product_key]:[group_display_key]],2,FALSE),"")</f>
        <v/>
      </c>
    </row>
    <row r="2841" spans="8:8" x14ac:dyDescent="0.2">
      <c r="H2841" s="11" t="str">
        <f>IFERROR(VLOOKUP(tbl_product_scores[[#This Row],[product_key]],tbl_products[[product_key]:[group_display_key]],2,FALSE),"")</f>
        <v/>
      </c>
    </row>
    <row r="2842" spans="8:8" x14ac:dyDescent="0.2">
      <c r="H2842" s="11" t="str">
        <f>IFERROR(VLOOKUP(tbl_product_scores[[#This Row],[product_key]],tbl_products[[product_key]:[group_display_key]],2,FALSE),"")</f>
        <v/>
      </c>
    </row>
    <row r="2843" spans="8:8" x14ac:dyDescent="0.2">
      <c r="H2843" s="11" t="str">
        <f>IFERROR(VLOOKUP(tbl_product_scores[[#This Row],[product_key]],tbl_products[[product_key]:[group_display_key]],2,FALSE),"")</f>
        <v/>
      </c>
    </row>
    <row r="2844" spans="8:8" x14ac:dyDescent="0.2">
      <c r="H2844" s="11" t="str">
        <f>IFERROR(VLOOKUP(tbl_product_scores[[#This Row],[product_key]],tbl_products[[product_key]:[group_display_key]],2,FALSE),"")</f>
        <v/>
      </c>
    </row>
    <row r="2845" spans="8:8" x14ac:dyDescent="0.2">
      <c r="H2845" s="11" t="str">
        <f>IFERROR(VLOOKUP(tbl_product_scores[[#This Row],[product_key]],tbl_products[[product_key]:[group_display_key]],2,FALSE),"")</f>
        <v/>
      </c>
    </row>
    <row r="2846" spans="8:8" x14ac:dyDescent="0.2">
      <c r="H2846" s="11" t="str">
        <f>IFERROR(VLOOKUP(tbl_product_scores[[#This Row],[product_key]],tbl_products[[product_key]:[group_display_key]],2,FALSE),"")</f>
        <v/>
      </c>
    </row>
    <row r="2847" spans="8:8" x14ac:dyDescent="0.2">
      <c r="H2847" s="11" t="str">
        <f>IFERROR(VLOOKUP(tbl_product_scores[[#This Row],[product_key]],tbl_products[[product_key]:[group_display_key]],2,FALSE),"")</f>
        <v/>
      </c>
    </row>
    <row r="2848" spans="8:8" x14ac:dyDescent="0.2">
      <c r="H2848" s="11" t="str">
        <f>IFERROR(VLOOKUP(tbl_product_scores[[#This Row],[product_key]],tbl_products[[product_key]:[group_display_key]],2,FALSE),"")</f>
        <v/>
      </c>
    </row>
    <row r="2849" spans="8:8" x14ac:dyDescent="0.2">
      <c r="H2849" s="11" t="str">
        <f>IFERROR(VLOOKUP(tbl_product_scores[[#This Row],[product_key]],tbl_products[[product_key]:[group_display_key]],2,FALSE),"")</f>
        <v/>
      </c>
    </row>
    <row r="2850" spans="8:8" x14ac:dyDescent="0.2">
      <c r="H2850" s="11" t="str">
        <f>IFERROR(VLOOKUP(tbl_product_scores[[#This Row],[product_key]],tbl_products[[product_key]:[group_display_key]],2,FALSE),"")</f>
        <v/>
      </c>
    </row>
    <row r="2851" spans="8:8" x14ac:dyDescent="0.2">
      <c r="H2851" s="11" t="str">
        <f>IFERROR(VLOOKUP(tbl_product_scores[[#This Row],[product_key]],tbl_products[[product_key]:[group_display_key]],2,FALSE),"")</f>
        <v/>
      </c>
    </row>
    <row r="2852" spans="8:8" x14ac:dyDescent="0.2">
      <c r="H2852" s="11" t="str">
        <f>IFERROR(VLOOKUP(tbl_product_scores[[#This Row],[product_key]],tbl_products[[product_key]:[group_display_key]],2,FALSE),"")</f>
        <v/>
      </c>
    </row>
    <row r="2853" spans="8:8" x14ac:dyDescent="0.2">
      <c r="H2853" s="11" t="str">
        <f>IFERROR(VLOOKUP(tbl_product_scores[[#This Row],[product_key]],tbl_products[[product_key]:[group_display_key]],2,FALSE),"")</f>
        <v/>
      </c>
    </row>
    <row r="2854" spans="8:8" x14ac:dyDescent="0.2">
      <c r="H2854" s="11" t="str">
        <f>IFERROR(VLOOKUP(tbl_product_scores[[#This Row],[product_key]],tbl_products[[product_key]:[group_display_key]],2,FALSE),"")</f>
        <v/>
      </c>
    </row>
    <row r="2855" spans="8:8" x14ac:dyDescent="0.2">
      <c r="H2855" s="11" t="str">
        <f>IFERROR(VLOOKUP(tbl_product_scores[[#This Row],[product_key]],tbl_products[[product_key]:[group_display_key]],2,FALSE),"")</f>
        <v/>
      </c>
    </row>
    <row r="2856" spans="8:8" x14ac:dyDescent="0.2">
      <c r="H2856" s="11" t="str">
        <f>IFERROR(VLOOKUP(tbl_product_scores[[#This Row],[product_key]],tbl_products[[product_key]:[group_display_key]],2,FALSE),"")</f>
        <v/>
      </c>
    </row>
    <row r="2857" spans="8:8" x14ac:dyDescent="0.2">
      <c r="H2857" s="11" t="str">
        <f>IFERROR(VLOOKUP(tbl_product_scores[[#This Row],[product_key]],tbl_products[[product_key]:[group_display_key]],2,FALSE),"")</f>
        <v/>
      </c>
    </row>
    <row r="2858" spans="8:8" x14ac:dyDescent="0.2">
      <c r="H2858" s="11" t="str">
        <f>IFERROR(VLOOKUP(tbl_product_scores[[#This Row],[product_key]],tbl_products[[product_key]:[group_display_key]],2,FALSE),"")</f>
        <v/>
      </c>
    </row>
    <row r="2859" spans="8:8" x14ac:dyDescent="0.2">
      <c r="H2859" s="11" t="str">
        <f>IFERROR(VLOOKUP(tbl_product_scores[[#This Row],[product_key]],tbl_products[[product_key]:[group_display_key]],2,FALSE),"")</f>
        <v/>
      </c>
    </row>
    <row r="2860" spans="8:8" x14ac:dyDescent="0.2">
      <c r="H2860" s="11" t="str">
        <f>IFERROR(VLOOKUP(tbl_product_scores[[#This Row],[product_key]],tbl_products[[product_key]:[group_display_key]],2,FALSE),"")</f>
        <v/>
      </c>
    </row>
    <row r="2861" spans="8:8" x14ac:dyDescent="0.2">
      <c r="H2861" s="11" t="str">
        <f>IFERROR(VLOOKUP(tbl_product_scores[[#This Row],[product_key]],tbl_products[[product_key]:[group_display_key]],2,FALSE),"")</f>
        <v/>
      </c>
    </row>
    <row r="2862" spans="8:8" x14ac:dyDescent="0.2">
      <c r="H2862" s="11" t="str">
        <f>IFERROR(VLOOKUP(tbl_product_scores[[#This Row],[product_key]],tbl_products[[product_key]:[group_display_key]],2,FALSE),"")</f>
        <v/>
      </c>
    </row>
    <row r="2863" spans="8:8" x14ac:dyDescent="0.2">
      <c r="H2863" s="11" t="str">
        <f>IFERROR(VLOOKUP(tbl_product_scores[[#This Row],[product_key]],tbl_products[[product_key]:[group_display_key]],2,FALSE),"")</f>
        <v/>
      </c>
    </row>
    <row r="2864" spans="8:8" x14ac:dyDescent="0.2">
      <c r="H2864" s="11" t="str">
        <f>IFERROR(VLOOKUP(tbl_product_scores[[#This Row],[product_key]],tbl_products[[product_key]:[group_display_key]],2,FALSE),"")</f>
        <v/>
      </c>
    </row>
    <row r="2865" spans="8:8" x14ac:dyDescent="0.2">
      <c r="H2865" s="11" t="str">
        <f>IFERROR(VLOOKUP(tbl_product_scores[[#This Row],[product_key]],tbl_products[[product_key]:[group_display_key]],2,FALSE),"")</f>
        <v/>
      </c>
    </row>
    <row r="2866" spans="8:8" x14ac:dyDescent="0.2">
      <c r="H2866" s="11" t="str">
        <f>IFERROR(VLOOKUP(tbl_product_scores[[#This Row],[product_key]],tbl_products[[product_key]:[group_display_key]],2,FALSE),"")</f>
        <v/>
      </c>
    </row>
    <row r="2867" spans="8:8" x14ac:dyDescent="0.2">
      <c r="H2867" s="11" t="str">
        <f>IFERROR(VLOOKUP(tbl_product_scores[[#This Row],[product_key]],tbl_products[[product_key]:[group_display_key]],2,FALSE),"")</f>
        <v/>
      </c>
    </row>
    <row r="2868" spans="8:8" x14ac:dyDescent="0.2">
      <c r="H2868" s="11" t="str">
        <f>IFERROR(VLOOKUP(tbl_product_scores[[#This Row],[product_key]],tbl_products[[product_key]:[group_display_key]],2,FALSE),"")</f>
        <v/>
      </c>
    </row>
    <row r="2869" spans="8:8" x14ac:dyDescent="0.2">
      <c r="H2869" s="11" t="str">
        <f>IFERROR(VLOOKUP(tbl_product_scores[[#This Row],[product_key]],tbl_products[[product_key]:[group_display_key]],2,FALSE),"")</f>
        <v/>
      </c>
    </row>
    <row r="2870" spans="8:8" x14ac:dyDescent="0.2">
      <c r="H2870" s="11" t="str">
        <f>IFERROR(VLOOKUP(tbl_product_scores[[#This Row],[product_key]],tbl_products[[product_key]:[group_display_key]],2,FALSE),"")</f>
        <v/>
      </c>
    </row>
    <row r="2871" spans="8:8" x14ac:dyDescent="0.2">
      <c r="H2871" s="11" t="str">
        <f>IFERROR(VLOOKUP(tbl_product_scores[[#This Row],[product_key]],tbl_products[[product_key]:[group_display_key]],2,FALSE),"")</f>
        <v/>
      </c>
    </row>
    <row r="2872" spans="8:8" x14ac:dyDescent="0.2">
      <c r="H2872" s="11" t="str">
        <f>IFERROR(VLOOKUP(tbl_product_scores[[#This Row],[product_key]],tbl_products[[product_key]:[group_display_key]],2,FALSE),"")</f>
        <v/>
      </c>
    </row>
    <row r="2873" spans="8:8" x14ac:dyDescent="0.2">
      <c r="H2873" s="11" t="str">
        <f>IFERROR(VLOOKUP(tbl_product_scores[[#This Row],[product_key]],tbl_products[[product_key]:[group_display_key]],2,FALSE),"")</f>
        <v/>
      </c>
    </row>
    <row r="2874" spans="8:8" x14ac:dyDescent="0.2">
      <c r="H2874" s="11" t="str">
        <f>IFERROR(VLOOKUP(tbl_product_scores[[#This Row],[product_key]],tbl_products[[product_key]:[group_display_key]],2,FALSE),"")</f>
        <v/>
      </c>
    </row>
    <row r="2875" spans="8:8" x14ac:dyDescent="0.2">
      <c r="H2875" s="11" t="str">
        <f>IFERROR(VLOOKUP(tbl_product_scores[[#This Row],[product_key]],tbl_products[[product_key]:[group_display_key]],2,FALSE),"")</f>
        <v/>
      </c>
    </row>
    <row r="2876" spans="8:8" x14ac:dyDescent="0.2">
      <c r="H2876" s="11" t="str">
        <f>IFERROR(VLOOKUP(tbl_product_scores[[#This Row],[product_key]],tbl_products[[product_key]:[group_display_key]],2,FALSE),"")</f>
        <v/>
      </c>
    </row>
    <row r="2877" spans="8:8" x14ac:dyDescent="0.2">
      <c r="H2877" s="11" t="str">
        <f>IFERROR(VLOOKUP(tbl_product_scores[[#This Row],[product_key]],tbl_products[[product_key]:[group_display_key]],2,FALSE),"")</f>
        <v/>
      </c>
    </row>
    <row r="2878" spans="8:8" x14ac:dyDescent="0.2">
      <c r="H2878" s="11" t="str">
        <f>IFERROR(VLOOKUP(tbl_product_scores[[#This Row],[product_key]],tbl_products[[product_key]:[group_display_key]],2,FALSE),"")</f>
        <v/>
      </c>
    </row>
    <row r="2879" spans="8:8" x14ac:dyDescent="0.2">
      <c r="H2879" s="11" t="str">
        <f>IFERROR(VLOOKUP(tbl_product_scores[[#This Row],[product_key]],tbl_products[[product_key]:[group_display_key]],2,FALSE),"")</f>
        <v/>
      </c>
    </row>
    <row r="2880" spans="8:8" x14ac:dyDescent="0.2">
      <c r="H2880" s="11" t="str">
        <f>IFERROR(VLOOKUP(tbl_product_scores[[#This Row],[product_key]],tbl_products[[product_key]:[group_display_key]],2,FALSE),"")</f>
        <v/>
      </c>
    </row>
    <row r="2881" spans="8:8" x14ac:dyDescent="0.2">
      <c r="H2881" s="11" t="str">
        <f>IFERROR(VLOOKUP(tbl_product_scores[[#This Row],[product_key]],tbl_products[[product_key]:[group_display_key]],2,FALSE),"")</f>
        <v/>
      </c>
    </row>
    <row r="2882" spans="8:8" x14ac:dyDescent="0.2">
      <c r="H2882" s="11" t="str">
        <f>IFERROR(VLOOKUP(tbl_product_scores[[#This Row],[product_key]],tbl_products[[product_key]:[group_display_key]],2,FALSE),"")</f>
        <v/>
      </c>
    </row>
    <row r="2883" spans="8:8" x14ac:dyDescent="0.2">
      <c r="H2883" s="11" t="str">
        <f>IFERROR(VLOOKUP(tbl_product_scores[[#This Row],[product_key]],tbl_products[[product_key]:[group_display_key]],2,FALSE),"")</f>
        <v/>
      </c>
    </row>
    <row r="2884" spans="8:8" x14ac:dyDescent="0.2">
      <c r="H2884" s="11" t="str">
        <f>IFERROR(VLOOKUP(tbl_product_scores[[#This Row],[product_key]],tbl_products[[product_key]:[group_display_key]],2,FALSE),"")</f>
        <v/>
      </c>
    </row>
    <row r="2885" spans="8:8" x14ac:dyDescent="0.2">
      <c r="H2885" s="11" t="str">
        <f>IFERROR(VLOOKUP(tbl_product_scores[[#This Row],[product_key]],tbl_products[[product_key]:[group_display_key]],2,FALSE),"")</f>
        <v/>
      </c>
    </row>
    <row r="2886" spans="8:8" x14ac:dyDescent="0.2">
      <c r="H2886" s="11" t="str">
        <f>IFERROR(VLOOKUP(tbl_product_scores[[#This Row],[product_key]],tbl_products[[product_key]:[group_display_key]],2,FALSE),"")</f>
        <v/>
      </c>
    </row>
    <row r="2887" spans="8:8" x14ac:dyDescent="0.2">
      <c r="H2887" s="11" t="str">
        <f>IFERROR(VLOOKUP(tbl_product_scores[[#This Row],[product_key]],tbl_products[[product_key]:[group_display_key]],2,FALSE),"")</f>
        <v/>
      </c>
    </row>
    <row r="2888" spans="8:8" x14ac:dyDescent="0.2">
      <c r="H2888" s="11" t="str">
        <f>IFERROR(VLOOKUP(tbl_product_scores[[#This Row],[product_key]],tbl_products[[product_key]:[group_display_key]],2,FALSE),"")</f>
        <v/>
      </c>
    </row>
    <row r="2889" spans="8:8" x14ac:dyDescent="0.2">
      <c r="H2889" s="11" t="str">
        <f>IFERROR(VLOOKUP(tbl_product_scores[[#This Row],[product_key]],tbl_products[[product_key]:[group_display_key]],2,FALSE),"")</f>
        <v/>
      </c>
    </row>
    <row r="2890" spans="8:8" x14ac:dyDescent="0.2">
      <c r="H2890" s="11" t="str">
        <f>IFERROR(VLOOKUP(tbl_product_scores[[#This Row],[product_key]],tbl_products[[product_key]:[group_display_key]],2,FALSE),"")</f>
        <v/>
      </c>
    </row>
    <row r="2891" spans="8:8" x14ac:dyDescent="0.2">
      <c r="H2891" s="11" t="str">
        <f>IFERROR(VLOOKUP(tbl_product_scores[[#This Row],[product_key]],tbl_products[[product_key]:[group_display_key]],2,FALSE),"")</f>
        <v/>
      </c>
    </row>
    <row r="2892" spans="8:8" x14ac:dyDescent="0.2">
      <c r="H2892" s="11" t="str">
        <f>IFERROR(VLOOKUP(tbl_product_scores[[#This Row],[product_key]],tbl_products[[product_key]:[group_display_key]],2,FALSE),"")</f>
        <v/>
      </c>
    </row>
    <row r="2893" spans="8:8" x14ac:dyDescent="0.2">
      <c r="H2893" s="11" t="str">
        <f>IFERROR(VLOOKUP(tbl_product_scores[[#This Row],[product_key]],tbl_products[[product_key]:[group_display_key]],2,FALSE),"")</f>
        <v/>
      </c>
    </row>
    <row r="2894" spans="8:8" x14ac:dyDescent="0.2">
      <c r="H2894" s="11" t="str">
        <f>IFERROR(VLOOKUP(tbl_product_scores[[#This Row],[product_key]],tbl_products[[product_key]:[group_display_key]],2,FALSE),"")</f>
        <v/>
      </c>
    </row>
    <row r="2895" spans="8:8" x14ac:dyDescent="0.2">
      <c r="H2895" s="11" t="str">
        <f>IFERROR(VLOOKUP(tbl_product_scores[[#This Row],[product_key]],tbl_products[[product_key]:[group_display_key]],2,FALSE),"")</f>
        <v/>
      </c>
    </row>
    <row r="2896" spans="8:8" x14ac:dyDescent="0.2">
      <c r="H2896" s="11" t="str">
        <f>IFERROR(VLOOKUP(tbl_product_scores[[#This Row],[product_key]],tbl_products[[product_key]:[group_display_key]],2,FALSE),"")</f>
        <v/>
      </c>
    </row>
    <row r="2897" spans="8:8" x14ac:dyDescent="0.2">
      <c r="H2897" s="11" t="str">
        <f>IFERROR(VLOOKUP(tbl_product_scores[[#This Row],[product_key]],tbl_products[[product_key]:[group_display_key]],2,FALSE),"")</f>
        <v/>
      </c>
    </row>
    <row r="2898" spans="8:8" x14ac:dyDescent="0.2">
      <c r="H2898" s="11" t="str">
        <f>IFERROR(VLOOKUP(tbl_product_scores[[#This Row],[product_key]],tbl_products[[product_key]:[group_display_key]],2,FALSE),"")</f>
        <v/>
      </c>
    </row>
    <row r="2899" spans="8:8" x14ac:dyDescent="0.2">
      <c r="H2899" s="11" t="str">
        <f>IFERROR(VLOOKUP(tbl_product_scores[[#This Row],[product_key]],tbl_products[[product_key]:[group_display_key]],2,FALSE),"")</f>
        <v/>
      </c>
    </row>
    <row r="2900" spans="8:8" x14ac:dyDescent="0.2">
      <c r="H2900" s="11" t="str">
        <f>IFERROR(VLOOKUP(tbl_product_scores[[#This Row],[product_key]],tbl_products[[product_key]:[group_display_key]],2,FALSE),"")</f>
        <v/>
      </c>
    </row>
    <row r="2901" spans="8:8" x14ac:dyDescent="0.2">
      <c r="H2901" s="11" t="str">
        <f>IFERROR(VLOOKUP(tbl_product_scores[[#This Row],[product_key]],tbl_products[[product_key]:[group_display_key]],2,FALSE),"")</f>
        <v/>
      </c>
    </row>
    <row r="2902" spans="8:8" x14ac:dyDescent="0.2">
      <c r="H2902" s="11" t="str">
        <f>IFERROR(VLOOKUP(tbl_product_scores[[#This Row],[product_key]],tbl_products[[product_key]:[group_display_key]],2,FALSE),"")</f>
        <v/>
      </c>
    </row>
    <row r="2903" spans="8:8" x14ac:dyDescent="0.2">
      <c r="H2903" s="11" t="str">
        <f>IFERROR(VLOOKUP(tbl_product_scores[[#This Row],[product_key]],tbl_products[[product_key]:[group_display_key]],2,FALSE),"")</f>
        <v/>
      </c>
    </row>
    <row r="2904" spans="8:8" x14ac:dyDescent="0.2">
      <c r="H2904" s="11" t="str">
        <f>IFERROR(VLOOKUP(tbl_product_scores[[#This Row],[product_key]],tbl_products[[product_key]:[group_display_key]],2,FALSE),"")</f>
        <v/>
      </c>
    </row>
    <row r="2905" spans="8:8" x14ac:dyDescent="0.2">
      <c r="H2905" s="11" t="str">
        <f>IFERROR(VLOOKUP(tbl_product_scores[[#This Row],[product_key]],tbl_products[[product_key]:[group_display_key]],2,FALSE),"")</f>
        <v/>
      </c>
    </row>
    <row r="2906" spans="8:8" x14ac:dyDescent="0.2">
      <c r="H2906" s="11" t="str">
        <f>IFERROR(VLOOKUP(tbl_product_scores[[#This Row],[product_key]],tbl_products[[product_key]:[group_display_key]],2,FALSE),"")</f>
        <v/>
      </c>
    </row>
    <row r="2907" spans="8:8" x14ac:dyDescent="0.2">
      <c r="H2907" s="11" t="str">
        <f>IFERROR(VLOOKUP(tbl_product_scores[[#This Row],[product_key]],tbl_products[[product_key]:[group_display_key]],2,FALSE),"")</f>
        <v/>
      </c>
    </row>
    <row r="2908" spans="8:8" x14ac:dyDescent="0.2">
      <c r="H2908" s="11" t="str">
        <f>IFERROR(VLOOKUP(tbl_product_scores[[#This Row],[product_key]],tbl_products[[product_key]:[group_display_key]],2,FALSE),"")</f>
        <v/>
      </c>
    </row>
    <row r="2909" spans="8:8" x14ac:dyDescent="0.2">
      <c r="H2909" s="11" t="str">
        <f>IFERROR(VLOOKUP(tbl_product_scores[[#This Row],[product_key]],tbl_products[[product_key]:[group_display_key]],2,FALSE),"")</f>
        <v/>
      </c>
    </row>
    <row r="2910" spans="8:8" x14ac:dyDescent="0.2">
      <c r="H2910" s="11" t="str">
        <f>IFERROR(VLOOKUP(tbl_product_scores[[#This Row],[product_key]],tbl_products[[product_key]:[group_display_key]],2,FALSE),"")</f>
        <v/>
      </c>
    </row>
    <row r="2911" spans="8:8" x14ac:dyDescent="0.2">
      <c r="H2911" s="11" t="str">
        <f>IFERROR(VLOOKUP(tbl_product_scores[[#This Row],[product_key]],tbl_products[[product_key]:[group_display_key]],2,FALSE),"")</f>
        <v/>
      </c>
    </row>
    <row r="2912" spans="8:8" x14ac:dyDescent="0.2">
      <c r="H2912" s="11" t="str">
        <f>IFERROR(VLOOKUP(tbl_product_scores[[#This Row],[product_key]],tbl_products[[product_key]:[group_display_key]],2,FALSE),"")</f>
        <v/>
      </c>
    </row>
    <row r="2913" spans="8:8" x14ac:dyDescent="0.2">
      <c r="H2913" s="11" t="str">
        <f>IFERROR(VLOOKUP(tbl_product_scores[[#This Row],[product_key]],tbl_products[[product_key]:[group_display_key]],2,FALSE),"")</f>
        <v/>
      </c>
    </row>
    <row r="2914" spans="8:8" x14ac:dyDescent="0.2">
      <c r="H2914" s="11" t="str">
        <f>IFERROR(VLOOKUP(tbl_product_scores[[#This Row],[product_key]],tbl_products[[product_key]:[group_display_key]],2,FALSE),"")</f>
        <v/>
      </c>
    </row>
    <row r="2915" spans="8:8" x14ac:dyDescent="0.2">
      <c r="H2915" s="11" t="str">
        <f>IFERROR(VLOOKUP(tbl_product_scores[[#This Row],[product_key]],tbl_products[[product_key]:[group_display_key]],2,FALSE),"")</f>
        <v/>
      </c>
    </row>
    <row r="2916" spans="8:8" x14ac:dyDescent="0.2">
      <c r="H2916" s="11" t="str">
        <f>IFERROR(VLOOKUP(tbl_product_scores[[#This Row],[product_key]],tbl_products[[product_key]:[group_display_key]],2,FALSE),"")</f>
        <v/>
      </c>
    </row>
    <row r="2917" spans="8:8" x14ac:dyDescent="0.2">
      <c r="H2917" s="11" t="str">
        <f>IFERROR(VLOOKUP(tbl_product_scores[[#This Row],[product_key]],tbl_products[[product_key]:[group_display_key]],2,FALSE),"")</f>
        <v/>
      </c>
    </row>
    <row r="2918" spans="8:8" x14ac:dyDescent="0.2">
      <c r="H2918" s="11" t="str">
        <f>IFERROR(VLOOKUP(tbl_product_scores[[#This Row],[product_key]],tbl_products[[product_key]:[group_display_key]],2,FALSE),"")</f>
        <v/>
      </c>
    </row>
    <row r="2919" spans="8:8" x14ac:dyDescent="0.2">
      <c r="H2919" s="11" t="str">
        <f>IFERROR(VLOOKUP(tbl_product_scores[[#This Row],[product_key]],tbl_products[[product_key]:[group_display_key]],2,FALSE),"")</f>
        <v/>
      </c>
    </row>
    <row r="2920" spans="8:8" x14ac:dyDescent="0.2">
      <c r="H2920" s="11" t="str">
        <f>IFERROR(VLOOKUP(tbl_product_scores[[#This Row],[product_key]],tbl_products[[product_key]:[group_display_key]],2,FALSE),"")</f>
        <v/>
      </c>
    </row>
    <row r="2921" spans="8:8" x14ac:dyDescent="0.2">
      <c r="H2921" s="11" t="str">
        <f>IFERROR(VLOOKUP(tbl_product_scores[[#This Row],[product_key]],tbl_products[[product_key]:[group_display_key]],2,FALSE),"")</f>
        <v/>
      </c>
    </row>
    <row r="2922" spans="8:8" x14ac:dyDescent="0.2">
      <c r="H2922" s="11" t="str">
        <f>IFERROR(VLOOKUP(tbl_product_scores[[#This Row],[product_key]],tbl_products[[product_key]:[group_display_key]],2,FALSE),"")</f>
        <v/>
      </c>
    </row>
    <row r="2923" spans="8:8" x14ac:dyDescent="0.2">
      <c r="H2923" s="11" t="str">
        <f>IFERROR(VLOOKUP(tbl_product_scores[[#This Row],[product_key]],tbl_products[[product_key]:[group_display_key]],2,FALSE),"")</f>
        <v/>
      </c>
    </row>
    <row r="2924" spans="8:8" x14ac:dyDescent="0.2">
      <c r="H2924" s="11" t="str">
        <f>IFERROR(VLOOKUP(tbl_product_scores[[#This Row],[product_key]],tbl_products[[product_key]:[group_display_key]],2,FALSE),"")</f>
        <v/>
      </c>
    </row>
    <row r="2925" spans="8:8" x14ac:dyDescent="0.2">
      <c r="H2925" s="11" t="str">
        <f>IFERROR(VLOOKUP(tbl_product_scores[[#This Row],[product_key]],tbl_products[[product_key]:[group_display_key]],2,FALSE),"")</f>
        <v/>
      </c>
    </row>
    <row r="2926" spans="8:8" x14ac:dyDescent="0.2">
      <c r="H2926" s="11" t="str">
        <f>IFERROR(VLOOKUP(tbl_product_scores[[#This Row],[product_key]],tbl_products[[product_key]:[group_display_key]],2,FALSE),"")</f>
        <v/>
      </c>
    </row>
    <row r="2927" spans="8:8" x14ac:dyDescent="0.2">
      <c r="H2927" s="11" t="str">
        <f>IFERROR(VLOOKUP(tbl_product_scores[[#This Row],[product_key]],tbl_products[[product_key]:[group_display_key]],2,FALSE),"")</f>
        <v/>
      </c>
    </row>
    <row r="2928" spans="8:8" x14ac:dyDescent="0.2">
      <c r="H2928" s="11" t="str">
        <f>IFERROR(VLOOKUP(tbl_product_scores[[#This Row],[product_key]],tbl_products[[product_key]:[group_display_key]],2,FALSE),"")</f>
        <v/>
      </c>
    </row>
    <row r="2929" spans="8:8" x14ac:dyDescent="0.2">
      <c r="H2929" s="11" t="str">
        <f>IFERROR(VLOOKUP(tbl_product_scores[[#This Row],[product_key]],tbl_products[[product_key]:[group_display_key]],2,FALSE),"")</f>
        <v/>
      </c>
    </row>
    <row r="2930" spans="8:8" x14ac:dyDescent="0.2">
      <c r="H2930" s="11" t="str">
        <f>IFERROR(VLOOKUP(tbl_product_scores[[#This Row],[product_key]],tbl_products[[product_key]:[group_display_key]],2,FALSE),"")</f>
        <v/>
      </c>
    </row>
    <row r="2931" spans="8:8" x14ac:dyDescent="0.2">
      <c r="H2931" s="11" t="str">
        <f>IFERROR(VLOOKUP(tbl_product_scores[[#This Row],[product_key]],tbl_products[[product_key]:[group_display_key]],2,FALSE),"")</f>
        <v/>
      </c>
    </row>
    <row r="2932" spans="8:8" x14ac:dyDescent="0.2">
      <c r="H2932" s="11" t="str">
        <f>IFERROR(VLOOKUP(tbl_product_scores[[#This Row],[product_key]],tbl_products[[product_key]:[group_display_key]],2,FALSE),"")</f>
        <v/>
      </c>
    </row>
    <row r="2933" spans="8:8" x14ac:dyDescent="0.2">
      <c r="H2933" s="11" t="str">
        <f>IFERROR(VLOOKUP(tbl_product_scores[[#This Row],[product_key]],tbl_products[[product_key]:[group_display_key]],2,FALSE),"")</f>
        <v/>
      </c>
    </row>
    <row r="2934" spans="8:8" x14ac:dyDescent="0.2">
      <c r="H2934" s="11" t="str">
        <f>IFERROR(VLOOKUP(tbl_product_scores[[#This Row],[product_key]],tbl_products[[product_key]:[group_display_key]],2,FALSE),"")</f>
        <v/>
      </c>
    </row>
    <row r="2935" spans="8:8" x14ac:dyDescent="0.2">
      <c r="H2935" s="11" t="str">
        <f>IFERROR(VLOOKUP(tbl_product_scores[[#This Row],[product_key]],tbl_products[[product_key]:[group_display_key]],2,FALSE),"")</f>
        <v/>
      </c>
    </row>
    <row r="2936" spans="8:8" x14ac:dyDescent="0.2">
      <c r="H2936" s="11" t="str">
        <f>IFERROR(VLOOKUP(tbl_product_scores[[#This Row],[product_key]],tbl_products[[product_key]:[group_display_key]],2,FALSE),"")</f>
        <v/>
      </c>
    </row>
    <row r="2937" spans="8:8" x14ac:dyDescent="0.2">
      <c r="H2937" s="11" t="str">
        <f>IFERROR(VLOOKUP(tbl_product_scores[[#This Row],[product_key]],tbl_products[[product_key]:[group_display_key]],2,FALSE),"")</f>
        <v/>
      </c>
    </row>
    <row r="2938" spans="8:8" x14ac:dyDescent="0.2">
      <c r="H2938" s="11" t="str">
        <f>IFERROR(VLOOKUP(tbl_product_scores[[#This Row],[product_key]],tbl_products[[product_key]:[group_display_key]],2,FALSE),"")</f>
        <v/>
      </c>
    </row>
    <row r="2939" spans="8:8" x14ac:dyDescent="0.2">
      <c r="H2939" s="11" t="str">
        <f>IFERROR(VLOOKUP(tbl_product_scores[[#This Row],[product_key]],tbl_products[[product_key]:[group_display_key]],2,FALSE),"")</f>
        <v/>
      </c>
    </row>
    <row r="2940" spans="8:8" x14ac:dyDescent="0.2">
      <c r="H2940" s="11" t="str">
        <f>IFERROR(VLOOKUP(tbl_product_scores[[#This Row],[product_key]],tbl_products[[product_key]:[group_display_key]],2,FALSE),"")</f>
        <v/>
      </c>
    </row>
    <row r="2941" spans="8:8" x14ac:dyDescent="0.2">
      <c r="H2941" s="11" t="str">
        <f>IFERROR(VLOOKUP(tbl_product_scores[[#This Row],[product_key]],tbl_products[[product_key]:[group_display_key]],2,FALSE),"")</f>
        <v/>
      </c>
    </row>
    <row r="2942" spans="8:8" x14ac:dyDescent="0.2">
      <c r="H2942" s="11" t="str">
        <f>IFERROR(VLOOKUP(tbl_product_scores[[#This Row],[product_key]],tbl_products[[product_key]:[group_display_key]],2,FALSE),"")</f>
        <v/>
      </c>
    </row>
    <row r="2943" spans="8:8" x14ac:dyDescent="0.2">
      <c r="H2943" s="11" t="str">
        <f>IFERROR(VLOOKUP(tbl_product_scores[[#This Row],[product_key]],tbl_products[[product_key]:[group_display_key]],2,FALSE),"")</f>
        <v/>
      </c>
    </row>
    <row r="2944" spans="8:8" x14ac:dyDescent="0.2">
      <c r="H2944" s="11" t="str">
        <f>IFERROR(VLOOKUP(tbl_product_scores[[#This Row],[product_key]],tbl_products[[product_key]:[group_display_key]],2,FALSE),"")</f>
        <v/>
      </c>
    </row>
    <row r="2945" spans="8:8" x14ac:dyDescent="0.2">
      <c r="H2945" s="11" t="str">
        <f>IFERROR(VLOOKUP(tbl_product_scores[[#This Row],[product_key]],tbl_products[[product_key]:[group_display_key]],2,FALSE),"")</f>
        <v/>
      </c>
    </row>
    <row r="2946" spans="8:8" x14ac:dyDescent="0.2">
      <c r="H2946" s="11" t="str">
        <f>IFERROR(VLOOKUP(tbl_product_scores[[#This Row],[product_key]],tbl_products[[product_key]:[group_display_key]],2,FALSE),"")</f>
        <v/>
      </c>
    </row>
    <row r="2947" spans="8:8" x14ac:dyDescent="0.2">
      <c r="H2947" s="11" t="str">
        <f>IFERROR(VLOOKUP(tbl_product_scores[[#This Row],[product_key]],tbl_products[[product_key]:[group_display_key]],2,FALSE),"")</f>
        <v/>
      </c>
    </row>
    <row r="2948" spans="8:8" x14ac:dyDescent="0.2">
      <c r="H2948" s="11" t="str">
        <f>IFERROR(VLOOKUP(tbl_product_scores[[#This Row],[product_key]],tbl_products[[product_key]:[group_display_key]],2,FALSE),"")</f>
        <v/>
      </c>
    </row>
    <row r="2949" spans="8:8" x14ac:dyDescent="0.2">
      <c r="H2949" s="11" t="str">
        <f>IFERROR(VLOOKUP(tbl_product_scores[[#This Row],[product_key]],tbl_products[[product_key]:[group_display_key]],2,FALSE),"")</f>
        <v/>
      </c>
    </row>
    <row r="2950" spans="8:8" x14ac:dyDescent="0.2">
      <c r="H2950" s="11" t="str">
        <f>IFERROR(VLOOKUP(tbl_product_scores[[#This Row],[product_key]],tbl_products[[product_key]:[group_display_key]],2,FALSE),"")</f>
        <v/>
      </c>
    </row>
    <row r="2951" spans="8:8" x14ac:dyDescent="0.2">
      <c r="H2951" s="11" t="str">
        <f>IFERROR(VLOOKUP(tbl_product_scores[[#This Row],[product_key]],tbl_products[[product_key]:[group_display_key]],2,FALSE),"")</f>
        <v/>
      </c>
    </row>
    <row r="2952" spans="8:8" x14ac:dyDescent="0.2">
      <c r="H2952" s="11" t="str">
        <f>IFERROR(VLOOKUP(tbl_product_scores[[#This Row],[product_key]],tbl_products[[product_key]:[group_display_key]],2,FALSE),"")</f>
        <v/>
      </c>
    </row>
    <row r="2953" spans="8:8" x14ac:dyDescent="0.2">
      <c r="H2953" s="11" t="str">
        <f>IFERROR(VLOOKUP(tbl_product_scores[[#This Row],[product_key]],tbl_products[[product_key]:[group_display_key]],2,FALSE),"")</f>
        <v/>
      </c>
    </row>
    <row r="2954" spans="8:8" x14ac:dyDescent="0.2">
      <c r="H2954" s="11" t="str">
        <f>IFERROR(VLOOKUP(tbl_product_scores[[#This Row],[product_key]],tbl_products[[product_key]:[group_display_key]],2,FALSE),"")</f>
        <v/>
      </c>
    </row>
    <row r="2955" spans="8:8" x14ac:dyDescent="0.2">
      <c r="H2955" s="11" t="str">
        <f>IFERROR(VLOOKUP(tbl_product_scores[[#This Row],[product_key]],tbl_products[[product_key]:[group_display_key]],2,FALSE),"")</f>
        <v/>
      </c>
    </row>
    <row r="2956" spans="8:8" x14ac:dyDescent="0.2">
      <c r="H2956" s="11" t="str">
        <f>IFERROR(VLOOKUP(tbl_product_scores[[#This Row],[product_key]],tbl_products[[product_key]:[group_display_key]],2,FALSE),"")</f>
        <v/>
      </c>
    </row>
    <row r="2957" spans="8:8" x14ac:dyDescent="0.2">
      <c r="H2957" s="11" t="str">
        <f>IFERROR(VLOOKUP(tbl_product_scores[[#This Row],[product_key]],tbl_products[[product_key]:[group_display_key]],2,FALSE),"")</f>
        <v/>
      </c>
    </row>
    <row r="2958" spans="8:8" x14ac:dyDescent="0.2">
      <c r="H2958" s="11" t="str">
        <f>IFERROR(VLOOKUP(tbl_product_scores[[#This Row],[product_key]],tbl_products[[product_key]:[group_display_key]],2,FALSE),"")</f>
        <v/>
      </c>
    </row>
    <row r="2959" spans="8:8" x14ac:dyDescent="0.2">
      <c r="H2959" s="11" t="str">
        <f>IFERROR(VLOOKUP(tbl_product_scores[[#This Row],[product_key]],tbl_products[[product_key]:[group_display_key]],2,FALSE),"")</f>
        <v/>
      </c>
    </row>
    <row r="2960" spans="8:8" x14ac:dyDescent="0.2">
      <c r="H2960" s="11" t="str">
        <f>IFERROR(VLOOKUP(tbl_product_scores[[#This Row],[product_key]],tbl_products[[product_key]:[group_display_key]],2,FALSE),"")</f>
        <v/>
      </c>
    </row>
    <row r="2961" spans="8:8" x14ac:dyDescent="0.2">
      <c r="H2961" s="11" t="str">
        <f>IFERROR(VLOOKUP(tbl_product_scores[[#This Row],[product_key]],tbl_products[[product_key]:[group_display_key]],2,FALSE),"")</f>
        <v/>
      </c>
    </row>
    <row r="2962" spans="8:8" x14ac:dyDescent="0.2">
      <c r="H2962" s="11" t="str">
        <f>IFERROR(VLOOKUP(tbl_product_scores[[#This Row],[product_key]],tbl_products[[product_key]:[group_display_key]],2,FALSE),"")</f>
        <v/>
      </c>
    </row>
    <row r="2963" spans="8:8" x14ac:dyDescent="0.2">
      <c r="H2963" s="11" t="str">
        <f>IFERROR(VLOOKUP(tbl_product_scores[[#This Row],[product_key]],tbl_products[[product_key]:[group_display_key]],2,FALSE),"")</f>
        <v/>
      </c>
    </row>
    <row r="2964" spans="8:8" x14ac:dyDescent="0.2">
      <c r="H2964" s="11" t="str">
        <f>IFERROR(VLOOKUP(tbl_product_scores[[#This Row],[product_key]],tbl_products[[product_key]:[group_display_key]],2,FALSE),"")</f>
        <v/>
      </c>
    </row>
    <row r="2965" spans="8:8" x14ac:dyDescent="0.2">
      <c r="H2965" s="11" t="str">
        <f>IFERROR(VLOOKUP(tbl_product_scores[[#This Row],[product_key]],tbl_products[[product_key]:[group_display_key]],2,FALSE),"")</f>
        <v/>
      </c>
    </row>
    <row r="2966" spans="8:8" x14ac:dyDescent="0.2">
      <c r="H2966" s="11" t="str">
        <f>IFERROR(VLOOKUP(tbl_product_scores[[#This Row],[product_key]],tbl_products[[product_key]:[group_display_key]],2,FALSE),"")</f>
        <v/>
      </c>
    </row>
    <row r="2967" spans="8:8" x14ac:dyDescent="0.2">
      <c r="H2967" s="11" t="str">
        <f>IFERROR(VLOOKUP(tbl_product_scores[[#This Row],[product_key]],tbl_products[[product_key]:[group_display_key]],2,FALSE),"")</f>
        <v/>
      </c>
    </row>
    <row r="2968" spans="8:8" x14ac:dyDescent="0.2">
      <c r="H2968" s="11" t="str">
        <f>IFERROR(VLOOKUP(tbl_product_scores[[#This Row],[product_key]],tbl_products[[product_key]:[group_display_key]],2,FALSE),"")</f>
        <v/>
      </c>
    </row>
    <row r="2969" spans="8:8" x14ac:dyDescent="0.2">
      <c r="H2969" s="11" t="str">
        <f>IFERROR(VLOOKUP(tbl_product_scores[[#This Row],[product_key]],tbl_products[[product_key]:[group_display_key]],2,FALSE),"")</f>
        <v/>
      </c>
    </row>
    <row r="2970" spans="8:8" x14ac:dyDescent="0.2">
      <c r="H2970" s="11" t="str">
        <f>IFERROR(VLOOKUP(tbl_product_scores[[#This Row],[product_key]],tbl_products[[product_key]:[group_display_key]],2,FALSE),"")</f>
        <v/>
      </c>
    </row>
    <row r="2971" spans="8:8" x14ac:dyDescent="0.2">
      <c r="H2971" s="11" t="str">
        <f>IFERROR(VLOOKUP(tbl_product_scores[[#This Row],[product_key]],tbl_products[[product_key]:[group_display_key]],2,FALSE),"")</f>
        <v/>
      </c>
    </row>
    <row r="2972" spans="8:8" x14ac:dyDescent="0.2">
      <c r="H2972" s="11" t="str">
        <f>IFERROR(VLOOKUP(tbl_product_scores[[#This Row],[product_key]],tbl_products[[product_key]:[group_display_key]],2,FALSE),"")</f>
        <v/>
      </c>
    </row>
    <row r="2973" spans="8:8" x14ac:dyDescent="0.2">
      <c r="H2973" s="11" t="str">
        <f>IFERROR(VLOOKUP(tbl_product_scores[[#This Row],[product_key]],tbl_products[[product_key]:[group_display_key]],2,FALSE),"")</f>
        <v/>
      </c>
    </row>
    <row r="2974" spans="8:8" x14ac:dyDescent="0.2">
      <c r="H2974" s="11" t="str">
        <f>IFERROR(VLOOKUP(tbl_product_scores[[#This Row],[product_key]],tbl_products[[product_key]:[group_display_key]],2,FALSE),"")</f>
        <v/>
      </c>
    </row>
    <row r="2975" spans="8:8" x14ac:dyDescent="0.2">
      <c r="H2975" s="11" t="str">
        <f>IFERROR(VLOOKUP(tbl_product_scores[[#This Row],[product_key]],tbl_products[[product_key]:[group_display_key]],2,FALSE),"")</f>
        <v/>
      </c>
    </row>
    <row r="2976" spans="8:8" x14ac:dyDescent="0.2">
      <c r="H2976" s="11" t="str">
        <f>IFERROR(VLOOKUP(tbl_product_scores[[#This Row],[product_key]],tbl_products[[product_key]:[group_display_key]],2,FALSE),"")</f>
        <v/>
      </c>
    </row>
    <row r="2977" spans="8:8" x14ac:dyDescent="0.2">
      <c r="H2977" s="11" t="str">
        <f>IFERROR(VLOOKUP(tbl_product_scores[[#This Row],[product_key]],tbl_products[[product_key]:[group_display_key]],2,FALSE),"")</f>
        <v/>
      </c>
    </row>
    <row r="2978" spans="8:8" x14ac:dyDescent="0.2">
      <c r="H2978" s="11" t="str">
        <f>IFERROR(VLOOKUP(tbl_product_scores[[#This Row],[product_key]],tbl_products[[product_key]:[group_display_key]],2,FALSE),"")</f>
        <v/>
      </c>
    </row>
    <row r="2979" spans="8:8" x14ac:dyDescent="0.2">
      <c r="H2979" s="11" t="str">
        <f>IFERROR(VLOOKUP(tbl_product_scores[[#This Row],[product_key]],tbl_products[[product_key]:[group_display_key]],2,FALSE),"")</f>
        <v/>
      </c>
    </row>
    <row r="2980" spans="8:8" x14ac:dyDescent="0.2">
      <c r="H2980" s="11" t="str">
        <f>IFERROR(VLOOKUP(tbl_product_scores[[#This Row],[product_key]],tbl_products[[product_key]:[group_display_key]],2,FALSE),"")</f>
        <v/>
      </c>
    </row>
    <row r="2981" spans="8:8" x14ac:dyDescent="0.2">
      <c r="H2981" s="11" t="str">
        <f>IFERROR(VLOOKUP(tbl_product_scores[[#This Row],[product_key]],tbl_products[[product_key]:[group_display_key]],2,FALSE),"")</f>
        <v/>
      </c>
    </row>
    <row r="2982" spans="8:8" x14ac:dyDescent="0.2">
      <c r="H2982" s="11" t="str">
        <f>IFERROR(VLOOKUP(tbl_product_scores[[#This Row],[product_key]],tbl_products[[product_key]:[group_display_key]],2,FALSE),"")</f>
        <v/>
      </c>
    </row>
    <row r="2983" spans="8:8" x14ac:dyDescent="0.2">
      <c r="H2983" s="11" t="str">
        <f>IFERROR(VLOOKUP(tbl_product_scores[[#This Row],[product_key]],tbl_products[[product_key]:[group_display_key]],2,FALSE),"")</f>
        <v/>
      </c>
    </row>
    <row r="2984" spans="8:8" x14ac:dyDescent="0.2">
      <c r="H2984" s="11" t="str">
        <f>IFERROR(VLOOKUP(tbl_product_scores[[#This Row],[product_key]],tbl_products[[product_key]:[group_display_key]],2,FALSE),"")</f>
        <v/>
      </c>
    </row>
    <row r="2985" spans="8:8" x14ac:dyDescent="0.2">
      <c r="H2985" s="11" t="str">
        <f>IFERROR(VLOOKUP(tbl_product_scores[[#This Row],[product_key]],tbl_products[[product_key]:[group_display_key]],2,FALSE),"")</f>
        <v/>
      </c>
    </row>
    <row r="2986" spans="8:8" x14ac:dyDescent="0.2">
      <c r="H2986" s="11" t="str">
        <f>IFERROR(VLOOKUP(tbl_product_scores[[#This Row],[product_key]],tbl_products[[product_key]:[group_display_key]],2,FALSE),"")</f>
        <v/>
      </c>
    </row>
    <row r="2987" spans="8:8" x14ac:dyDescent="0.2">
      <c r="H2987" s="11" t="str">
        <f>IFERROR(VLOOKUP(tbl_product_scores[[#This Row],[product_key]],tbl_products[[product_key]:[group_display_key]],2,FALSE),"")</f>
        <v/>
      </c>
    </row>
    <row r="2988" spans="8:8" x14ac:dyDescent="0.2">
      <c r="H2988" s="11" t="str">
        <f>IFERROR(VLOOKUP(tbl_product_scores[[#This Row],[product_key]],tbl_products[[product_key]:[group_display_key]],2,FALSE),"")</f>
        <v/>
      </c>
    </row>
    <row r="2989" spans="8:8" x14ac:dyDescent="0.2">
      <c r="H2989" s="11" t="str">
        <f>IFERROR(VLOOKUP(tbl_product_scores[[#This Row],[product_key]],tbl_products[[product_key]:[group_display_key]],2,FALSE),"")</f>
        <v/>
      </c>
    </row>
    <row r="2990" spans="8:8" x14ac:dyDescent="0.2">
      <c r="H2990" s="11" t="str">
        <f>IFERROR(VLOOKUP(tbl_product_scores[[#This Row],[product_key]],tbl_products[[product_key]:[group_display_key]],2,FALSE),"")</f>
        <v/>
      </c>
    </row>
    <row r="2991" spans="8:8" x14ac:dyDescent="0.2">
      <c r="H2991" s="11" t="str">
        <f>IFERROR(VLOOKUP(tbl_product_scores[[#This Row],[product_key]],tbl_products[[product_key]:[group_display_key]],2,FALSE),"")</f>
        <v/>
      </c>
    </row>
    <row r="2992" spans="8:8" x14ac:dyDescent="0.2">
      <c r="H2992" s="11" t="str">
        <f>IFERROR(VLOOKUP(tbl_product_scores[[#This Row],[product_key]],tbl_products[[product_key]:[group_display_key]],2,FALSE),"")</f>
        <v/>
      </c>
    </row>
    <row r="2993" spans="8:8" x14ac:dyDescent="0.2">
      <c r="H2993" s="11" t="str">
        <f>IFERROR(VLOOKUP(tbl_product_scores[[#This Row],[product_key]],tbl_products[[product_key]:[group_display_key]],2,FALSE),"")</f>
        <v/>
      </c>
    </row>
    <row r="2994" spans="8:8" x14ac:dyDescent="0.2">
      <c r="H2994" s="11" t="str">
        <f>IFERROR(VLOOKUP(tbl_product_scores[[#This Row],[product_key]],tbl_products[[product_key]:[group_display_key]],2,FALSE),"")</f>
        <v/>
      </c>
    </row>
    <row r="2995" spans="8:8" x14ac:dyDescent="0.2">
      <c r="H2995" s="11" t="str">
        <f>IFERROR(VLOOKUP(tbl_product_scores[[#This Row],[product_key]],tbl_products[[product_key]:[group_display_key]],2,FALSE),"")</f>
        <v/>
      </c>
    </row>
    <row r="2996" spans="8:8" x14ac:dyDescent="0.2">
      <c r="H2996" s="11" t="str">
        <f>IFERROR(VLOOKUP(tbl_product_scores[[#This Row],[product_key]],tbl_products[[product_key]:[group_display_key]],2,FALSE),"")</f>
        <v/>
      </c>
    </row>
    <row r="2997" spans="8:8" x14ac:dyDescent="0.2">
      <c r="H2997" s="11" t="str">
        <f>IFERROR(VLOOKUP(tbl_product_scores[[#This Row],[product_key]],tbl_products[[product_key]:[group_display_key]],2,FALSE),"")</f>
        <v/>
      </c>
    </row>
    <row r="2998" spans="8:8" x14ac:dyDescent="0.2">
      <c r="H2998" s="11" t="str">
        <f>IFERROR(VLOOKUP(tbl_product_scores[[#This Row],[product_key]],tbl_products[[product_key]:[group_display_key]],2,FALSE),"")</f>
        <v/>
      </c>
    </row>
    <row r="2999" spans="8:8" x14ac:dyDescent="0.2">
      <c r="H2999" s="11" t="str">
        <f>IFERROR(VLOOKUP(tbl_product_scores[[#This Row],[product_key]],tbl_products[[product_key]:[group_display_key]],2,FALSE),"")</f>
        <v/>
      </c>
    </row>
    <row r="3000" spans="8:8" x14ac:dyDescent="0.2">
      <c r="H3000" s="11" t="str">
        <f>IFERROR(VLOOKUP(tbl_product_scores[[#This Row],[product_key]],tbl_products[[product_key]:[group_display_key]],2,FALSE),"")</f>
        <v/>
      </c>
    </row>
    <row r="3001" spans="8:8" x14ac:dyDescent="0.2">
      <c r="H3001" s="11" t="str">
        <f>IFERROR(VLOOKUP(tbl_product_scores[[#This Row],[product_key]],tbl_products[[product_key]:[group_display_key]],2,FALSE),"")</f>
        <v/>
      </c>
    </row>
    <row r="3002" spans="8:8" x14ac:dyDescent="0.2">
      <c r="H3002" s="11" t="str">
        <f>IFERROR(VLOOKUP(tbl_product_scores[[#This Row],[product_key]],tbl_products[[product_key]:[group_display_key]],2,FALSE),"")</f>
        <v/>
      </c>
    </row>
    <row r="3003" spans="8:8" x14ac:dyDescent="0.2">
      <c r="H3003" s="11" t="str">
        <f>IFERROR(VLOOKUP(tbl_product_scores[[#This Row],[product_key]],tbl_products[[product_key]:[group_display_key]],2,FALSE),"")</f>
        <v/>
      </c>
    </row>
    <row r="3004" spans="8:8" x14ac:dyDescent="0.2">
      <c r="H3004" s="11" t="str">
        <f>IFERROR(VLOOKUP(tbl_product_scores[[#This Row],[product_key]],tbl_products[[product_key]:[group_display_key]],2,FALSE),"")</f>
        <v/>
      </c>
    </row>
    <row r="3005" spans="8:8" x14ac:dyDescent="0.2">
      <c r="H3005" s="11" t="str">
        <f>IFERROR(VLOOKUP(tbl_product_scores[[#This Row],[product_key]],tbl_products[[product_key]:[group_display_key]],2,FALSE),"")</f>
        <v/>
      </c>
    </row>
    <row r="3006" spans="8:8" x14ac:dyDescent="0.2">
      <c r="H3006" s="11" t="str">
        <f>IFERROR(VLOOKUP(tbl_product_scores[[#This Row],[product_key]],tbl_products[[product_key]:[group_display_key]],2,FALSE),"")</f>
        <v/>
      </c>
    </row>
    <row r="3007" spans="8:8" x14ac:dyDescent="0.2">
      <c r="H3007" s="11" t="str">
        <f>IFERROR(VLOOKUP(tbl_product_scores[[#This Row],[product_key]],tbl_products[[product_key]:[group_display_key]],2,FALSE),"")</f>
        <v/>
      </c>
    </row>
    <row r="3008" spans="8:8" x14ac:dyDescent="0.2">
      <c r="H3008" s="11" t="str">
        <f>IFERROR(VLOOKUP(tbl_product_scores[[#This Row],[product_key]],tbl_products[[product_key]:[group_display_key]],2,FALSE),"")</f>
        <v/>
      </c>
    </row>
    <row r="3009" spans="8:8" x14ac:dyDescent="0.2">
      <c r="H3009" s="11" t="str">
        <f>IFERROR(VLOOKUP(tbl_product_scores[[#This Row],[product_key]],tbl_products[[product_key]:[group_display_key]],2,FALSE),"")</f>
        <v/>
      </c>
    </row>
    <row r="3010" spans="8:8" x14ac:dyDescent="0.2">
      <c r="H3010" s="11" t="str">
        <f>IFERROR(VLOOKUP(tbl_product_scores[[#This Row],[product_key]],tbl_products[[product_key]:[group_display_key]],2,FALSE),"")</f>
        <v/>
      </c>
    </row>
    <row r="3011" spans="8:8" x14ac:dyDescent="0.2">
      <c r="H3011" s="11" t="str">
        <f>IFERROR(VLOOKUP(tbl_product_scores[[#This Row],[product_key]],tbl_products[[product_key]:[group_display_key]],2,FALSE),"")</f>
        <v/>
      </c>
    </row>
    <row r="3012" spans="8:8" x14ac:dyDescent="0.2">
      <c r="H3012" s="11" t="str">
        <f>IFERROR(VLOOKUP(tbl_product_scores[[#This Row],[product_key]],tbl_products[[product_key]:[group_display_key]],2,FALSE),"")</f>
        <v/>
      </c>
    </row>
    <row r="3013" spans="8:8" x14ac:dyDescent="0.2">
      <c r="H3013" s="11" t="str">
        <f>IFERROR(VLOOKUP(tbl_product_scores[[#This Row],[product_key]],tbl_products[[product_key]:[group_display_key]],2,FALSE),"")</f>
        <v/>
      </c>
    </row>
    <row r="3014" spans="8:8" x14ac:dyDescent="0.2">
      <c r="H3014" s="11" t="str">
        <f>IFERROR(VLOOKUP(tbl_product_scores[[#This Row],[product_key]],tbl_products[[product_key]:[group_display_key]],2,FALSE),"")</f>
        <v/>
      </c>
    </row>
    <row r="3015" spans="8:8" x14ac:dyDescent="0.2">
      <c r="H3015" s="11" t="str">
        <f>IFERROR(VLOOKUP(tbl_product_scores[[#This Row],[product_key]],tbl_products[[product_key]:[group_display_key]],2,FALSE),"")</f>
        <v/>
      </c>
    </row>
    <row r="3016" spans="8:8" x14ac:dyDescent="0.2">
      <c r="H3016" s="11" t="str">
        <f>IFERROR(VLOOKUP(tbl_product_scores[[#This Row],[product_key]],tbl_products[[product_key]:[group_display_key]],2,FALSE),"")</f>
        <v/>
      </c>
    </row>
    <row r="3017" spans="8:8" x14ac:dyDescent="0.2">
      <c r="H3017" s="11" t="str">
        <f>IFERROR(VLOOKUP(tbl_product_scores[[#This Row],[product_key]],tbl_products[[product_key]:[group_display_key]],2,FALSE),"")</f>
        <v/>
      </c>
    </row>
    <row r="3018" spans="8:8" x14ac:dyDescent="0.2">
      <c r="H3018" s="11" t="str">
        <f>IFERROR(VLOOKUP(tbl_product_scores[[#This Row],[product_key]],tbl_products[[product_key]:[group_display_key]],2,FALSE),"")</f>
        <v/>
      </c>
    </row>
    <row r="3019" spans="8:8" x14ac:dyDescent="0.2">
      <c r="H3019" s="11" t="str">
        <f>IFERROR(VLOOKUP(tbl_product_scores[[#This Row],[product_key]],tbl_products[[product_key]:[group_display_key]],2,FALSE),"")</f>
        <v/>
      </c>
    </row>
    <row r="3020" spans="8:8" x14ac:dyDescent="0.2">
      <c r="H3020" s="11" t="str">
        <f>IFERROR(VLOOKUP(tbl_product_scores[[#This Row],[product_key]],tbl_products[[product_key]:[group_display_key]],2,FALSE),"")</f>
        <v/>
      </c>
    </row>
    <row r="3021" spans="8:8" x14ac:dyDescent="0.2">
      <c r="H3021" s="11" t="str">
        <f>IFERROR(VLOOKUP(tbl_product_scores[[#This Row],[product_key]],tbl_products[[product_key]:[group_display_key]],2,FALSE),"")</f>
        <v/>
      </c>
    </row>
    <row r="3022" spans="8:8" x14ac:dyDescent="0.2">
      <c r="H3022" s="11" t="str">
        <f>IFERROR(VLOOKUP(tbl_product_scores[[#This Row],[product_key]],tbl_products[[product_key]:[group_display_key]],2,FALSE),"")</f>
        <v/>
      </c>
    </row>
    <row r="3023" spans="8:8" x14ac:dyDescent="0.2">
      <c r="H3023" s="11" t="str">
        <f>IFERROR(VLOOKUP(tbl_product_scores[[#This Row],[product_key]],tbl_products[[product_key]:[group_display_key]],2,FALSE),"")</f>
        <v/>
      </c>
    </row>
    <row r="3024" spans="8:8" x14ac:dyDescent="0.2">
      <c r="H3024" s="11" t="str">
        <f>IFERROR(VLOOKUP(tbl_product_scores[[#This Row],[product_key]],tbl_products[[product_key]:[group_display_key]],2,FALSE),"")</f>
        <v/>
      </c>
    </row>
    <row r="3025" spans="8:8" x14ac:dyDescent="0.2">
      <c r="H3025" s="11" t="str">
        <f>IFERROR(VLOOKUP(tbl_product_scores[[#This Row],[product_key]],tbl_products[[product_key]:[group_display_key]],2,FALSE),"")</f>
        <v/>
      </c>
    </row>
    <row r="3026" spans="8:8" x14ac:dyDescent="0.2">
      <c r="H3026" s="11" t="str">
        <f>IFERROR(VLOOKUP(tbl_product_scores[[#This Row],[product_key]],tbl_products[[product_key]:[group_display_key]],2,FALSE),"")</f>
        <v/>
      </c>
    </row>
    <row r="3027" spans="8:8" x14ac:dyDescent="0.2">
      <c r="H3027" s="11" t="str">
        <f>IFERROR(VLOOKUP(tbl_product_scores[[#This Row],[product_key]],tbl_products[[product_key]:[group_display_key]],2,FALSE),"")</f>
        <v/>
      </c>
    </row>
    <row r="3028" spans="8:8" x14ac:dyDescent="0.2">
      <c r="H3028" s="11" t="str">
        <f>IFERROR(VLOOKUP(tbl_product_scores[[#This Row],[product_key]],tbl_products[[product_key]:[group_display_key]],2,FALSE),"")</f>
        <v/>
      </c>
    </row>
    <row r="3029" spans="8:8" x14ac:dyDescent="0.2">
      <c r="H3029" s="11" t="str">
        <f>IFERROR(VLOOKUP(tbl_product_scores[[#This Row],[product_key]],tbl_products[[product_key]:[group_display_key]],2,FALSE),"")</f>
        <v/>
      </c>
    </row>
    <row r="3030" spans="8:8" x14ac:dyDescent="0.2">
      <c r="H3030" s="11" t="str">
        <f>IFERROR(VLOOKUP(tbl_product_scores[[#This Row],[product_key]],tbl_products[[product_key]:[group_display_key]],2,FALSE),"")</f>
        <v/>
      </c>
    </row>
    <row r="3031" spans="8:8" x14ac:dyDescent="0.2">
      <c r="H3031" s="11" t="str">
        <f>IFERROR(VLOOKUP(tbl_product_scores[[#This Row],[product_key]],tbl_products[[product_key]:[group_display_key]],2,FALSE),"")</f>
        <v/>
      </c>
    </row>
    <row r="3032" spans="8:8" x14ac:dyDescent="0.2">
      <c r="H3032" s="11" t="str">
        <f>IFERROR(VLOOKUP(tbl_product_scores[[#This Row],[product_key]],tbl_products[[product_key]:[group_display_key]],2,FALSE),"")</f>
        <v/>
      </c>
    </row>
    <row r="3033" spans="8:8" x14ac:dyDescent="0.2">
      <c r="H3033" s="11" t="str">
        <f>IFERROR(VLOOKUP(tbl_product_scores[[#This Row],[product_key]],tbl_products[[product_key]:[group_display_key]],2,FALSE),"")</f>
        <v/>
      </c>
    </row>
    <row r="3034" spans="8:8" x14ac:dyDescent="0.2">
      <c r="H3034" s="11" t="str">
        <f>IFERROR(VLOOKUP(tbl_product_scores[[#This Row],[product_key]],tbl_products[[product_key]:[group_display_key]],2,FALSE),"")</f>
        <v/>
      </c>
    </row>
    <row r="3035" spans="8:8" x14ac:dyDescent="0.2">
      <c r="H3035" s="11" t="str">
        <f>IFERROR(VLOOKUP(tbl_product_scores[[#This Row],[product_key]],tbl_products[[product_key]:[group_display_key]],2,FALSE),"")</f>
        <v/>
      </c>
    </row>
    <row r="3036" spans="8:8" x14ac:dyDescent="0.2">
      <c r="H3036" s="11" t="str">
        <f>IFERROR(VLOOKUP(tbl_product_scores[[#This Row],[product_key]],tbl_products[[product_key]:[group_display_key]],2,FALSE),"")</f>
        <v/>
      </c>
    </row>
    <row r="3037" spans="8:8" x14ac:dyDescent="0.2">
      <c r="H3037" s="11" t="str">
        <f>IFERROR(VLOOKUP(tbl_product_scores[[#This Row],[product_key]],tbl_products[[product_key]:[group_display_key]],2,FALSE),"")</f>
        <v/>
      </c>
    </row>
    <row r="3038" spans="8:8" x14ac:dyDescent="0.2">
      <c r="H3038" s="11" t="str">
        <f>IFERROR(VLOOKUP(tbl_product_scores[[#This Row],[product_key]],tbl_products[[product_key]:[group_display_key]],2,FALSE),"")</f>
        <v/>
      </c>
    </row>
    <row r="3039" spans="8:8" x14ac:dyDescent="0.2">
      <c r="H3039" s="11" t="str">
        <f>IFERROR(VLOOKUP(tbl_product_scores[[#This Row],[product_key]],tbl_products[[product_key]:[group_display_key]],2,FALSE),"")</f>
        <v/>
      </c>
    </row>
    <row r="3040" spans="8:8" x14ac:dyDescent="0.2">
      <c r="H3040" s="11" t="str">
        <f>IFERROR(VLOOKUP(tbl_product_scores[[#This Row],[product_key]],tbl_products[[product_key]:[group_display_key]],2,FALSE),"")</f>
        <v/>
      </c>
    </row>
    <row r="3041" spans="8:8" x14ac:dyDescent="0.2">
      <c r="H3041" s="11" t="str">
        <f>IFERROR(VLOOKUP(tbl_product_scores[[#This Row],[product_key]],tbl_products[[product_key]:[group_display_key]],2,FALSE),"")</f>
        <v/>
      </c>
    </row>
    <row r="3042" spans="8:8" x14ac:dyDescent="0.2">
      <c r="H3042" s="11" t="str">
        <f>IFERROR(VLOOKUP(tbl_product_scores[[#This Row],[product_key]],tbl_products[[product_key]:[group_display_key]],2,FALSE),"")</f>
        <v/>
      </c>
    </row>
    <row r="3043" spans="8:8" x14ac:dyDescent="0.2">
      <c r="H3043" s="11" t="str">
        <f>IFERROR(VLOOKUP(tbl_product_scores[[#This Row],[product_key]],tbl_products[[product_key]:[group_display_key]],2,FALSE),"")</f>
        <v/>
      </c>
    </row>
    <row r="3044" spans="8:8" x14ac:dyDescent="0.2">
      <c r="H3044" s="11" t="str">
        <f>IFERROR(VLOOKUP(tbl_product_scores[[#This Row],[product_key]],tbl_products[[product_key]:[group_display_key]],2,FALSE),"")</f>
        <v/>
      </c>
    </row>
    <row r="3045" spans="8:8" x14ac:dyDescent="0.2">
      <c r="H3045" s="11" t="str">
        <f>IFERROR(VLOOKUP(tbl_product_scores[[#This Row],[product_key]],tbl_products[[product_key]:[group_display_key]],2,FALSE),"")</f>
        <v/>
      </c>
    </row>
    <row r="3046" spans="8:8" x14ac:dyDescent="0.2">
      <c r="H3046" s="11" t="str">
        <f>IFERROR(VLOOKUP(tbl_product_scores[[#This Row],[product_key]],tbl_products[[product_key]:[group_display_key]],2,FALSE),"")</f>
        <v/>
      </c>
    </row>
    <row r="3047" spans="8:8" x14ac:dyDescent="0.2">
      <c r="H3047" s="11" t="str">
        <f>IFERROR(VLOOKUP(tbl_product_scores[[#This Row],[product_key]],tbl_products[[product_key]:[group_display_key]],2,FALSE),"")</f>
        <v/>
      </c>
    </row>
    <row r="3048" spans="8:8" x14ac:dyDescent="0.2">
      <c r="H3048" s="11" t="str">
        <f>IFERROR(VLOOKUP(tbl_product_scores[[#This Row],[product_key]],tbl_products[[product_key]:[group_display_key]],2,FALSE),"")</f>
        <v/>
      </c>
    </row>
    <row r="3049" spans="8:8" x14ac:dyDescent="0.2">
      <c r="H3049" s="11" t="str">
        <f>IFERROR(VLOOKUP(tbl_product_scores[[#This Row],[product_key]],tbl_products[[product_key]:[group_display_key]],2,FALSE),"")</f>
        <v/>
      </c>
    </row>
    <row r="3050" spans="8:8" x14ac:dyDescent="0.2">
      <c r="H3050" s="11" t="str">
        <f>IFERROR(VLOOKUP(tbl_product_scores[[#This Row],[product_key]],tbl_products[[product_key]:[group_display_key]],2,FALSE),"")</f>
        <v/>
      </c>
    </row>
    <row r="3051" spans="8:8" x14ac:dyDescent="0.2">
      <c r="H3051" s="11" t="str">
        <f>IFERROR(VLOOKUP(tbl_product_scores[[#This Row],[product_key]],tbl_products[[product_key]:[group_display_key]],2,FALSE),"")</f>
        <v/>
      </c>
    </row>
    <row r="3052" spans="8:8" x14ac:dyDescent="0.2">
      <c r="H3052" s="11" t="str">
        <f>IFERROR(VLOOKUP(tbl_product_scores[[#This Row],[product_key]],tbl_products[[product_key]:[group_display_key]],2,FALSE),"")</f>
        <v/>
      </c>
    </row>
    <row r="3053" spans="8:8" x14ac:dyDescent="0.2">
      <c r="H3053" s="11" t="str">
        <f>IFERROR(VLOOKUP(tbl_product_scores[[#This Row],[product_key]],tbl_products[[product_key]:[group_display_key]],2,FALSE),"")</f>
        <v/>
      </c>
    </row>
    <row r="3054" spans="8:8" x14ac:dyDescent="0.2">
      <c r="H3054" s="11" t="str">
        <f>IFERROR(VLOOKUP(tbl_product_scores[[#This Row],[product_key]],tbl_products[[product_key]:[group_display_key]],2,FALSE),"")</f>
        <v/>
      </c>
    </row>
    <row r="3055" spans="8:8" x14ac:dyDescent="0.2">
      <c r="H3055" s="11" t="str">
        <f>IFERROR(VLOOKUP(tbl_product_scores[[#This Row],[product_key]],tbl_products[[product_key]:[group_display_key]],2,FALSE),"")</f>
        <v/>
      </c>
    </row>
    <row r="3056" spans="8:8" x14ac:dyDescent="0.2">
      <c r="H3056" s="11" t="str">
        <f>IFERROR(VLOOKUP(tbl_product_scores[[#This Row],[product_key]],tbl_products[[product_key]:[group_display_key]],2,FALSE),"")</f>
        <v/>
      </c>
    </row>
    <row r="3057" spans="8:8" x14ac:dyDescent="0.2">
      <c r="H3057" s="11" t="str">
        <f>IFERROR(VLOOKUP(tbl_product_scores[[#This Row],[product_key]],tbl_products[[product_key]:[group_display_key]],2,FALSE),"")</f>
        <v/>
      </c>
    </row>
    <row r="3058" spans="8:8" x14ac:dyDescent="0.2">
      <c r="H3058" s="11" t="str">
        <f>IFERROR(VLOOKUP(tbl_product_scores[[#This Row],[product_key]],tbl_products[[product_key]:[group_display_key]],2,FALSE),"")</f>
        <v/>
      </c>
    </row>
    <row r="3059" spans="8:8" x14ac:dyDescent="0.2">
      <c r="H3059" s="11" t="str">
        <f>IFERROR(VLOOKUP(tbl_product_scores[[#This Row],[product_key]],tbl_products[[product_key]:[group_display_key]],2,FALSE),"")</f>
        <v/>
      </c>
    </row>
    <row r="3060" spans="8:8" x14ac:dyDescent="0.2">
      <c r="H3060" s="11" t="str">
        <f>IFERROR(VLOOKUP(tbl_product_scores[[#This Row],[product_key]],tbl_products[[product_key]:[group_display_key]],2,FALSE),"")</f>
        <v/>
      </c>
    </row>
    <row r="3061" spans="8:8" x14ac:dyDescent="0.2">
      <c r="H3061" s="11" t="str">
        <f>IFERROR(VLOOKUP(tbl_product_scores[[#This Row],[product_key]],tbl_products[[product_key]:[group_display_key]],2,FALSE),"")</f>
        <v/>
      </c>
    </row>
    <row r="3062" spans="8:8" x14ac:dyDescent="0.2">
      <c r="H3062" s="11" t="str">
        <f>IFERROR(VLOOKUP(tbl_product_scores[[#This Row],[product_key]],tbl_products[[product_key]:[group_display_key]],2,FALSE),"")</f>
        <v/>
      </c>
    </row>
    <row r="3063" spans="8:8" x14ac:dyDescent="0.2">
      <c r="H3063" s="11" t="str">
        <f>IFERROR(VLOOKUP(tbl_product_scores[[#This Row],[product_key]],tbl_products[[product_key]:[group_display_key]],2,FALSE),"")</f>
        <v/>
      </c>
    </row>
    <row r="3064" spans="8:8" x14ac:dyDescent="0.2">
      <c r="H3064" s="11" t="str">
        <f>IFERROR(VLOOKUP(tbl_product_scores[[#This Row],[product_key]],tbl_products[[product_key]:[group_display_key]],2,FALSE),"")</f>
        <v/>
      </c>
    </row>
    <row r="3065" spans="8:8" x14ac:dyDescent="0.2">
      <c r="H3065" s="11" t="str">
        <f>IFERROR(VLOOKUP(tbl_product_scores[[#This Row],[product_key]],tbl_products[[product_key]:[group_display_key]],2,FALSE),"")</f>
        <v/>
      </c>
    </row>
    <row r="3066" spans="8:8" x14ac:dyDescent="0.2">
      <c r="H3066" s="11" t="str">
        <f>IFERROR(VLOOKUP(tbl_product_scores[[#This Row],[product_key]],tbl_products[[product_key]:[group_display_key]],2,FALSE),"")</f>
        <v/>
      </c>
    </row>
    <row r="3067" spans="8:8" x14ac:dyDescent="0.2">
      <c r="H3067" s="11" t="str">
        <f>IFERROR(VLOOKUP(tbl_product_scores[[#This Row],[product_key]],tbl_products[[product_key]:[group_display_key]],2,FALSE),"")</f>
        <v/>
      </c>
    </row>
    <row r="3068" spans="8:8" x14ac:dyDescent="0.2">
      <c r="H3068" s="11" t="str">
        <f>IFERROR(VLOOKUP(tbl_product_scores[[#This Row],[product_key]],tbl_products[[product_key]:[group_display_key]],2,FALSE),"")</f>
        <v/>
      </c>
    </row>
    <row r="3069" spans="8:8" x14ac:dyDescent="0.2">
      <c r="H3069" s="11" t="str">
        <f>IFERROR(VLOOKUP(tbl_product_scores[[#This Row],[product_key]],tbl_products[[product_key]:[group_display_key]],2,FALSE),"")</f>
        <v/>
      </c>
    </row>
    <row r="3070" spans="8:8" x14ac:dyDescent="0.2">
      <c r="H3070" s="11" t="str">
        <f>IFERROR(VLOOKUP(tbl_product_scores[[#This Row],[product_key]],tbl_products[[product_key]:[group_display_key]],2,FALSE),"")</f>
        <v/>
      </c>
    </row>
    <row r="3071" spans="8:8" x14ac:dyDescent="0.2">
      <c r="H3071" s="11" t="str">
        <f>IFERROR(VLOOKUP(tbl_product_scores[[#This Row],[product_key]],tbl_products[[product_key]:[group_display_key]],2,FALSE),"")</f>
        <v/>
      </c>
    </row>
    <row r="3072" spans="8:8" x14ac:dyDescent="0.2">
      <c r="H3072" s="11" t="str">
        <f>IFERROR(VLOOKUP(tbl_product_scores[[#This Row],[product_key]],tbl_products[[product_key]:[group_display_key]],2,FALSE),"")</f>
        <v/>
      </c>
    </row>
    <row r="3073" spans="8:8" x14ac:dyDescent="0.2">
      <c r="H3073" s="11" t="str">
        <f>IFERROR(VLOOKUP(tbl_product_scores[[#This Row],[product_key]],tbl_products[[product_key]:[group_display_key]],2,FALSE),"")</f>
        <v/>
      </c>
    </row>
    <row r="3074" spans="8:8" x14ac:dyDescent="0.2">
      <c r="H3074" s="11" t="str">
        <f>IFERROR(VLOOKUP(tbl_product_scores[[#This Row],[product_key]],tbl_products[[product_key]:[group_display_key]],2,FALSE),"")</f>
        <v/>
      </c>
    </row>
    <row r="3075" spans="8:8" x14ac:dyDescent="0.2">
      <c r="H3075" s="11" t="str">
        <f>IFERROR(VLOOKUP(tbl_product_scores[[#This Row],[product_key]],tbl_products[[product_key]:[group_display_key]],2,FALSE),"")</f>
        <v/>
      </c>
    </row>
    <row r="3076" spans="8:8" x14ac:dyDescent="0.2">
      <c r="H3076" s="11" t="str">
        <f>IFERROR(VLOOKUP(tbl_product_scores[[#This Row],[product_key]],tbl_products[[product_key]:[group_display_key]],2,FALSE),"")</f>
        <v/>
      </c>
    </row>
    <row r="3077" spans="8:8" x14ac:dyDescent="0.2">
      <c r="H3077" s="11" t="str">
        <f>IFERROR(VLOOKUP(tbl_product_scores[[#This Row],[product_key]],tbl_products[[product_key]:[group_display_key]],2,FALSE),"")</f>
        <v/>
      </c>
    </row>
    <row r="3078" spans="8:8" x14ac:dyDescent="0.2">
      <c r="H3078" s="11" t="str">
        <f>IFERROR(VLOOKUP(tbl_product_scores[[#This Row],[product_key]],tbl_products[[product_key]:[group_display_key]],2,FALSE),"")</f>
        <v/>
      </c>
    </row>
    <row r="3079" spans="8:8" x14ac:dyDescent="0.2">
      <c r="H3079" s="11" t="str">
        <f>IFERROR(VLOOKUP(tbl_product_scores[[#This Row],[product_key]],tbl_products[[product_key]:[group_display_key]],2,FALSE),"")</f>
        <v/>
      </c>
    </row>
    <row r="3080" spans="8:8" x14ac:dyDescent="0.2">
      <c r="H3080" s="11" t="str">
        <f>IFERROR(VLOOKUP(tbl_product_scores[[#This Row],[product_key]],tbl_products[[product_key]:[group_display_key]],2,FALSE),"")</f>
        <v/>
      </c>
    </row>
    <row r="3081" spans="8:8" x14ac:dyDescent="0.2">
      <c r="H3081" s="11" t="str">
        <f>IFERROR(VLOOKUP(tbl_product_scores[[#This Row],[product_key]],tbl_products[[product_key]:[group_display_key]],2,FALSE),"")</f>
        <v/>
      </c>
    </row>
    <row r="3082" spans="8:8" x14ac:dyDescent="0.2">
      <c r="H3082" s="11" t="str">
        <f>IFERROR(VLOOKUP(tbl_product_scores[[#This Row],[product_key]],tbl_products[[product_key]:[group_display_key]],2,FALSE),"")</f>
        <v/>
      </c>
    </row>
    <row r="3083" spans="8:8" x14ac:dyDescent="0.2">
      <c r="H3083" s="11" t="str">
        <f>IFERROR(VLOOKUP(tbl_product_scores[[#This Row],[product_key]],tbl_products[[product_key]:[group_display_key]],2,FALSE),"")</f>
        <v/>
      </c>
    </row>
    <row r="3084" spans="8:8" x14ac:dyDescent="0.2">
      <c r="H3084" s="11" t="str">
        <f>IFERROR(VLOOKUP(tbl_product_scores[[#This Row],[product_key]],tbl_products[[product_key]:[group_display_key]],2,FALSE),"")</f>
        <v/>
      </c>
    </row>
    <row r="3085" spans="8:8" x14ac:dyDescent="0.2">
      <c r="H3085" s="11" t="str">
        <f>IFERROR(VLOOKUP(tbl_product_scores[[#This Row],[product_key]],tbl_products[[product_key]:[group_display_key]],2,FALSE),"")</f>
        <v/>
      </c>
    </row>
    <row r="3086" spans="8:8" x14ac:dyDescent="0.2">
      <c r="H3086" s="11" t="str">
        <f>IFERROR(VLOOKUP(tbl_product_scores[[#This Row],[product_key]],tbl_products[[product_key]:[group_display_key]],2,FALSE),"")</f>
        <v/>
      </c>
    </row>
    <row r="3087" spans="8:8" x14ac:dyDescent="0.2">
      <c r="H3087" s="11" t="str">
        <f>IFERROR(VLOOKUP(tbl_product_scores[[#This Row],[product_key]],tbl_products[[product_key]:[group_display_key]],2,FALSE),"")</f>
        <v/>
      </c>
    </row>
    <row r="3088" spans="8:8" x14ac:dyDescent="0.2">
      <c r="H3088" s="11" t="str">
        <f>IFERROR(VLOOKUP(tbl_product_scores[[#This Row],[product_key]],tbl_products[[product_key]:[group_display_key]],2,FALSE),"")</f>
        <v/>
      </c>
    </row>
    <row r="3089" spans="8:8" x14ac:dyDescent="0.2">
      <c r="H3089" s="11" t="str">
        <f>IFERROR(VLOOKUP(tbl_product_scores[[#This Row],[product_key]],tbl_products[[product_key]:[group_display_key]],2,FALSE),"")</f>
        <v/>
      </c>
    </row>
    <row r="3090" spans="8:8" x14ac:dyDescent="0.2">
      <c r="H3090" s="11" t="str">
        <f>IFERROR(VLOOKUP(tbl_product_scores[[#This Row],[product_key]],tbl_products[[product_key]:[group_display_key]],2,FALSE),"")</f>
        <v/>
      </c>
    </row>
    <row r="3091" spans="8:8" x14ac:dyDescent="0.2">
      <c r="H3091" s="11" t="str">
        <f>IFERROR(VLOOKUP(tbl_product_scores[[#This Row],[product_key]],tbl_products[[product_key]:[group_display_key]],2,FALSE),"")</f>
        <v/>
      </c>
    </row>
    <row r="3092" spans="8:8" x14ac:dyDescent="0.2">
      <c r="H3092" s="11" t="str">
        <f>IFERROR(VLOOKUP(tbl_product_scores[[#This Row],[product_key]],tbl_products[[product_key]:[group_display_key]],2,FALSE),"")</f>
        <v/>
      </c>
    </row>
    <row r="3093" spans="8:8" x14ac:dyDescent="0.2">
      <c r="H3093" s="11" t="str">
        <f>IFERROR(VLOOKUP(tbl_product_scores[[#This Row],[product_key]],tbl_products[[product_key]:[group_display_key]],2,FALSE),"")</f>
        <v/>
      </c>
    </row>
    <row r="3094" spans="8:8" x14ac:dyDescent="0.2">
      <c r="H3094" s="11" t="str">
        <f>IFERROR(VLOOKUP(tbl_product_scores[[#This Row],[product_key]],tbl_products[[product_key]:[group_display_key]],2,FALSE),"")</f>
        <v/>
      </c>
    </row>
    <row r="3095" spans="8:8" x14ac:dyDescent="0.2">
      <c r="H3095" s="11" t="str">
        <f>IFERROR(VLOOKUP(tbl_product_scores[[#This Row],[product_key]],tbl_products[[product_key]:[group_display_key]],2,FALSE),"")</f>
        <v/>
      </c>
    </row>
    <row r="3096" spans="8:8" x14ac:dyDescent="0.2">
      <c r="H3096" s="11" t="str">
        <f>IFERROR(VLOOKUP(tbl_product_scores[[#This Row],[product_key]],tbl_products[[product_key]:[group_display_key]],2,FALSE),"")</f>
        <v/>
      </c>
    </row>
    <row r="3097" spans="8:8" x14ac:dyDescent="0.2">
      <c r="H3097" s="11" t="str">
        <f>IFERROR(VLOOKUP(tbl_product_scores[[#This Row],[product_key]],tbl_products[[product_key]:[group_display_key]],2,FALSE),"")</f>
        <v/>
      </c>
    </row>
    <row r="3098" spans="8:8" x14ac:dyDescent="0.2">
      <c r="H3098" s="11" t="str">
        <f>IFERROR(VLOOKUP(tbl_product_scores[[#This Row],[product_key]],tbl_products[[product_key]:[group_display_key]],2,FALSE),"")</f>
        <v/>
      </c>
    </row>
    <row r="3099" spans="8:8" x14ac:dyDescent="0.2">
      <c r="H3099" s="11" t="str">
        <f>IFERROR(VLOOKUP(tbl_product_scores[[#This Row],[product_key]],tbl_products[[product_key]:[group_display_key]],2,FALSE),"")</f>
        <v/>
      </c>
    </row>
    <row r="3100" spans="8:8" x14ac:dyDescent="0.2">
      <c r="H3100" s="11" t="str">
        <f>IFERROR(VLOOKUP(tbl_product_scores[[#This Row],[product_key]],tbl_products[[product_key]:[group_display_key]],2,FALSE),"")</f>
        <v/>
      </c>
    </row>
    <row r="3101" spans="8:8" x14ac:dyDescent="0.2">
      <c r="H3101" s="11" t="str">
        <f>IFERROR(VLOOKUP(tbl_product_scores[[#This Row],[product_key]],tbl_products[[product_key]:[group_display_key]],2,FALSE),"")</f>
        <v/>
      </c>
    </row>
    <row r="3102" spans="8:8" x14ac:dyDescent="0.2">
      <c r="H3102" s="11" t="str">
        <f>IFERROR(VLOOKUP(tbl_product_scores[[#This Row],[product_key]],tbl_products[[product_key]:[group_display_key]],2,FALSE),"")</f>
        <v/>
      </c>
    </row>
    <row r="3103" spans="8:8" x14ac:dyDescent="0.2">
      <c r="H3103" s="11" t="str">
        <f>IFERROR(VLOOKUP(tbl_product_scores[[#This Row],[product_key]],tbl_products[[product_key]:[group_display_key]],2,FALSE),"")</f>
        <v/>
      </c>
    </row>
    <row r="3104" spans="8:8" x14ac:dyDescent="0.2">
      <c r="H3104" s="11" t="str">
        <f>IFERROR(VLOOKUP(tbl_product_scores[[#This Row],[product_key]],tbl_products[[product_key]:[group_display_key]],2,FALSE),"")</f>
        <v/>
      </c>
    </row>
    <row r="3105" spans="8:8" x14ac:dyDescent="0.2">
      <c r="H3105" s="11" t="str">
        <f>IFERROR(VLOOKUP(tbl_product_scores[[#This Row],[product_key]],tbl_products[[product_key]:[group_display_key]],2,FALSE),"")</f>
        <v/>
      </c>
    </row>
    <row r="3106" spans="8:8" x14ac:dyDescent="0.2">
      <c r="H3106" s="11" t="str">
        <f>IFERROR(VLOOKUP(tbl_product_scores[[#This Row],[product_key]],tbl_products[[product_key]:[group_display_key]],2,FALSE),"")</f>
        <v/>
      </c>
    </row>
    <row r="3107" spans="8:8" x14ac:dyDescent="0.2">
      <c r="H3107" s="11" t="str">
        <f>IFERROR(VLOOKUP(tbl_product_scores[[#This Row],[product_key]],tbl_products[[product_key]:[group_display_key]],2,FALSE),"")</f>
        <v/>
      </c>
    </row>
    <row r="3108" spans="8:8" x14ac:dyDescent="0.2">
      <c r="H3108" s="11" t="str">
        <f>IFERROR(VLOOKUP(tbl_product_scores[[#This Row],[product_key]],tbl_products[[product_key]:[group_display_key]],2,FALSE),"")</f>
        <v/>
      </c>
    </row>
    <row r="3109" spans="8:8" x14ac:dyDescent="0.2">
      <c r="H3109" s="11" t="str">
        <f>IFERROR(VLOOKUP(tbl_product_scores[[#This Row],[product_key]],tbl_products[[product_key]:[group_display_key]],2,FALSE),"")</f>
        <v/>
      </c>
    </row>
    <row r="3110" spans="8:8" x14ac:dyDescent="0.2">
      <c r="H3110" s="11" t="str">
        <f>IFERROR(VLOOKUP(tbl_product_scores[[#This Row],[product_key]],tbl_products[[product_key]:[group_display_key]],2,FALSE),"")</f>
        <v/>
      </c>
    </row>
    <row r="3111" spans="8:8" x14ac:dyDescent="0.2">
      <c r="H3111" s="11" t="str">
        <f>IFERROR(VLOOKUP(tbl_product_scores[[#This Row],[product_key]],tbl_products[[product_key]:[group_display_key]],2,FALSE),"")</f>
        <v/>
      </c>
    </row>
    <row r="3112" spans="8:8" x14ac:dyDescent="0.2">
      <c r="H3112" s="11" t="str">
        <f>IFERROR(VLOOKUP(tbl_product_scores[[#This Row],[product_key]],tbl_products[[product_key]:[group_display_key]],2,FALSE),"")</f>
        <v/>
      </c>
    </row>
    <row r="3113" spans="8:8" x14ac:dyDescent="0.2">
      <c r="H3113" s="11" t="str">
        <f>IFERROR(VLOOKUP(tbl_product_scores[[#This Row],[product_key]],tbl_products[[product_key]:[group_display_key]],2,FALSE),"")</f>
        <v/>
      </c>
    </row>
    <row r="3114" spans="8:8" x14ac:dyDescent="0.2">
      <c r="H3114" s="11" t="str">
        <f>IFERROR(VLOOKUP(tbl_product_scores[[#This Row],[product_key]],tbl_products[[product_key]:[group_display_key]],2,FALSE),"")</f>
        <v/>
      </c>
    </row>
    <row r="3115" spans="8:8" x14ac:dyDescent="0.2">
      <c r="H3115" s="11" t="str">
        <f>IFERROR(VLOOKUP(tbl_product_scores[[#This Row],[product_key]],tbl_products[[product_key]:[group_display_key]],2,FALSE),"")</f>
        <v/>
      </c>
    </row>
    <row r="3116" spans="8:8" x14ac:dyDescent="0.2">
      <c r="H3116" s="11" t="str">
        <f>IFERROR(VLOOKUP(tbl_product_scores[[#This Row],[product_key]],tbl_products[[product_key]:[group_display_key]],2,FALSE),"")</f>
        <v/>
      </c>
    </row>
    <row r="3117" spans="8:8" x14ac:dyDescent="0.2">
      <c r="H3117" s="11" t="str">
        <f>IFERROR(VLOOKUP(tbl_product_scores[[#This Row],[product_key]],tbl_products[[product_key]:[group_display_key]],2,FALSE),"")</f>
        <v/>
      </c>
    </row>
    <row r="3118" spans="8:8" x14ac:dyDescent="0.2">
      <c r="H3118" s="11" t="str">
        <f>IFERROR(VLOOKUP(tbl_product_scores[[#This Row],[product_key]],tbl_products[[product_key]:[group_display_key]],2,FALSE),"")</f>
        <v/>
      </c>
    </row>
    <row r="3119" spans="8:8" x14ac:dyDescent="0.2">
      <c r="H3119" s="11" t="str">
        <f>IFERROR(VLOOKUP(tbl_product_scores[[#This Row],[product_key]],tbl_products[[product_key]:[group_display_key]],2,FALSE),"")</f>
        <v/>
      </c>
    </row>
    <row r="3120" spans="8:8" x14ac:dyDescent="0.2">
      <c r="H3120" s="11" t="str">
        <f>IFERROR(VLOOKUP(tbl_product_scores[[#This Row],[product_key]],tbl_products[[product_key]:[group_display_key]],2,FALSE),"")</f>
        <v/>
      </c>
    </row>
    <row r="3121" spans="8:8" x14ac:dyDescent="0.2">
      <c r="H3121" s="11" t="str">
        <f>IFERROR(VLOOKUP(tbl_product_scores[[#This Row],[product_key]],tbl_products[[product_key]:[group_display_key]],2,FALSE),"")</f>
        <v/>
      </c>
    </row>
    <row r="3122" spans="8:8" x14ac:dyDescent="0.2">
      <c r="H3122" s="11" t="str">
        <f>IFERROR(VLOOKUP(tbl_product_scores[[#This Row],[product_key]],tbl_products[[product_key]:[group_display_key]],2,FALSE),"")</f>
        <v/>
      </c>
    </row>
    <row r="3123" spans="8:8" x14ac:dyDescent="0.2">
      <c r="H3123" s="11" t="str">
        <f>IFERROR(VLOOKUP(tbl_product_scores[[#This Row],[product_key]],tbl_products[[product_key]:[group_display_key]],2,FALSE),"")</f>
        <v/>
      </c>
    </row>
    <row r="3124" spans="8:8" x14ac:dyDescent="0.2">
      <c r="H3124" s="11" t="str">
        <f>IFERROR(VLOOKUP(tbl_product_scores[[#This Row],[product_key]],tbl_products[[product_key]:[group_display_key]],2,FALSE),"")</f>
        <v/>
      </c>
    </row>
    <row r="3125" spans="8:8" x14ac:dyDescent="0.2">
      <c r="H3125" s="11" t="str">
        <f>IFERROR(VLOOKUP(tbl_product_scores[[#This Row],[product_key]],tbl_products[[product_key]:[group_display_key]],2,FALSE),"")</f>
        <v/>
      </c>
    </row>
    <row r="3126" spans="8:8" x14ac:dyDescent="0.2">
      <c r="H3126" s="11" t="str">
        <f>IFERROR(VLOOKUP(tbl_product_scores[[#This Row],[product_key]],tbl_products[[product_key]:[group_display_key]],2,FALSE),"")</f>
        <v/>
      </c>
    </row>
    <row r="3127" spans="8:8" x14ac:dyDescent="0.2">
      <c r="H3127" s="11" t="str">
        <f>IFERROR(VLOOKUP(tbl_product_scores[[#This Row],[product_key]],tbl_products[[product_key]:[group_display_key]],2,FALSE),"")</f>
        <v/>
      </c>
    </row>
    <row r="3128" spans="8:8" x14ac:dyDescent="0.2">
      <c r="H3128" s="11" t="str">
        <f>IFERROR(VLOOKUP(tbl_product_scores[[#This Row],[product_key]],tbl_products[[product_key]:[group_display_key]],2,FALSE),"")</f>
        <v/>
      </c>
    </row>
    <row r="3129" spans="8:8" x14ac:dyDescent="0.2">
      <c r="H3129" s="11" t="str">
        <f>IFERROR(VLOOKUP(tbl_product_scores[[#This Row],[product_key]],tbl_products[[product_key]:[group_display_key]],2,FALSE),"")</f>
        <v/>
      </c>
    </row>
    <row r="3130" spans="8:8" x14ac:dyDescent="0.2">
      <c r="H3130" s="11" t="str">
        <f>IFERROR(VLOOKUP(tbl_product_scores[[#This Row],[product_key]],tbl_products[[product_key]:[group_display_key]],2,FALSE),"")</f>
        <v/>
      </c>
    </row>
    <row r="3131" spans="8:8" x14ac:dyDescent="0.2">
      <c r="H3131" s="11" t="str">
        <f>IFERROR(VLOOKUP(tbl_product_scores[[#This Row],[product_key]],tbl_products[[product_key]:[group_display_key]],2,FALSE),"")</f>
        <v/>
      </c>
    </row>
    <row r="3132" spans="8:8" x14ac:dyDescent="0.2">
      <c r="H3132" s="11" t="str">
        <f>IFERROR(VLOOKUP(tbl_product_scores[[#This Row],[product_key]],tbl_products[[product_key]:[group_display_key]],2,FALSE),"")</f>
        <v/>
      </c>
    </row>
    <row r="3133" spans="8:8" x14ac:dyDescent="0.2">
      <c r="H3133" s="11" t="str">
        <f>IFERROR(VLOOKUP(tbl_product_scores[[#This Row],[product_key]],tbl_products[[product_key]:[group_display_key]],2,FALSE),"")</f>
        <v/>
      </c>
    </row>
    <row r="3134" spans="8:8" x14ac:dyDescent="0.2">
      <c r="H3134" s="11" t="str">
        <f>IFERROR(VLOOKUP(tbl_product_scores[[#This Row],[product_key]],tbl_products[[product_key]:[group_display_key]],2,FALSE),"")</f>
        <v/>
      </c>
    </row>
    <row r="3135" spans="8:8" x14ac:dyDescent="0.2">
      <c r="H3135" s="11" t="str">
        <f>IFERROR(VLOOKUP(tbl_product_scores[[#This Row],[product_key]],tbl_products[[product_key]:[group_display_key]],2,FALSE),"")</f>
        <v/>
      </c>
    </row>
    <row r="3136" spans="8:8" x14ac:dyDescent="0.2">
      <c r="H3136" s="11" t="str">
        <f>IFERROR(VLOOKUP(tbl_product_scores[[#This Row],[product_key]],tbl_products[[product_key]:[group_display_key]],2,FALSE),"")</f>
        <v/>
      </c>
    </row>
    <row r="3137" spans="8:8" x14ac:dyDescent="0.2">
      <c r="H3137" s="11" t="str">
        <f>IFERROR(VLOOKUP(tbl_product_scores[[#This Row],[product_key]],tbl_products[[product_key]:[group_display_key]],2,FALSE),"")</f>
        <v/>
      </c>
    </row>
    <row r="3138" spans="8:8" x14ac:dyDescent="0.2">
      <c r="H3138" s="11" t="str">
        <f>IFERROR(VLOOKUP(tbl_product_scores[[#This Row],[product_key]],tbl_products[[product_key]:[group_display_key]],2,FALSE),"")</f>
        <v/>
      </c>
    </row>
    <row r="3139" spans="8:8" x14ac:dyDescent="0.2">
      <c r="H3139" s="11" t="str">
        <f>IFERROR(VLOOKUP(tbl_product_scores[[#This Row],[product_key]],tbl_products[[product_key]:[group_display_key]],2,FALSE),"")</f>
        <v/>
      </c>
    </row>
    <row r="3140" spans="8:8" x14ac:dyDescent="0.2">
      <c r="H3140" s="11" t="str">
        <f>IFERROR(VLOOKUP(tbl_product_scores[[#This Row],[product_key]],tbl_products[[product_key]:[group_display_key]],2,FALSE),"")</f>
        <v/>
      </c>
    </row>
    <row r="3141" spans="8:8" x14ac:dyDescent="0.2">
      <c r="H3141" s="11" t="str">
        <f>IFERROR(VLOOKUP(tbl_product_scores[[#This Row],[product_key]],tbl_products[[product_key]:[group_display_key]],2,FALSE),"")</f>
        <v/>
      </c>
    </row>
    <row r="3142" spans="8:8" x14ac:dyDescent="0.2">
      <c r="H3142" s="11" t="str">
        <f>IFERROR(VLOOKUP(tbl_product_scores[[#This Row],[product_key]],tbl_products[[product_key]:[group_display_key]],2,FALSE),"")</f>
        <v/>
      </c>
    </row>
    <row r="3143" spans="8:8" x14ac:dyDescent="0.2">
      <c r="H3143" s="11" t="str">
        <f>IFERROR(VLOOKUP(tbl_product_scores[[#This Row],[product_key]],tbl_products[[product_key]:[group_display_key]],2,FALSE),"")</f>
        <v/>
      </c>
    </row>
    <row r="3144" spans="8:8" x14ac:dyDescent="0.2">
      <c r="H3144" s="11" t="str">
        <f>IFERROR(VLOOKUP(tbl_product_scores[[#This Row],[product_key]],tbl_products[[product_key]:[group_display_key]],2,FALSE),"")</f>
        <v/>
      </c>
    </row>
    <row r="3145" spans="8:8" x14ac:dyDescent="0.2">
      <c r="H3145" s="11" t="str">
        <f>IFERROR(VLOOKUP(tbl_product_scores[[#This Row],[product_key]],tbl_products[[product_key]:[group_display_key]],2,FALSE),"")</f>
        <v/>
      </c>
    </row>
    <row r="3146" spans="8:8" x14ac:dyDescent="0.2">
      <c r="H3146" s="11" t="str">
        <f>IFERROR(VLOOKUP(tbl_product_scores[[#This Row],[product_key]],tbl_products[[product_key]:[group_display_key]],2,FALSE),"")</f>
        <v/>
      </c>
    </row>
    <row r="3147" spans="8:8" x14ac:dyDescent="0.2">
      <c r="H3147" s="11" t="str">
        <f>IFERROR(VLOOKUP(tbl_product_scores[[#This Row],[product_key]],tbl_products[[product_key]:[group_display_key]],2,FALSE),"")</f>
        <v/>
      </c>
    </row>
    <row r="3148" spans="8:8" x14ac:dyDescent="0.2">
      <c r="H3148" s="11" t="str">
        <f>IFERROR(VLOOKUP(tbl_product_scores[[#This Row],[product_key]],tbl_products[[product_key]:[group_display_key]],2,FALSE),"")</f>
        <v/>
      </c>
    </row>
    <row r="3149" spans="8:8" x14ac:dyDescent="0.2">
      <c r="H3149" s="11" t="str">
        <f>IFERROR(VLOOKUP(tbl_product_scores[[#This Row],[product_key]],tbl_products[[product_key]:[group_display_key]],2,FALSE),"")</f>
        <v/>
      </c>
    </row>
    <row r="3150" spans="8:8" x14ac:dyDescent="0.2">
      <c r="H3150" s="11" t="str">
        <f>IFERROR(VLOOKUP(tbl_product_scores[[#This Row],[product_key]],tbl_products[[product_key]:[group_display_key]],2,FALSE),"")</f>
        <v/>
      </c>
    </row>
    <row r="3151" spans="8:8" x14ac:dyDescent="0.2">
      <c r="H3151" s="11" t="str">
        <f>IFERROR(VLOOKUP(tbl_product_scores[[#This Row],[product_key]],tbl_products[[product_key]:[group_display_key]],2,FALSE),"")</f>
        <v/>
      </c>
    </row>
    <row r="3152" spans="8:8" x14ac:dyDescent="0.2">
      <c r="H3152" s="11" t="str">
        <f>IFERROR(VLOOKUP(tbl_product_scores[[#This Row],[product_key]],tbl_products[[product_key]:[group_display_key]],2,FALSE),"")</f>
        <v/>
      </c>
    </row>
    <row r="3153" spans="8:8" x14ac:dyDescent="0.2">
      <c r="H3153" s="11" t="str">
        <f>IFERROR(VLOOKUP(tbl_product_scores[[#This Row],[product_key]],tbl_products[[product_key]:[group_display_key]],2,FALSE),"")</f>
        <v/>
      </c>
    </row>
    <row r="3154" spans="8:8" x14ac:dyDescent="0.2">
      <c r="H3154" s="11" t="str">
        <f>IFERROR(VLOOKUP(tbl_product_scores[[#This Row],[product_key]],tbl_products[[product_key]:[group_display_key]],2,FALSE),"")</f>
        <v/>
      </c>
    </row>
    <row r="3155" spans="8:8" x14ac:dyDescent="0.2">
      <c r="H3155" s="11" t="str">
        <f>IFERROR(VLOOKUP(tbl_product_scores[[#This Row],[product_key]],tbl_products[[product_key]:[group_display_key]],2,FALSE),"")</f>
        <v/>
      </c>
    </row>
    <row r="3156" spans="8:8" x14ac:dyDescent="0.2">
      <c r="H3156" s="11" t="str">
        <f>IFERROR(VLOOKUP(tbl_product_scores[[#This Row],[product_key]],tbl_products[[product_key]:[group_display_key]],2,FALSE),"")</f>
        <v/>
      </c>
    </row>
    <row r="3157" spans="8:8" x14ac:dyDescent="0.2">
      <c r="H3157" s="11" t="str">
        <f>IFERROR(VLOOKUP(tbl_product_scores[[#This Row],[product_key]],tbl_products[[product_key]:[group_display_key]],2,FALSE),"")</f>
        <v/>
      </c>
    </row>
    <row r="3158" spans="8:8" x14ac:dyDescent="0.2">
      <c r="H3158" s="11" t="str">
        <f>IFERROR(VLOOKUP(tbl_product_scores[[#This Row],[product_key]],tbl_products[[product_key]:[group_display_key]],2,FALSE),"")</f>
        <v/>
      </c>
    </row>
    <row r="3159" spans="8:8" x14ac:dyDescent="0.2">
      <c r="H3159" s="11" t="str">
        <f>IFERROR(VLOOKUP(tbl_product_scores[[#This Row],[product_key]],tbl_products[[product_key]:[group_display_key]],2,FALSE),"")</f>
        <v/>
      </c>
    </row>
    <row r="3160" spans="8:8" x14ac:dyDescent="0.2">
      <c r="H3160" s="11" t="str">
        <f>IFERROR(VLOOKUP(tbl_product_scores[[#This Row],[product_key]],tbl_products[[product_key]:[group_display_key]],2,FALSE),"")</f>
        <v/>
      </c>
    </row>
    <row r="3161" spans="8:8" x14ac:dyDescent="0.2">
      <c r="H3161" s="11" t="str">
        <f>IFERROR(VLOOKUP(tbl_product_scores[[#This Row],[product_key]],tbl_products[[product_key]:[group_display_key]],2,FALSE),"")</f>
        <v/>
      </c>
    </row>
    <row r="3162" spans="8:8" x14ac:dyDescent="0.2">
      <c r="H3162" s="11" t="str">
        <f>IFERROR(VLOOKUP(tbl_product_scores[[#This Row],[product_key]],tbl_products[[product_key]:[group_display_key]],2,FALSE),"")</f>
        <v/>
      </c>
    </row>
    <row r="3163" spans="8:8" x14ac:dyDescent="0.2">
      <c r="H3163" s="11" t="str">
        <f>IFERROR(VLOOKUP(tbl_product_scores[[#This Row],[product_key]],tbl_products[[product_key]:[group_display_key]],2,FALSE),"")</f>
        <v/>
      </c>
    </row>
    <row r="3164" spans="8:8" x14ac:dyDescent="0.2">
      <c r="H3164" s="11" t="str">
        <f>IFERROR(VLOOKUP(tbl_product_scores[[#This Row],[product_key]],tbl_products[[product_key]:[group_display_key]],2,FALSE),"")</f>
        <v/>
      </c>
    </row>
    <row r="3165" spans="8:8" x14ac:dyDescent="0.2">
      <c r="H3165" s="11" t="str">
        <f>IFERROR(VLOOKUP(tbl_product_scores[[#This Row],[product_key]],tbl_products[[product_key]:[group_display_key]],2,FALSE),"")</f>
        <v/>
      </c>
    </row>
    <row r="3166" spans="8:8" x14ac:dyDescent="0.2">
      <c r="H3166" s="11" t="str">
        <f>IFERROR(VLOOKUP(tbl_product_scores[[#This Row],[product_key]],tbl_products[[product_key]:[group_display_key]],2,FALSE),"")</f>
        <v/>
      </c>
    </row>
    <row r="3167" spans="8:8" x14ac:dyDescent="0.2">
      <c r="H3167" s="11" t="str">
        <f>IFERROR(VLOOKUP(tbl_product_scores[[#This Row],[product_key]],tbl_products[[product_key]:[group_display_key]],2,FALSE),"")</f>
        <v/>
      </c>
    </row>
    <row r="3168" spans="8:8" x14ac:dyDescent="0.2">
      <c r="H3168" s="11" t="str">
        <f>IFERROR(VLOOKUP(tbl_product_scores[[#This Row],[product_key]],tbl_products[[product_key]:[group_display_key]],2,FALSE),"")</f>
        <v/>
      </c>
    </row>
    <row r="3169" spans="8:8" x14ac:dyDescent="0.2">
      <c r="H3169" s="11" t="str">
        <f>IFERROR(VLOOKUP(tbl_product_scores[[#This Row],[product_key]],tbl_products[[product_key]:[group_display_key]],2,FALSE),"")</f>
        <v/>
      </c>
    </row>
    <row r="3170" spans="8:8" x14ac:dyDescent="0.2">
      <c r="H3170" s="11" t="str">
        <f>IFERROR(VLOOKUP(tbl_product_scores[[#This Row],[product_key]],tbl_products[[product_key]:[group_display_key]],2,FALSE),"")</f>
        <v/>
      </c>
    </row>
    <row r="3171" spans="8:8" x14ac:dyDescent="0.2">
      <c r="H3171" s="11" t="str">
        <f>IFERROR(VLOOKUP(tbl_product_scores[[#This Row],[product_key]],tbl_products[[product_key]:[group_display_key]],2,FALSE),"")</f>
        <v/>
      </c>
    </row>
    <row r="3172" spans="8:8" x14ac:dyDescent="0.2">
      <c r="H3172" s="11" t="str">
        <f>IFERROR(VLOOKUP(tbl_product_scores[[#This Row],[product_key]],tbl_products[[product_key]:[group_display_key]],2,FALSE),"")</f>
        <v/>
      </c>
    </row>
    <row r="3173" spans="8:8" x14ac:dyDescent="0.2">
      <c r="H3173" s="11" t="str">
        <f>IFERROR(VLOOKUP(tbl_product_scores[[#This Row],[product_key]],tbl_products[[product_key]:[group_display_key]],2,FALSE),"")</f>
        <v/>
      </c>
    </row>
    <row r="3174" spans="8:8" x14ac:dyDescent="0.2">
      <c r="H3174" s="11" t="str">
        <f>IFERROR(VLOOKUP(tbl_product_scores[[#This Row],[product_key]],tbl_products[[product_key]:[group_display_key]],2,FALSE),"")</f>
        <v/>
      </c>
    </row>
    <row r="3175" spans="8:8" x14ac:dyDescent="0.2">
      <c r="H3175" s="11" t="str">
        <f>IFERROR(VLOOKUP(tbl_product_scores[[#This Row],[product_key]],tbl_products[[product_key]:[group_display_key]],2,FALSE),"")</f>
        <v/>
      </c>
    </row>
    <row r="3176" spans="8:8" x14ac:dyDescent="0.2">
      <c r="H3176" s="11" t="str">
        <f>IFERROR(VLOOKUP(tbl_product_scores[[#This Row],[product_key]],tbl_products[[product_key]:[group_display_key]],2,FALSE),"")</f>
        <v/>
      </c>
    </row>
    <row r="3177" spans="8:8" x14ac:dyDescent="0.2">
      <c r="H3177" s="11" t="str">
        <f>IFERROR(VLOOKUP(tbl_product_scores[[#This Row],[product_key]],tbl_products[[product_key]:[group_display_key]],2,FALSE),"")</f>
        <v/>
      </c>
    </row>
    <row r="3178" spans="8:8" x14ac:dyDescent="0.2">
      <c r="H3178" s="11" t="str">
        <f>IFERROR(VLOOKUP(tbl_product_scores[[#This Row],[product_key]],tbl_products[[product_key]:[group_display_key]],2,FALSE),"")</f>
        <v/>
      </c>
    </row>
    <row r="3179" spans="8:8" x14ac:dyDescent="0.2">
      <c r="H3179" s="11" t="str">
        <f>IFERROR(VLOOKUP(tbl_product_scores[[#This Row],[product_key]],tbl_products[[product_key]:[group_display_key]],2,FALSE),"")</f>
        <v/>
      </c>
    </row>
    <row r="3180" spans="8:8" x14ac:dyDescent="0.2">
      <c r="H3180" s="11" t="str">
        <f>IFERROR(VLOOKUP(tbl_product_scores[[#This Row],[product_key]],tbl_products[[product_key]:[group_display_key]],2,FALSE),"")</f>
        <v/>
      </c>
    </row>
    <row r="3181" spans="8:8" x14ac:dyDescent="0.2">
      <c r="H3181" s="11" t="str">
        <f>IFERROR(VLOOKUP(tbl_product_scores[[#This Row],[product_key]],tbl_products[[product_key]:[group_display_key]],2,FALSE),"")</f>
        <v/>
      </c>
    </row>
    <row r="3182" spans="8:8" x14ac:dyDescent="0.2">
      <c r="H3182" s="11" t="str">
        <f>IFERROR(VLOOKUP(tbl_product_scores[[#This Row],[product_key]],tbl_products[[product_key]:[group_display_key]],2,FALSE),"")</f>
        <v/>
      </c>
    </row>
    <row r="3183" spans="8:8" x14ac:dyDescent="0.2">
      <c r="H3183" s="11" t="str">
        <f>IFERROR(VLOOKUP(tbl_product_scores[[#This Row],[product_key]],tbl_products[[product_key]:[group_display_key]],2,FALSE),"")</f>
        <v/>
      </c>
    </row>
    <row r="3184" spans="8:8" x14ac:dyDescent="0.2">
      <c r="H3184" s="11" t="str">
        <f>IFERROR(VLOOKUP(tbl_product_scores[[#This Row],[product_key]],tbl_products[[product_key]:[group_display_key]],2,FALSE),"")</f>
        <v/>
      </c>
    </row>
    <row r="3185" spans="8:8" x14ac:dyDescent="0.2">
      <c r="H3185" s="11" t="str">
        <f>IFERROR(VLOOKUP(tbl_product_scores[[#This Row],[product_key]],tbl_products[[product_key]:[group_display_key]],2,FALSE),"")</f>
        <v/>
      </c>
    </row>
    <row r="3186" spans="8:8" x14ac:dyDescent="0.2">
      <c r="H3186" s="11" t="str">
        <f>IFERROR(VLOOKUP(tbl_product_scores[[#This Row],[product_key]],tbl_products[[product_key]:[group_display_key]],2,FALSE),"")</f>
        <v/>
      </c>
    </row>
    <row r="3187" spans="8:8" x14ac:dyDescent="0.2">
      <c r="H3187" s="11" t="str">
        <f>IFERROR(VLOOKUP(tbl_product_scores[[#This Row],[product_key]],tbl_products[[product_key]:[group_display_key]],2,FALSE),"")</f>
        <v/>
      </c>
    </row>
    <row r="3188" spans="8:8" x14ac:dyDescent="0.2">
      <c r="H3188" s="11" t="str">
        <f>IFERROR(VLOOKUP(tbl_product_scores[[#This Row],[product_key]],tbl_products[[product_key]:[group_display_key]],2,FALSE),"")</f>
        <v/>
      </c>
    </row>
    <row r="3189" spans="8:8" x14ac:dyDescent="0.2">
      <c r="H3189" s="11" t="str">
        <f>IFERROR(VLOOKUP(tbl_product_scores[[#This Row],[product_key]],tbl_products[[product_key]:[group_display_key]],2,FALSE),"")</f>
        <v/>
      </c>
    </row>
    <row r="3190" spans="8:8" x14ac:dyDescent="0.2">
      <c r="H3190" s="11" t="str">
        <f>IFERROR(VLOOKUP(tbl_product_scores[[#This Row],[product_key]],tbl_products[[product_key]:[group_display_key]],2,FALSE),"")</f>
        <v/>
      </c>
    </row>
    <row r="3191" spans="8:8" x14ac:dyDescent="0.2">
      <c r="H3191" s="11" t="str">
        <f>IFERROR(VLOOKUP(tbl_product_scores[[#This Row],[product_key]],tbl_products[[product_key]:[group_display_key]],2,FALSE),"")</f>
        <v/>
      </c>
    </row>
    <row r="3192" spans="8:8" x14ac:dyDescent="0.2">
      <c r="H3192" s="11" t="str">
        <f>IFERROR(VLOOKUP(tbl_product_scores[[#This Row],[product_key]],tbl_products[[product_key]:[group_display_key]],2,FALSE),"")</f>
        <v/>
      </c>
    </row>
    <row r="3193" spans="8:8" x14ac:dyDescent="0.2">
      <c r="H3193" s="11" t="str">
        <f>IFERROR(VLOOKUP(tbl_product_scores[[#This Row],[product_key]],tbl_products[[product_key]:[group_display_key]],2,FALSE),"")</f>
        <v/>
      </c>
    </row>
    <row r="3194" spans="8:8" x14ac:dyDescent="0.2">
      <c r="H3194" s="11" t="str">
        <f>IFERROR(VLOOKUP(tbl_product_scores[[#This Row],[product_key]],tbl_products[[product_key]:[group_display_key]],2,FALSE),"")</f>
        <v/>
      </c>
    </row>
    <row r="3195" spans="8:8" x14ac:dyDescent="0.2">
      <c r="H3195" s="11" t="str">
        <f>IFERROR(VLOOKUP(tbl_product_scores[[#This Row],[product_key]],tbl_products[[product_key]:[group_display_key]],2,FALSE),"")</f>
        <v/>
      </c>
    </row>
    <row r="3196" spans="8:8" x14ac:dyDescent="0.2">
      <c r="H3196" s="11" t="str">
        <f>IFERROR(VLOOKUP(tbl_product_scores[[#This Row],[product_key]],tbl_products[[product_key]:[group_display_key]],2,FALSE),"")</f>
        <v/>
      </c>
    </row>
    <row r="3197" spans="8:8" x14ac:dyDescent="0.2">
      <c r="H3197" s="11" t="str">
        <f>IFERROR(VLOOKUP(tbl_product_scores[[#This Row],[product_key]],tbl_products[[product_key]:[group_display_key]],2,FALSE),"")</f>
        <v/>
      </c>
    </row>
    <row r="3198" spans="8:8" x14ac:dyDescent="0.2">
      <c r="H3198" s="11" t="str">
        <f>IFERROR(VLOOKUP(tbl_product_scores[[#This Row],[product_key]],tbl_products[[product_key]:[group_display_key]],2,FALSE),"")</f>
        <v/>
      </c>
    </row>
    <row r="3199" spans="8:8" x14ac:dyDescent="0.2">
      <c r="H3199" s="11" t="str">
        <f>IFERROR(VLOOKUP(tbl_product_scores[[#This Row],[product_key]],tbl_products[[product_key]:[group_display_key]],2,FALSE),"")</f>
        <v/>
      </c>
    </row>
    <row r="3200" spans="8:8" x14ac:dyDescent="0.2">
      <c r="H3200" s="11" t="str">
        <f>IFERROR(VLOOKUP(tbl_product_scores[[#This Row],[product_key]],tbl_products[[product_key]:[group_display_key]],2,FALSE),"")</f>
        <v/>
      </c>
    </row>
    <row r="3201" spans="8:8" x14ac:dyDescent="0.2">
      <c r="H3201" s="11" t="str">
        <f>IFERROR(VLOOKUP(tbl_product_scores[[#This Row],[product_key]],tbl_products[[product_key]:[group_display_key]],2,FALSE),"")</f>
        <v/>
      </c>
    </row>
    <row r="3202" spans="8:8" x14ac:dyDescent="0.2">
      <c r="H3202" s="11" t="str">
        <f>IFERROR(VLOOKUP(tbl_product_scores[[#This Row],[product_key]],tbl_products[[product_key]:[group_display_key]],2,FALSE),"")</f>
        <v/>
      </c>
    </row>
    <row r="3203" spans="8:8" x14ac:dyDescent="0.2">
      <c r="H3203" s="11" t="str">
        <f>IFERROR(VLOOKUP(tbl_product_scores[[#This Row],[product_key]],tbl_products[[product_key]:[group_display_key]],2,FALSE),"")</f>
        <v/>
      </c>
    </row>
    <row r="3204" spans="8:8" x14ac:dyDescent="0.2">
      <c r="H3204" s="11" t="str">
        <f>IFERROR(VLOOKUP(tbl_product_scores[[#This Row],[product_key]],tbl_products[[product_key]:[group_display_key]],2,FALSE),"")</f>
        <v/>
      </c>
    </row>
    <row r="3205" spans="8:8" x14ac:dyDescent="0.2">
      <c r="H3205" s="11" t="str">
        <f>IFERROR(VLOOKUP(tbl_product_scores[[#This Row],[product_key]],tbl_products[[product_key]:[group_display_key]],2,FALSE),"")</f>
        <v/>
      </c>
    </row>
    <row r="3206" spans="8:8" x14ac:dyDescent="0.2">
      <c r="H3206" s="11" t="str">
        <f>IFERROR(VLOOKUP(tbl_product_scores[[#This Row],[product_key]],tbl_products[[product_key]:[group_display_key]],2,FALSE),"")</f>
        <v/>
      </c>
    </row>
    <row r="3207" spans="8:8" x14ac:dyDescent="0.2">
      <c r="H3207" s="11" t="str">
        <f>IFERROR(VLOOKUP(tbl_product_scores[[#This Row],[product_key]],tbl_products[[product_key]:[group_display_key]],2,FALSE),"")</f>
        <v/>
      </c>
    </row>
    <row r="3208" spans="8:8" x14ac:dyDescent="0.2">
      <c r="H3208" s="11" t="str">
        <f>IFERROR(VLOOKUP(tbl_product_scores[[#This Row],[product_key]],tbl_products[[product_key]:[group_display_key]],2,FALSE),"")</f>
        <v/>
      </c>
    </row>
    <row r="3209" spans="8:8" x14ac:dyDescent="0.2">
      <c r="H3209" s="11" t="str">
        <f>IFERROR(VLOOKUP(tbl_product_scores[[#This Row],[product_key]],tbl_products[[product_key]:[group_display_key]],2,FALSE),"")</f>
        <v/>
      </c>
    </row>
    <row r="3210" spans="8:8" x14ac:dyDescent="0.2">
      <c r="H3210" s="11" t="str">
        <f>IFERROR(VLOOKUP(tbl_product_scores[[#This Row],[product_key]],tbl_products[[product_key]:[group_display_key]],2,FALSE),"")</f>
        <v/>
      </c>
    </row>
    <row r="3211" spans="8:8" x14ac:dyDescent="0.2">
      <c r="H3211" s="11" t="str">
        <f>IFERROR(VLOOKUP(tbl_product_scores[[#This Row],[product_key]],tbl_products[[product_key]:[group_display_key]],2,FALSE),"")</f>
        <v/>
      </c>
    </row>
    <row r="3212" spans="8:8" x14ac:dyDescent="0.2">
      <c r="H3212" s="11" t="str">
        <f>IFERROR(VLOOKUP(tbl_product_scores[[#This Row],[product_key]],tbl_products[[product_key]:[group_display_key]],2,FALSE),"")</f>
        <v/>
      </c>
    </row>
    <row r="3213" spans="8:8" x14ac:dyDescent="0.2">
      <c r="H3213" s="11" t="str">
        <f>IFERROR(VLOOKUP(tbl_product_scores[[#This Row],[product_key]],tbl_products[[product_key]:[group_display_key]],2,FALSE),"")</f>
        <v/>
      </c>
    </row>
    <row r="3214" spans="8:8" x14ac:dyDescent="0.2">
      <c r="H3214" s="11" t="str">
        <f>IFERROR(VLOOKUP(tbl_product_scores[[#This Row],[product_key]],tbl_products[[product_key]:[group_display_key]],2,FALSE),"")</f>
        <v/>
      </c>
    </row>
    <row r="3215" spans="8:8" x14ac:dyDescent="0.2">
      <c r="H3215" s="11" t="str">
        <f>IFERROR(VLOOKUP(tbl_product_scores[[#This Row],[product_key]],tbl_products[[product_key]:[group_display_key]],2,FALSE),"")</f>
        <v/>
      </c>
    </row>
    <row r="3216" spans="8:8" x14ac:dyDescent="0.2">
      <c r="H3216" s="11" t="str">
        <f>IFERROR(VLOOKUP(tbl_product_scores[[#This Row],[product_key]],tbl_products[[product_key]:[group_display_key]],2,FALSE),"")</f>
        <v/>
      </c>
    </row>
    <row r="3217" spans="8:8" x14ac:dyDescent="0.2">
      <c r="H3217" s="11" t="str">
        <f>IFERROR(VLOOKUP(tbl_product_scores[[#This Row],[product_key]],tbl_products[[product_key]:[group_display_key]],2,FALSE),"")</f>
        <v/>
      </c>
    </row>
    <row r="3218" spans="8:8" x14ac:dyDescent="0.2">
      <c r="H3218" s="11" t="str">
        <f>IFERROR(VLOOKUP(tbl_product_scores[[#This Row],[product_key]],tbl_products[[product_key]:[group_display_key]],2,FALSE),"")</f>
        <v/>
      </c>
    </row>
    <row r="3219" spans="8:8" x14ac:dyDescent="0.2">
      <c r="H3219" s="11" t="str">
        <f>IFERROR(VLOOKUP(tbl_product_scores[[#This Row],[product_key]],tbl_products[[product_key]:[group_display_key]],2,FALSE),"")</f>
        <v/>
      </c>
    </row>
    <row r="3220" spans="8:8" x14ac:dyDescent="0.2">
      <c r="H3220" s="11" t="str">
        <f>IFERROR(VLOOKUP(tbl_product_scores[[#This Row],[product_key]],tbl_products[[product_key]:[group_display_key]],2,FALSE),"")</f>
        <v/>
      </c>
    </row>
    <row r="3221" spans="8:8" x14ac:dyDescent="0.2">
      <c r="H3221" s="11" t="str">
        <f>IFERROR(VLOOKUP(tbl_product_scores[[#This Row],[product_key]],tbl_products[[product_key]:[group_display_key]],2,FALSE),"")</f>
        <v/>
      </c>
    </row>
    <row r="3222" spans="8:8" x14ac:dyDescent="0.2">
      <c r="H3222" s="11" t="str">
        <f>IFERROR(VLOOKUP(tbl_product_scores[[#This Row],[product_key]],tbl_products[[product_key]:[group_display_key]],2,FALSE),"")</f>
        <v/>
      </c>
    </row>
    <row r="3223" spans="8:8" x14ac:dyDescent="0.2">
      <c r="H3223" s="11" t="str">
        <f>IFERROR(VLOOKUP(tbl_product_scores[[#This Row],[product_key]],tbl_products[[product_key]:[group_display_key]],2,FALSE),"")</f>
        <v/>
      </c>
    </row>
    <row r="3224" spans="8:8" x14ac:dyDescent="0.2">
      <c r="H3224" s="11" t="str">
        <f>IFERROR(VLOOKUP(tbl_product_scores[[#This Row],[product_key]],tbl_products[[product_key]:[group_display_key]],2,FALSE),"")</f>
        <v/>
      </c>
    </row>
    <row r="3225" spans="8:8" x14ac:dyDescent="0.2">
      <c r="H3225" s="11" t="str">
        <f>IFERROR(VLOOKUP(tbl_product_scores[[#This Row],[product_key]],tbl_products[[product_key]:[group_display_key]],2,FALSE),"")</f>
        <v/>
      </c>
    </row>
    <row r="3226" spans="8:8" x14ac:dyDescent="0.2">
      <c r="H3226" s="11" t="str">
        <f>IFERROR(VLOOKUP(tbl_product_scores[[#This Row],[product_key]],tbl_products[[product_key]:[group_display_key]],2,FALSE),"")</f>
        <v/>
      </c>
    </row>
    <row r="3227" spans="8:8" x14ac:dyDescent="0.2">
      <c r="H3227" s="11" t="str">
        <f>IFERROR(VLOOKUP(tbl_product_scores[[#This Row],[product_key]],tbl_products[[product_key]:[group_display_key]],2,FALSE),"")</f>
        <v/>
      </c>
    </row>
    <row r="3228" spans="8:8" x14ac:dyDescent="0.2">
      <c r="H3228" s="11" t="str">
        <f>IFERROR(VLOOKUP(tbl_product_scores[[#This Row],[product_key]],tbl_products[[product_key]:[group_display_key]],2,FALSE),"")</f>
        <v/>
      </c>
    </row>
    <row r="3229" spans="8:8" x14ac:dyDescent="0.2">
      <c r="H3229" s="11" t="str">
        <f>IFERROR(VLOOKUP(tbl_product_scores[[#This Row],[product_key]],tbl_products[[product_key]:[group_display_key]],2,FALSE),"")</f>
        <v/>
      </c>
    </row>
    <row r="3230" spans="8:8" x14ac:dyDescent="0.2">
      <c r="H3230" s="11" t="str">
        <f>IFERROR(VLOOKUP(tbl_product_scores[[#This Row],[product_key]],tbl_products[[product_key]:[group_display_key]],2,FALSE),"")</f>
        <v/>
      </c>
    </row>
    <row r="3231" spans="8:8" x14ac:dyDescent="0.2">
      <c r="H3231" s="11" t="str">
        <f>IFERROR(VLOOKUP(tbl_product_scores[[#This Row],[product_key]],tbl_products[[product_key]:[group_display_key]],2,FALSE),"")</f>
        <v/>
      </c>
    </row>
    <row r="3232" spans="8:8" x14ac:dyDescent="0.2">
      <c r="H3232" s="11" t="str">
        <f>IFERROR(VLOOKUP(tbl_product_scores[[#This Row],[product_key]],tbl_products[[product_key]:[group_display_key]],2,FALSE),"")</f>
        <v/>
      </c>
    </row>
    <row r="3233" spans="8:8" x14ac:dyDescent="0.2">
      <c r="H3233" s="11" t="str">
        <f>IFERROR(VLOOKUP(tbl_product_scores[[#This Row],[product_key]],tbl_products[[product_key]:[group_display_key]],2,FALSE),"")</f>
        <v/>
      </c>
    </row>
    <row r="3234" spans="8:8" x14ac:dyDescent="0.2">
      <c r="H3234" s="11" t="str">
        <f>IFERROR(VLOOKUP(tbl_product_scores[[#This Row],[product_key]],tbl_products[[product_key]:[group_display_key]],2,FALSE),"")</f>
        <v/>
      </c>
    </row>
    <row r="3235" spans="8:8" x14ac:dyDescent="0.2">
      <c r="H3235" s="11" t="str">
        <f>IFERROR(VLOOKUP(tbl_product_scores[[#This Row],[product_key]],tbl_products[[product_key]:[group_display_key]],2,FALSE),"")</f>
        <v/>
      </c>
    </row>
    <row r="3236" spans="8:8" x14ac:dyDescent="0.2">
      <c r="H3236" s="11" t="str">
        <f>IFERROR(VLOOKUP(tbl_product_scores[[#This Row],[product_key]],tbl_products[[product_key]:[group_display_key]],2,FALSE),"")</f>
        <v/>
      </c>
    </row>
    <row r="3237" spans="8:8" x14ac:dyDescent="0.2">
      <c r="H3237" s="11" t="str">
        <f>IFERROR(VLOOKUP(tbl_product_scores[[#This Row],[product_key]],tbl_products[[product_key]:[group_display_key]],2,FALSE),"")</f>
        <v/>
      </c>
    </row>
    <row r="3238" spans="8:8" x14ac:dyDescent="0.2">
      <c r="H3238" s="11" t="str">
        <f>IFERROR(VLOOKUP(tbl_product_scores[[#This Row],[product_key]],tbl_products[[product_key]:[group_display_key]],2,FALSE),"")</f>
        <v/>
      </c>
    </row>
    <row r="3239" spans="8:8" x14ac:dyDescent="0.2">
      <c r="H3239" s="11" t="str">
        <f>IFERROR(VLOOKUP(tbl_product_scores[[#This Row],[product_key]],tbl_products[[product_key]:[group_display_key]],2,FALSE),"")</f>
        <v/>
      </c>
    </row>
    <row r="3240" spans="8:8" x14ac:dyDescent="0.2">
      <c r="H3240" s="11" t="str">
        <f>IFERROR(VLOOKUP(tbl_product_scores[[#This Row],[product_key]],tbl_products[[product_key]:[group_display_key]],2,FALSE),"")</f>
        <v/>
      </c>
    </row>
    <row r="3241" spans="8:8" x14ac:dyDescent="0.2">
      <c r="H3241" s="11" t="str">
        <f>IFERROR(VLOOKUP(tbl_product_scores[[#This Row],[product_key]],tbl_products[[product_key]:[group_display_key]],2,FALSE),"")</f>
        <v/>
      </c>
    </row>
    <row r="3242" spans="8:8" x14ac:dyDescent="0.2">
      <c r="H3242" s="11" t="str">
        <f>IFERROR(VLOOKUP(tbl_product_scores[[#This Row],[product_key]],tbl_products[[product_key]:[group_display_key]],2,FALSE),"")</f>
        <v/>
      </c>
    </row>
    <row r="3243" spans="8:8" x14ac:dyDescent="0.2">
      <c r="H3243" s="11" t="str">
        <f>IFERROR(VLOOKUP(tbl_product_scores[[#This Row],[product_key]],tbl_products[[product_key]:[group_display_key]],2,FALSE),"")</f>
        <v/>
      </c>
    </row>
    <row r="3244" spans="8:8" x14ac:dyDescent="0.2">
      <c r="H3244" s="11" t="str">
        <f>IFERROR(VLOOKUP(tbl_product_scores[[#This Row],[product_key]],tbl_products[[product_key]:[group_display_key]],2,FALSE),"")</f>
        <v/>
      </c>
    </row>
    <row r="3245" spans="8:8" x14ac:dyDescent="0.2">
      <c r="H3245" s="11" t="str">
        <f>IFERROR(VLOOKUP(tbl_product_scores[[#This Row],[product_key]],tbl_products[[product_key]:[group_display_key]],2,FALSE),"")</f>
        <v/>
      </c>
    </row>
    <row r="3246" spans="8:8" x14ac:dyDescent="0.2">
      <c r="H3246" s="11" t="str">
        <f>IFERROR(VLOOKUP(tbl_product_scores[[#This Row],[product_key]],tbl_products[[product_key]:[group_display_key]],2,FALSE),"")</f>
        <v/>
      </c>
    </row>
    <row r="3247" spans="8:8" x14ac:dyDescent="0.2">
      <c r="H3247" s="11" t="str">
        <f>IFERROR(VLOOKUP(tbl_product_scores[[#This Row],[product_key]],tbl_products[[product_key]:[group_display_key]],2,FALSE),"")</f>
        <v/>
      </c>
    </row>
    <row r="3248" spans="8:8" x14ac:dyDescent="0.2">
      <c r="H3248" s="11" t="str">
        <f>IFERROR(VLOOKUP(tbl_product_scores[[#This Row],[product_key]],tbl_products[[product_key]:[group_display_key]],2,FALSE),"")</f>
        <v/>
      </c>
    </row>
    <row r="3249" spans="8:8" x14ac:dyDescent="0.2">
      <c r="H3249" s="11" t="str">
        <f>IFERROR(VLOOKUP(tbl_product_scores[[#This Row],[product_key]],tbl_products[[product_key]:[group_display_key]],2,FALSE),"")</f>
        <v/>
      </c>
    </row>
    <row r="3250" spans="8:8" x14ac:dyDescent="0.2">
      <c r="H3250" s="11" t="str">
        <f>IFERROR(VLOOKUP(tbl_product_scores[[#This Row],[product_key]],tbl_products[[product_key]:[group_display_key]],2,FALSE),"")</f>
        <v/>
      </c>
    </row>
    <row r="3251" spans="8:8" x14ac:dyDescent="0.2">
      <c r="H3251" s="11" t="str">
        <f>IFERROR(VLOOKUP(tbl_product_scores[[#This Row],[product_key]],tbl_products[[product_key]:[group_display_key]],2,FALSE),"")</f>
        <v/>
      </c>
    </row>
    <row r="3252" spans="8:8" x14ac:dyDescent="0.2">
      <c r="H3252" s="11" t="str">
        <f>IFERROR(VLOOKUP(tbl_product_scores[[#This Row],[product_key]],tbl_products[[product_key]:[group_display_key]],2,FALSE),"")</f>
        <v/>
      </c>
    </row>
    <row r="3253" spans="8:8" x14ac:dyDescent="0.2">
      <c r="H3253" s="11" t="str">
        <f>IFERROR(VLOOKUP(tbl_product_scores[[#This Row],[product_key]],tbl_products[[product_key]:[group_display_key]],2,FALSE),"")</f>
        <v/>
      </c>
    </row>
    <row r="3254" spans="8:8" x14ac:dyDescent="0.2">
      <c r="H3254" s="11" t="str">
        <f>IFERROR(VLOOKUP(tbl_product_scores[[#This Row],[product_key]],tbl_products[[product_key]:[group_display_key]],2,FALSE),"")</f>
        <v/>
      </c>
    </row>
    <row r="3255" spans="8:8" x14ac:dyDescent="0.2">
      <c r="H3255" s="11" t="str">
        <f>IFERROR(VLOOKUP(tbl_product_scores[[#This Row],[product_key]],tbl_products[[product_key]:[group_display_key]],2,FALSE),"")</f>
        <v/>
      </c>
    </row>
    <row r="3256" spans="8:8" x14ac:dyDescent="0.2">
      <c r="H3256" s="11" t="str">
        <f>IFERROR(VLOOKUP(tbl_product_scores[[#This Row],[product_key]],tbl_products[[product_key]:[group_display_key]],2,FALSE),"")</f>
        <v/>
      </c>
    </row>
    <row r="3257" spans="8:8" x14ac:dyDescent="0.2">
      <c r="H3257" s="11" t="str">
        <f>IFERROR(VLOOKUP(tbl_product_scores[[#This Row],[product_key]],tbl_products[[product_key]:[group_display_key]],2,FALSE),"")</f>
        <v/>
      </c>
    </row>
    <row r="3258" spans="8:8" x14ac:dyDescent="0.2">
      <c r="H3258" s="11" t="str">
        <f>IFERROR(VLOOKUP(tbl_product_scores[[#This Row],[product_key]],tbl_products[[product_key]:[group_display_key]],2,FALSE),"")</f>
        <v/>
      </c>
    </row>
    <row r="3259" spans="8:8" x14ac:dyDescent="0.2">
      <c r="H3259" s="11" t="str">
        <f>IFERROR(VLOOKUP(tbl_product_scores[[#This Row],[product_key]],tbl_products[[product_key]:[group_display_key]],2,FALSE),"")</f>
        <v/>
      </c>
    </row>
    <row r="3260" spans="8:8" x14ac:dyDescent="0.2">
      <c r="H3260" s="11" t="str">
        <f>IFERROR(VLOOKUP(tbl_product_scores[[#This Row],[product_key]],tbl_products[[product_key]:[group_display_key]],2,FALSE),"")</f>
        <v/>
      </c>
    </row>
    <row r="3261" spans="8:8" x14ac:dyDescent="0.2">
      <c r="H3261" s="11" t="str">
        <f>IFERROR(VLOOKUP(tbl_product_scores[[#This Row],[product_key]],tbl_products[[product_key]:[group_display_key]],2,FALSE),"")</f>
        <v/>
      </c>
    </row>
    <row r="3262" spans="8:8" x14ac:dyDescent="0.2">
      <c r="H3262" s="11" t="str">
        <f>IFERROR(VLOOKUP(tbl_product_scores[[#This Row],[product_key]],tbl_products[[product_key]:[group_display_key]],2,FALSE),"")</f>
        <v/>
      </c>
    </row>
    <row r="3263" spans="8:8" x14ac:dyDescent="0.2">
      <c r="H3263" s="11" t="str">
        <f>IFERROR(VLOOKUP(tbl_product_scores[[#This Row],[product_key]],tbl_products[[product_key]:[group_display_key]],2,FALSE),"")</f>
        <v/>
      </c>
    </row>
    <row r="3264" spans="8:8" x14ac:dyDescent="0.2">
      <c r="H3264" s="11" t="str">
        <f>IFERROR(VLOOKUP(tbl_product_scores[[#This Row],[product_key]],tbl_products[[product_key]:[group_display_key]],2,FALSE),"")</f>
        <v/>
      </c>
    </row>
    <row r="3265" spans="8:8" x14ac:dyDescent="0.2">
      <c r="H3265" s="11" t="str">
        <f>IFERROR(VLOOKUP(tbl_product_scores[[#This Row],[product_key]],tbl_products[[product_key]:[group_display_key]],2,FALSE),"")</f>
        <v/>
      </c>
    </row>
    <row r="3266" spans="8:8" x14ac:dyDescent="0.2">
      <c r="H3266" s="11" t="str">
        <f>IFERROR(VLOOKUP(tbl_product_scores[[#This Row],[product_key]],tbl_products[[product_key]:[group_display_key]],2,FALSE),"")</f>
        <v/>
      </c>
    </row>
    <row r="3267" spans="8:8" x14ac:dyDescent="0.2">
      <c r="H3267" s="11" t="str">
        <f>IFERROR(VLOOKUP(tbl_product_scores[[#This Row],[product_key]],tbl_products[[product_key]:[group_display_key]],2,FALSE),"")</f>
        <v/>
      </c>
    </row>
    <row r="3268" spans="8:8" x14ac:dyDescent="0.2">
      <c r="H3268" s="11" t="str">
        <f>IFERROR(VLOOKUP(tbl_product_scores[[#This Row],[product_key]],tbl_products[[product_key]:[group_display_key]],2,FALSE),"")</f>
        <v/>
      </c>
    </row>
    <row r="3269" spans="8:8" x14ac:dyDescent="0.2">
      <c r="H3269" s="11" t="str">
        <f>IFERROR(VLOOKUP(tbl_product_scores[[#This Row],[product_key]],tbl_products[[product_key]:[group_display_key]],2,FALSE),"")</f>
        <v/>
      </c>
    </row>
    <row r="3270" spans="8:8" x14ac:dyDescent="0.2">
      <c r="H3270" s="11" t="str">
        <f>IFERROR(VLOOKUP(tbl_product_scores[[#This Row],[product_key]],tbl_products[[product_key]:[group_display_key]],2,FALSE),"")</f>
        <v/>
      </c>
    </row>
    <row r="3271" spans="8:8" x14ac:dyDescent="0.2">
      <c r="H3271" s="11" t="str">
        <f>IFERROR(VLOOKUP(tbl_product_scores[[#This Row],[product_key]],tbl_products[[product_key]:[group_display_key]],2,FALSE),"")</f>
        <v/>
      </c>
    </row>
    <row r="3272" spans="8:8" x14ac:dyDescent="0.2">
      <c r="H3272" s="11" t="str">
        <f>IFERROR(VLOOKUP(tbl_product_scores[[#This Row],[product_key]],tbl_products[[product_key]:[group_display_key]],2,FALSE),"")</f>
        <v/>
      </c>
    </row>
    <row r="3273" spans="8:8" x14ac:dyDescent="0.2">
      <c r="H3273" s="11" t="str">
        <f>IFERROR(VLOOKUP(tbl_product_scores[[#This Row],[product_key]],tbl_products[[product_key]:[group_display_key]],2,FALSE),"")</f>
        <v/>
      </c>
    </row>
    <row r="3274" spans="8:8" x14ac:dyDescent="0.2">
      <c r="H3274" s="11" t="str">
        <f>IFERROR(VLOOKUP(tbl_product_scores[[#This Row],[product_key]],tbl_products[[product_key]:[group_display_key]],2,FALSE),"")</f>
        <v/>
      </c>
    </row>
    <row r="3275" spans="8:8" x14ac:dyDescent="0.2">
      <c r="H3275" s="11" t="str">
        <f>IFERROR(VLOOKUP(tbl_product_scores[[#This Row],[product_key]],tbl_products[[product_key]:[group_display_key]],2,FALSE),"")</f>
        <v/>
      </c>
    </row>
    <row r="3276" spans="8:8" x14ac:dyDescent="0.2">
      <c r="H3276" s="11" t="str">
        <f>IFERROR(VLOOKUP(tbl_product_scores[[#This Row],[product_key]],tbl_products[[product_key]:[group_display_key]],2,FALSE),"")</f>
        <v/>
      </c>
    </row>
    <row r="3277" spans="8:8" x14ac:dyDescent="0.2">
      <c r="H3277" s="11" t="str">
        <f>IFERROR(VLOOKUP(tbl_product_scores[[#This Row],[product_key]],tbl_products[[product_key]:[group_display_key]],2,FALSE),"")</f>
        <v/>
      </c>
    </row>
    <row r="3278" spans="8:8" x14ac:dyDescent="0.2">
      <c r="H3278" s="11" t="str">
        <f>IFERROR(VLOOKUP(tbl_product_scores[[#This Row],[product_key]],tbl_products[[product_key]:[group_display_key]],2,FALSE),"")</f>
        <v/>
      </c>
    </row>
    <row r="3279" spans="8:8" x14ac:dyDescent="0.2">
      <c r="H3279" s="11" t="str">
        <f>IFERROR(VLOOKUP(tbl_product_scores[[#This Row],[product_key]],tbl_products[[product_key]:[group_display_key]],2,FALSE),"")</f>
        <v/>
      </c>
    </row>
    <row r="3280" spans="8:8" x14ac:dyDescent="0.2">
      <c r="H3280" s="11" t="str">
        <f>IFERROR(VLOOKUP(tbl_product_scores[[#This Row],[product_key]],tbl_products[[product_key]:[group_display_key]],2,FALSE),"")</f>
        <v/>
      </c>
    </row>
    <row r="3281" spans="8:8" x14ac:dyDescent="0.2">
      <c r="H3281" s="11" t="str">
        <f>IFERROR(VLOOKUP(tbl_product_scores[[#This Row],[product_key]],tbl_products[[product_key]:[group_display_key]],2,FALSE),"")</f>
        <v/>
      </c>
    </row>
    <row r="3282" spans="8:8" x14ac:dyDescent="0.2">
      <c r="H3282" s="11" t="str">
        <f>IFERROR(VLOOKUP(tbl_product_scores[[#This Row],[product_key]],tbl_products[[product_key]:[group_display_key]],2,FALSE),"")</f>
        <v/>
      </c>
    </row>
    <row r="3283" spans="8:8" x14ac:dyDescent="0.2">
      <c r="H3283" s="11" t="str">
        <f>IFERROR(VLOOKUP(tbl_product_scores[[#This Row],[product_key]],tbl_products[[product_key]:[group_display_key]],2,FALSE),"")</f>
        <v/>
      </c>
    </row>
    <row r="3284" spans="8:8" x14ac:dyDescent="0.2">
      <c r="H3284" s="11" t="str">
        <f>IFERROR(VLOOKUP(tbl_product_scores[[#This Row],[product_key]],tbl_products[[product_key]:[group_display_key]],2,FALSE),"")</f>
        <v/>
      </c>
    </row>
    <row r="3285" spans="8:8" x14ac:dyDescent="0.2">
      <c r="H3285" s="11" t="str">
        <f>IFERROR(VLOOKUP(tbl_product_scores[[#This Row],[product_key]],tbl_products[[product_key]:[group_display_key]],2,FALSE),"")</f>
        <v/>
      </c>
    </row>
    <row r="3286" spans="8:8" x14ac:dyDescent="0.2">
      <c r="H3286" s="11" t="str">
        <f>IFERROR(VLOOKUP(tbl_product_scores[[#This Row],[product_key]],tbl_products[[product_key]:[group_display_key]],2,FALSE),"")</f>
        <v/>
      </c>
    </row>
    <row r="3287" spans="8:8" x14ac:dyDescent="0.2">
      <c r="H3287" s="11" t="str">
        <f>IFERROR(VLOOKUP(tbl_product_scores[[#This Row],[product_key]],tbl_products[[product_key]:[group_display_key]],2,FALSE),"")</f>
        <v/>
      </c>
    </row>
    <row r="3288" spans="8:8" x14ac:dyDescent="0.2">
      <c r="H3288" s="11" t="str">
        <f>IFERROR(VLOOKUP(tbl_product_scores[[#This Row],[product_key]],tbl_products[[product_key]:[group_display_key]],2,FALSE),"")</f>
        <v/>
      </c>
    </row>
    <row r="3289" spans="8:8" x14ac:dyDescent="0.2">
      <c r="H3289" s="11" t="str">
        <f>IFERROR(VLOOKUP(tbl_product_scores[[#This Row],[product_key]],tbl_products[[product_key]:[group_display_key]],2,FALSE),"")</f>
        <v/>
      </c>
    </row>
    <row r="3290" spans="8:8" x14ac:dyDescent="0.2">
      <c r="H3290" s="11" t="str">
        <f>IFERROR(VLOOKUP(tbl_product_scores[[#This Row],[product_key]],tbl_products[[product_key]:[group_display_key]],2,FALSE),"")</f>
        <v/>
      </c>
    </row>
    <row r="3291" spans="8:8" x14ac:dyDescent="0.2">
      <c r="H3291" s="11" t="str">
        <f>IFERROR(VLOOKUP(tbl_product_scores[[#This Row],[product_key]],tbl_products[[product_key]:[group_display_key]],2,FALSE),"")</f>
        <v/>
      </c>
    </row>
    <row r="3292" spans="8:8" x14ac:dyDescent="0.2">
      <c r="H3292" s="11" t="str">
        <f>IFERROR(VLOOKUP(tbl_product_scores[[#This Row],[product_key]],tbl_products[[product_key]:[group_display_key]],2,FALSE),"")</f>
        <v/>
      </c>
    </row>
    <row r="3293" spans="8:8" x14ac:dyDescent="0.2">
      <c r="H3293" s="11" t="str">
        <f>IFERROR(VLOOKUP(tbl_product_scores[[#This Row],[product_key]],tbl_products[[product_key]:[group_display_key]],2,FALSE),"")</f>
        <v/>
      </c>
    </row>
    <row r="3294" spans="8:8" x14ac:dyDescent="0.2">
      <c r="H3294" s="11" t="str">
        <f>IFERROR(VLOOKUP(tbl_product_scores[[#This Row],[product_key]],tbl_products[[product_key]:[group_display_key]],2,FALSE),"")</f>
        <v/>
      </c>
    </row>
    <row r="3295" spans="8:8" x14ac:dyDescent="0.2">
      <c r="H3295" s="11" t="str">
        <f>IFERROR(VLOOKUP(tbl_product_scores[[#This Row],[product_key]],tbl_products[[product_key]:[group_display_key]],2,FALSE),"")</f>
        <v/>
      </c>
    </row>
    <row r="3296" spans="8:8" x14ac:dyDescent="0.2">
      <c r="H3296" s="11" t="str">
        <f>IFERROR(VLOOKUP(tbl_product_scores[[#This Row],[product_key]],tbl_products[[product_key]:[group_display_key]],2,FALSE),"")</f>
        <v/>
      </c>
    </row>
    <row r="3297" spans="8:8" x14ac:dyDescent="0.2">
      <c r="H3297" s="11" t="str">
        <f>IFERROR(VLOOKUP(tbl_product_scores[[#This Row],[product_key]],tbl_products[[product_key]:[group_display_key]],2,FALSE),"")</f>
        <v/>
      </c>
    </row>
    <row r="3298" spans="8:8" x14ac:dyDescent="0.2">
      <c r="H3298" s="11" t="str">
        <f>IFERROR(VLOOKUP(tbl_product_scores[[#This Row],[product_key]],tbl_products[[product_key]:[group_display_key]],2,FALSE),"")</f>
        <v/>
      </c>
    </row>
    <row r="3299" spans="8:8" x14ac:dyDescent="0.2">
      <c r="H3299" s="11" t="str">
        <f>IFERROR(VLOOKUP(tbl_product_scores[[#This Row],[product_key]],tbl_products[[product_key]:[group_display_key]],2,FALSE),"")</f>
        <v/>
      </c>
    </row>
    <row r="3300" spans="8:8" x14ac:dyDescent="0.2">
      <c r="H3300" s="11" t="str">
        <f>IFERROR(VLOOKUP(tbl_product_scores[[#This Row],[product_key]],tbl_products[[product_key]:[group_display_key]],2,FALSE),"")</f>
        <v/>
      </c>
    </row>
    <row r="3301" spans="8:8" x14ac:dyDescent="0.2">
      <c r="H3301" s="11" t="str">
        <f>IFERROR(VLOOKUP(tbl_product_scores[[#This Row],[product_key]],tbl_products[[product_key]:[group_display_key]],2,FALSE),"")</f>
        <v/>
      </c>
    </row>
    <row r="3302" spans="8:8" x14ac:dyDescent="0.2">
      <c r="H3302" s="11" t="str">
        <f>IFERROR(VLOOKUP(tbl_product_scores[[#This Row],[product_key]],tbl_products[[product_key]:[group_display_key]],2,FALSE),"")</f>
        <v/>
      </c>
    </row>
    <row r="3303" spans="8:8" x14ac:dyDescent="0.2">
      <c r="H3303" s="11" t="str">
        <f>IFERROR(VLOOKUP(tbl_product_scores[[#This Row],[product_key]],tbl_products[[product_key]:[group_display_key]],2,FALSE),"")</f>
        <v/>
      </c>
    </row>
    <row r="3304" spans="8:8" x14ac:dyDescent="0.2">
      <c r="H3304" s="11" t="str">
        <f>IFERROR(VLOOKUP(tbl_product_scores[[#This Row],[product_key]],tbl_products[[product_key]:[group_display_key]],2,FALSE),"")</f>
        <v/>
      </c>
    </row>
    <row r="3305" spans="8:8" x14ac:dyDescent="0.2">
      <c r="H3305" s="11" t="str">
        <f>IFERROR(VLOOKUP(tbl_product_scores[[#This Row],[product_key]],tbl_products[[product_key]:[group_display_key]],2,FALSE),"")</f>
        <v/>
      </c>
    </row>
    <row r="3306" spans="8:8" x14ac:dyDescent="0.2">
      <c r="H3306" s="11" t="str">
        <f>IFERROR(VLOOKUP(tbl_product_scores[[#This Row],[product_key]],tbl_products[[product_key]:[group_display_key]],2,FALSE),"")</f>
        <v/>
      </c>
    </row>
    <row r="3307" spans="8:8" x14ac:dyDescent="0.2">
      <c r="H3307" s="11" t="str">
        <f>IFERROR(VLOOKUP(tbl_product_scores[[#This Row],[product_key]],tbl_products[[product_key]:[group_display_key]],2,FALSE),"")</f>
        <v/>
      </c>
    </row>
    <row r="3308" spans="8:8" x14ac:dyDescent="0.2">
      <c r="H3308" s="11" t="str">
        <f>IFERROR(VLOOKUP(tbl_product_scores[[#This Row],[product_key]],tbl_products[[product_key]:[group_display_key]],2,FALSE),"")</f>
        <v/>
      </c>
    </row>
    <row r="3309" spans="8:8" x14ac:dyDescent="0.2">
      <c r="H3309" s="11" t="str">
        <f>IFERROR(VLOOKUP(tbl_product_scores[[#This Row],[product_key]],tbl_products[[product_key]:[group_display_key]],2,FALSE),"")</f>
        <v/>
      </c>
    </row>
    <row r="3310" spans="8:8" x14ac:dyDescent="0.2">
      <c r="H3310" s="11" t="str">
        <f>IFERROR(VLOOKUP(tbl_product_scores[[#This Row],[product_key]],tbl_products[[product_key]:[group_display_key]],2,FALSE),"")</f>
        <v/>
      </c>
    </row>
    <row r="3311" spans="8:8" x14ac:dyDescent="0.2">
      <c r="H3311" s="11" t="str">
        <f>IFERROR(VLOOKUP(tbl_product_scores[[#This Row],[product_key]],tbl_products[[product_key]:[group_display_key]],2,FALSE),"")</f>
        <v/>
      </c>
    </row>
    <row r="3312" spans="8:8" x14ac:dyDescent="0.2">
      <c r="H3312" s="11" t="str">
        <f>IFERROR(VLOOKUP(tbl_product_scores[[#This Row],[product_key]],tbl_products[[product_key]:[group_display_key]],2,FALSE),"")</f>
        <v/>
      </c>
    </row>
    <row r="3313" spans="8:8" x14ac:dyDescent="0.2">
      <c r="H3313" s="11" t="str">
        <f>IFERROR(VLOOKUP(tbl_product_scores[[#This Row],[product_key]],tbl_products[[product_key]:[group_display_key]],2,FALSE),"")</f>
        <v/>
      </c>
    </row>
    <row r="3314" spans="8:8" x14ac:dyDescent="0.2">
      <c r="H3314" s="11" t="str">
        <f>IFERROR(VLOOKUP(tbl_product_scores[[#This Row],[product_key]],tbl_products[[product_key]:[group_display_key]],2,FALSE),"")</f>
        <v/>
      </c>
    </row>
    <row r="3315" spans="8:8" x14ac:dyDescent="0.2">
      <c r="H3315" s="11" t="str">
        <f>IFERROR(VLOOKUP(tbl_product_scores[[#This Row],[product_key]],tbl_products[[product_key]:[group_display_key]],2,FALSE),"")</f>
        <v/>
      </c>
    </row>
    <row r="3316" spans="8:8" x14ac:dyDescent="0.2">
      <c r="H3316" s="11" t="str">
        <f>IFERROR(VLOOKUP(tbl_product_scores[[#This Row],[product_key]],tbl_products[[product_key]:[group_display_key]],2,FALSE),"")</f>
        <v/>
      </c>
    </row>
    <row r="3317" spans="8:8" x14ac:dyDescent="0.2">
      <c r="H3317" s="11" t="str">
        <f>IFERROR(VLOOKUP(tbl_product_scores[[#This Row],[product_key]],tbl_products[[product_key]:[group_display_key]],2,FALSE),"")</f>
        <v/>
      </c>
    </row>
    <row r="3318" spans="8:8" x14ac:dyDescent="0.2">
      <c r="H3318" s="11" t="str">
        <f>IFERROR(VLOOKUP(tbl_product_scores[[#This Row],[product_key]],tbl_products[[product_key]:[group_display_key]],2,FALSE),"")</f>
        <v/>
      </c>
    </row>
    <row r="3319" spans="8:8" x14ac:dyDescent="0.2">
      <c r="H3319" s="11" t="str">
        <f>IFERROR(VLOOKUP(tbl_product_scores[[#This Row],[product_key]],tbl_products[[product_key]:[group_display_key]],2,FALSE),"")</f>
        <v/>
      </c>
    </row>
    <row r="3320" spans="8:8" x14ac:dyDescent="0.2">
      <c r="H3320" s="11" t="str">
        <f>IFERROR(VLOOKUP(tbl_product_scores[[#This Row],[product_key]],tbl_products[[product_key]:[group_display_key]],2,FALSE),"")</f>
        <v/>
      </c>
    </row>
    <row r="3321" spans="8:8" x14ac:dyDescent="0.2">
      <c r="H3321" s="11" t="str">
        <f>IFERROR(VLOOKUP(tbl_product_scores[[#This Row],[product_key]],tbl_products[[product_key]:[group_display_key]],2,FALSE),"")</f>
        <v/>
      </c>
    </row>
    <row r="3322" spans="8:8" x14ac:dyDescent="0.2">
      <c r="H3322" s="11" t="str">
        <f>IFERROR(VLOOKUP(tbl_product_scores[[#This Row],[product_key]],tbl_products[[product_key]:[group_display_key]],2,FALSE),"")</f>
        <v/>
      </c>
    </row>
    <row r="3323" spans="8:8" x14ac:dyDescent="0.2">
      <c r="H3323" s="11" t="str">
        <f>IFERROR(VLOOKUP(tbl_product_scores[[#This Row],[product_key]],tbl_products[[product_key]:[group_display_key]],2,FALSE),"")</f>
        <v/>
      </c>
    </row>
    <row r="3324" spans="8:8" x14ac:dyDescent="0.2">
      <c r="H3324" s="11" t="str">
        <f>IFERROR(VLOOKUP(tbl_product_scores[[#This Row],[product_key]],tbl_products[[product_key]:[group_display_key]],2,FALSE),"")</f>
        <v/>
      </c>
    </row>
    <row r="3325" spans="8:8" x14ac:dyDescent="0.2">
      <c r="H3325" s="11" t="str">
        <f>IFERROR(VLOOKUP(tbl_product_scores[[#This Row],[product_key]],tbl_products[[product_key]:[group_display_key]],2,FALSE),"")</f>
        <v/>
      </c>
    </row>
    <row r="3326" spans="8:8" x14ac:dyDescent="0.2">
      <c r="H3326" s="11" t="str">
        <f>IFERROR(VLOOKUP(tbl_product_scores[[#This Row],[product_key]],tbl_products[[product_key]:[group_display_key]],2,FALSE),"")</f>
        <v/>
      </c>
    </row>
    <row r="3327" spans="8:8" x14ac:dyDescent="0.2">
      <c r="H3327" s="11" t="str">
        <f>IFERROR(VLOOKUP(tbl_product_scores[[#This Row],[product_key]],tbl_products[[product_key]:[group_display_key]],2,FALSE),"")</f>
        <v/>
      </c>
    </row>
    <row r="3328" spans="8:8" x14ac:dyDescent="0.2">
      <c r="H3328" s="11" t="str">
        <f>IFERROR(VLOOKUP(tbl_product_scores[[#This Row],[product_key]],tbl_products[[product_key]:[group_display_key]],2,FALSE),"")</f>
        <v/>
      </c>
    </row>
    <row r="3329" spans="8:8" x14ac:dyDescent="0.2">
      <c r="H3329" s="11" t="str">
        <f>IFERROR(VLOOKUP(tbl_product_scores[[#This Row],[product_key]],tbl_products[[product_key]:[group_display_key]],2,FALSE),"")</f>
        <v/>
      </c>
    </row>
    <row r="3330" spans="8:8" x14ac:dyDescent="0.2">
      <c r="H3330" s="11" t="str">
        <f>IFERROR(VLOOKUP(tbl_product_scores[[#This Row],[product_key]],tbl_products[[product_key]:[group_display_key]],2,FALSE),"")</f>
        <v/>
      </c>
    </row>
    <row r="3331" spans="8:8" x14ac:dyDescent="0.2">
      <c r="H3331" s="11" t="str">
        <f>IFERROR(VLOOKUP(tbl_product_scores[[#This Row],[product_key]],tbl_products[[product_key]:[group_display_key]],2,FALSE),"")</f>
        <v/>
      </c>
    </row>
    <row r="3332" spans="8:8" x14ac:dyDescent="0.2">
      <c r="H3332" s="11" t="str">
        <f>IFERROR(VLOOKUP(tbl_product_scores[[#This Row],[product_key]],tbl_products[[product_key]:[group_display_key]],2,FALSE),"")</f>
        <v/>
      </c>
    </row>
    <row r="3333" spans="8:8" x14ac:dyDescent="0.2">
      <c r="H3333" s="11" t="str">
        <f>IFERROR(VLOOKUP(tbl_product_scores[[#This Row],[product_key]],tbl_products[[product_key]:[group_display_key]],2,FALSE),"")</f>
        <v/>
      </c>
    </row>
    <row r="3334" spans="8:8" x14ac:dyDescent="0.2">
      <c r="H3334" s="11" t="str">
        <f>IFERROR(VLOOKUP(tbl_product_scores[[#This Row],[product_key]],tbl_products[[product_key]:[group_display_key]],2,FALSE),"")</f>
        <v/>
      </c>
    </row>
    <row r="3335" spans="8:8" x14ac:dyDescent="0.2">
      <c r="H3335" s="11" t="str">
        <f>IFERROR(VLOOKUP(tbl_product_scores[[#This Row],[product_key]],tbl_products[[product_key]:[group_display_key]],2,FALSE),"")</f>
        <v/>
      </c>
    </row>
    <row r="3336" spans="8:8" x14ac:dyDescent="0.2">
      <c r="H3336" s="11" t="str">
        <f>IFERROR(VLOOKUP(tbl_product_scores[[#This Row],[product_key]],tbl_products[[product_key]:[group_display_key]],2,FALSE),"")</f>
        <v/>
      </c>
    </row>
    <row r="3337" spans="8:8" x14ac:dyDescent="0.2">
      <c r="H3337" s="11" t="str">
        <f>IFERROR(VLOOKUP(tbl_product_scores[[#This Row],[product_key]],tbl_products[[product_key]:[group_display_key]],2,FALSE),"")</f>
        <v/>
      </c>
    </row>
    <row r="3338" spans="8:8" x14ac:dyDescent="0.2">
      <c r="H3338" s="11" t="str">
        <f>IFERROR(VLOOKUP(tbl_product_scores[[#This Row],[product_key]],tbl_products[[product_key]:[group_display_key]],2,FALSE),"")</f>
        <v/>
      </c>
    </row>
    <row r="3339" spans="8:8" x14ac:dyDescent="0.2">
      <c r="H3339" s="11" t="str">
        <f>IFERROR(VLOOKUP(tbl_product_scores[[#This Row],[product_key]],tbl_products[[product_key]:[group_display_key]],2,FALSE),"")</f>
        <v/>
      </c>
    </row>
    <row r="3340" spans="8:8" x14ac:dyDescent="0.2">
      <c r="H3340" s="11" t="str">
        <f>IFERROR(VLOOKUP(tbl_product_scores[[#This Row],[product_key]],tbl_products[[product_key]:[group_display_key]],2,FALSE),"")</f>
        <v/>
      </c>
    </row>
    <row r="3341" spans="8:8" x14ac:dyDescent="0.2">
      <c r="H3341" s="11" t="str">
        <f>IFERROR(VLOOKUP(tbl_product_scores[[#This Row],[product_key]],tbl_products[[product_key]:[group_display_key]],2,FALSE),"")</f>
        <v/>
      </c>
    </row>
    <row r="3342" spans="8:8" x14ac:dyDescent="0.2">
      <c r="H3342" s="11" t="str">
        <f>IFERROR(VLOOKUP(tbl_product_scores[[#This Row],[product_key]],tbl_products[[product_key]:[group_display_key]],2,FALSE),"")</f>
        <v/>
      </c>
    </row>
    <row r="3343" spans="8:8" x14ac:dyDescent="0.2">
      <c r="H3343" s="11" t="str">
        <f>IFERROR(VLOOKUP(tbl_product_scores[[#This Row],[product_key]],tbl_products[[product_key]:[group_display_key]],2,FALSE),"")</f>
        <v/>
      </c>
    </row>
    <row r="3344" spans="8:8" x14ac:dyDescent="0.2">
      <c r="H3344" s="11" t="str">
        <f>IFERROR(VLOOKUP(tbl_product_scores[[#This Row],[product_key]],tbl_products[[product_key]:[group_display_key]],2,FALSE),"")</f>
        <v/>
      </c>
    </row>
    <row r="3345" spans="8:8" x14ac:dyDescent="0.2">
      <c r="H3345" s="11" t="str">
        <f>IFERROR(VLOOKUP(tbl_product_scores[[#This Row],[product_key]],tbl_products[[product_key]:[group_display_key]],2,FALSE),"")</f>
        <v/>
      </c>
    </row>
    <row r="3346" spans="8:8" x14ac:dyDescent="0.2">
      <c r="H3346" s="11" t="str">
        <f>IFERROR(VLOOKUP(tbl_product_scores[[#This Row],[product_key]],tbl_products[[product_key]:[group_display_key]],2,FALSE),"")</f>
        <v/>
      </c>
    </row>
    <row r="3347" spans="8:8" x14ac:dyDescent="0.2">
      <c r="H3347" s="11" t="str">
        <f>IFERROR(VLOOKUP(tbl_product_scores[[#This Row],[product_key]],tbl_products[[product_key]:[group_display_key]],2,FALSE),"")</f>
        <v/>
      </c>
    </row>
    <row r="3348" spans="8:8" x14ac:dyDescent="0.2">
      <c r="H3348" s="11" t="str">
        <f>IFERROR(VLOOKUP(tbl_product_scores[[#This Row],[product_key]],tbl_products[[product_key]:[group_display_key]],2,FALSE),"")</f>
        <v/>
      </c>
    </row>
    <row r="3349" spans="8:8" x14ac:dyDescent="0.2">
      <c r="H3349" s="11" t="str">
        <f>IFERROR(VLOOKUP(tbl_product_scores[[#This Row],[product_key]],tbl_products[[product_key]:[group_display_key]],2,FALSE),"")</f>
        <v/>
      </c>
    </row>
    <row r="3350" spans="8:8" x14ac:dyDescent="0.2">
      <c r="H3350" s="11" t="str">
        <f>IFERROR(VLOOKUP(tbl_product_scores[[#This Row],[product_key]],tbl_products[[product_key]:[group_display_key]],2,FALSE),"")</f>
        <v/>
      </c>
    </row>
    <row r="3351" spans="8:8" x14ac:dyDescent="0.2">
      <c r="H3351" s="11" t="str">
        <f>IFERROR(VLOOKUP(tbl_product_scores[[#This Row],[product_key]],tbl_products[[product_key]:[group_display_key]],2,FALSE),"")</f>
        <v/>
      </c>
    </row>
    <row r="3352" spans="8:8" x14ac:dyDescent="0.2">
      <c r="H3352" s="11" t="str">
        <f>IFERROR(VLOOKUP(tbl_product_scores[[#This Row],[product_key]],tbl_products[[product_key]:[group_display_key]],2,FALSE),"")</f>
        <v/>
      </c>
    </row>
    <row r="3353" spans="8:8" x14ac:dyDescent="0.2">
      <c r="H3353" s="11" t="str">
        <f>IFERROR(VLOOKUP(tbl_product_scores[[#This Row],[product_key]],tbl_products[[product_key]:[group_display_key]],2,FALSE),"")</f>
        <v/>
      </c>
    </row>
    <row r="3354" spans="8:8" x14ac:dyDescent="0.2">
      <c r="H3354" s="11" t="str">
        <f>IFERROR(VLOOKUP(tbl_product_scores[[#This Row],[product_key]],tbl_products[[product_key]:[group_display_key]],2,FALSE),"")</f>
        <v/>
      </c>
    </row>
    <row r="3355" spans="8:8" x14ac:dyDescent="0.2">
      <c r="H3355" s="11" t="str">
        <f>IFERROR(VLOOKUP(tbl_product_scores[[#This Row],[product_key]],tbl_products[[product_key]:[group_display_key]],2,FALSE),"")</f>
        <v/>
      </c>
    </row>
    <row r="3356" spans="8:8" x14ac:dyDescent="0.2">
      <c r="H3356" s="11" t="str">
        <f>IFERROR(VLOOKUP(tbl_product_scores[[#This Row],[product_key]],tbl_products[[product_key]:[group_display_key]],2,FALSE),"")</f>
        <v/>
      </c>
    </row>
    <row r="3357" spans="8:8" x14ac:dyDescent="0.2">
      <c r="H3357" s="11" t="str">
        <f>IFERROR(VLOOKUP(tbl_product_scores[[#This Row],[product_key]],tbl_products[[product_key]:[group_display_key]],2,FALSE),"")</f>
        <v/>
      </c>
    </row>
    <row r="3358" spans="8:8" x14ac:dyDescent="0.2">
      <c r="H3358" s="11" t="str">
        <f>IFERROR(VLOOKUP(tbl_product_scores[[#This Row],[product_key]],tbl_products[[product_key]:[group_display_key]],2,FALSE),"")</f>
        <v/>
      </c>
    </row>
    <row r="3359" spans="8:8" x14ac:dyDescent="0.2">
      <c r="H3359" s="11" t="str">
        <f>IFERROR(VLOOKUP(tbl_product_scores[[#This Row],[product_key]],tbl_products[[product_key]:[group_display_key]],2,FALSE),"")</f>
        <v/>
      </c>
    </row>
    <row r="3360" spans="8:8" x14ac:dyDescent="0.2">
      <c r="H3360" s="11" t="str">
        <f>IFERROR(VLOOKUP(tbl_product_scores[[#This Row],[product_key]],tbl_products[[product_key]:[group_display_key]],2,FALSE),"")</f>
        <v/>
      </c>
    </row>
    <row r="3361" spans="8:8" x14ac:dyDescent="0.2">
      <c r="H3361" s="11" t="str">
        <f>IFERROR(VLOOKUP(tbl_product_scores[[#This Row],[product_key]],tbl_products[[product_key]:[group_display_key]],2,FALSE),"")</f>
        <v/>
      </c>
    </row>
    <row r="3362" spans="8:8" x14ac:dyDescent="0.2">
      <c r="H3362" s="11" t="str">
        <f>IFERROR(VLOOKUP(tbl_product_scores[[#This Row],[product_key]],tbl_products[[product_key]:[group_display_key]],2,FALSE),"")</f>
        <v/>
      </c>
    </row>
    <row r="3363" spans="8:8" x14ac:dyDescent="0.2">
      <c r="H3363" s="11" t="str">
        <f>IFERROR(VLOOKUP(tbl_product_scores[[#This Row],[product_key]],tbl_products[[product_key]:[group_display_key]],2,FALSE),"")</f>
        <v/>
      </c>
    </row>
    <row r="3364" spans="8:8" x14ac:dyDescent="0.2">
      <c r="H3364" s="11" t="str">
        <f>IFERROR(VLOOKUP(tbl_product_scores[[#This Row],[product_key]],tbl_products[[product_key]:[group_display_key]],2,FALSE),"")</f>
        <v/>
      </c>
    </row>
    <row r="3365" spans="8:8" x14ac:dyDescent="0.2">
      <c r="H3365" s="11" t="str">
        <f>IFERROR(VLOOKUP(tbl_product_scores[[#This Row],[product_key]],tbl_products[[product_key]:[group_display_key]],2,FALSE),"")</f>
        <v/>
      </c>
    </row>
    <row r="3366" spans="8:8" x14ac:dyDescent="0.2">
      <c r="H3366" s="11" t="str">
        <f>IFERROR(VLOOKUP(tbl_product_scores[[#This Row],[product_key]],tbl_products[[product_key]:[group_display_key]],2,FALSE),"")</f>
        <v/>
      </c>
    </row>
    <row r="3367" spans="8:8" x14ac:dyDescent="0.2">
      <c r="H3367" s="11" t="str">
        <f>IFERROR(VLOOKUP(tbl_product_scores[[#This Row],[product_key]],tbl_products[[product_key]:[group_display_key]],2,FALSE),"")</f>
        <v/>
      </c>
    </row>
    <row r="3368" spans="8:8" x14ac:dyDescent="0.2">
      <c r="H3368" s="11" t="str">
        <f>IFERROR(VLOOKUP(tbl_product_scores[[#This Row],[product_key]],tbl_products[[product_key]:[group_display_key]],2,FALSE),"")</f>
        <v/>
      </c>
    </row>
    <row r="3369" spans="8:8" x14ac:dyDescent="0.2">
      <c r="H3369" s="11" t="str">
        <f>IFERROR(VLOOKUP(tbl_product_scores[[#This Row],[product_key]],tbl_products[[product_key]:[group_display_key]],2,FALSE),"")</f>
        <v/>
      </c>
    </row>
    <row r="3370" spans="8:8" x14ac:dyDescent="0.2">
      <c r="H3370" s="11" t="str">
        <f>IFERROR(VLOOKUP(tbl_product_scores[[#This Row],[product_key]],tbl_products[[product_key]:[group_display_key]],2,FALSE),"")</f>
        <v/>
      </c>
    </row>
    <row r="3371" spans="8:8" x14ac:dyDescent="0.2">
      <c r="H3371" s="11" t="str">
        <f>IFERROR(VLOOKUP(tbl_product_scores[[#This Row],[product_key]],tbl_products[[product_key]:[group_display_key]],2,FALSE),"")</f>
        <v/>
      </c>
    </row>
    <row r="3372" spans="8:8" x14ac:dyDescent="0.2">
      <c r="H3372" s="11" t="str">
        <f>IFERROR(VLOOKUP(tbl_product_scores[[#This Row],[product_key]],tbl_products[[product_key]:[group_display_key]],2,FALSE),"")</f>
        <v/>
      </c>
    </row>
    <row r="3373" spans="8:8" x14ac:dyDescent="0.2">
      <c r="H3373" s="11" t="str">
        <f>IFERROR(VLOOKUP(tbl_product_scores[[#This Row],[product_key]],tbl_products[[product_key]:[group_display_key]],2,FALSE),"")</f>
        <v/>
      </c>
    </row>
    <row r="3374" spans="8:8" x14ac:dyDescent="0.2">
      <c r="H3374" s="11" t="str">
        <f>IFERROR(VLOOKUP(tbl_product_scores[[#This Row],[product_key]],tbl_products[[product_key]:[group_display_key]],2,FALSE),"")</f>
        <v/>
      </c>
    </row>
    <row r="3375" spans="8:8" x14ac:dyDescent="0.2">
      <c r="H3375" s="11" t="str">
        <f>IFERROR(VLOOKUP(tbl_product_scores[[#This Row],[product_key]],tbl_products[[product_key]:[group_display_key]],2,FALSE),"")</f>
        <v/>
      </c>
    </row>
    <row r="3376" spans="8:8" x14ac:dyDescent="0.2">
      <c r="H3376" s="11" t="str">
        <f>IFERROR(VLOOKUP(tbl_product_scores[[#This Row],[product_key]],tbl_products[[product_key]:[group_display_key]],2,FALSE),"")</f>
        <v/>
      </c>
    </row>
    <row r="3377" spans="8:8" x14ac:dyDescent="0.2">
      <c r="H3377" s="11" t="str">
        <f>IFERROR(VLOOKUP(tbl_product_scores[[#This Row],[product_key]],tbl_products[[product_key]:[group_display_key]],2,FALSE),"")</f>
        <v/>
      </c>
    </row>
    <row r="3378" spans="8:8" x14ac:dyDescent="0.2">
      <c r="H3378" s="11" t="str">
        <f>IFERROR(VLOOKUP(tbl_product_scores[[#This Row],[product_key]],tbl_products[[product_key]:[group_display_key]],2,FALSE),"")</f>
        <v/>
      </c>
    </row>
    <row r="3379" spans="8:8" x14ac:dyDescent="0.2">
      <c r="H3379" s="11" t="str">
        <f>IFERROR(VLOOKUP(tbl_product_scores[[#This Row],[product_key]],tbl_products[[product_key]:[group_display_key]],2,FALSE),"")</f>
        <v/>
      </c>
    </row>
    <row r="3380" spans="8:8" x14ac:dyDescent="0.2">
      <c r="H3380" s="11" t="str">
        <f>IFERROR(VLOOKUP(tbl_product_scores[[#This Row],[product_key]],tbl_products[[product_key]:[group_display_key]],2,FALSE),"")</f>
        <v/>
      </c>
    </row>
    <row r="3381" spans="8:8" x14ac:dyDescent="0.2">
      <c r="H3381" s="11" t="str">
        <f>IFERROR(VLOOKUP(tbl_product_scores[[#This Row],[product_key]],tbl_products[[product_key]:[group_display_key]],2,FALSE),"")</f>
        <v/>
      </c>
    </row>
    <row r="3382" spans="8:8" x14ac:dyDescent="0.2">
      <c r="H3382" s="11" t="str">
        <f>IFERROR(VLOOKUP(tbl_product_scores[[#This Row],[product_key]],tbl_products[[product_key]:[group_display_key]],2,FALSE),"")</f>
        <v/>
      </c>
    </row>
    <row r="3383" spans="8:8" x14ac:dyDescent="0.2">
      <c r="H3383" s="11" t="str">
        <f>IFERROR(VLOOKUP(tbl_product_scores[[#This Row],[product_key]],tbl_products[[product_key]:[group_display_key]],2,FALSE),"")</f>
        <v/>
      </c>
    </row>
    <row r="3384" spans="8:8" x14ac:dyDescent="0.2">
      <c r="H3384" s="11" t="str">
        <f>IFERROR(VLOOKUP(tbl_product_scores[[#This Row],[product_key]],tbl_products[[product_key]:[group_display_key]],2,FALSE),"")</f>
        <v/>
      </c>
    </row>
    <row r="3385" spans="8:8" x14ac:dyDescent="0.2">
      <c r="H3385" s="11" t="str">
        <f>IFERROR(VLOOKUP(tbl_product_scores[[#This Row],[product_key]],tbl_products[[product_key]:[group_display_key]],2,FALSE),"")</f>
        <v/>
      </c>
    </row>
    <row r="3386" spans="8:8" x14ac:dyDescent="0.2">
      <c r="H3386" s="11" t="str">
        <f>IFERROR(VLOOKUP(tbl_product_scores[[#This Row],[product_key]],tbl_products[[product_key]:[group_display_key]],2,FALSE),"")</f>
        <v/>
      </c>
    </row>
    <row r="3387" spans="8:8" x14ac:dyDescent="0.2">
      <c r="H3387" s="11" t="str">
        <f>IFERROR(VLOOKUP(tbl_product_scores[[#This Row],[product_key]],tbl_products[[product_key]:[group_display_key]],2,FALSE),"")</f>
        <v/>
      </c>
    </row>
    <row r="3388" spans="8:8" x14ac:dyDescent="0.2">
      <c r="H3388" s="11" t="str">
        <f>IFERROR(VLOOKUP(tbl_product_scores[[#This Row],[product_key]],tbl_products[[product_key]:[group_display_key]],2,FALSE),"")</f>
        <v/>
      </c>
    </row>
    <row r="3389" spans="8:8" x14ac:dyDescent="0.2">
      <c r="H3389" s="11" t="str">
        <f>IFERROR(VLOOKUP(tbl_product_scores[[#This Row],[product_key]],tbl_products[[product_key]:[group_display_key]],2,FALSE),"")</f>
        <v/>
      </c>
    </row>
    <row r="3390" spans="8:8" x14ac:dyDescent="0.2">
      <c r="H3390" s="11" t="str">
        <f>IFERROR(VLOOKUP(tbl_product_scores[[#This Row],[product_key]],tbl_products[[product_key]:[group_display_key]],2,FALSE),"")</f>
        <v/>
      </c>
    </row>
    <row r="3391" spans="8:8" x14ac:dyDescent="0.2">
      <c r="H3391" s="11" t="str">
        <f>IFERROR(VLOOKUP(tbl_product_scores[[#This Row],[product_key]],tbl_products[[product_key]:[group_display_key]],2,FALSE),"")</f>
        <v/>
      </c>
    </row>
    <row r="3392" spans="8:8" x14ac:dyDescent="0.2">
      <c r="H3392" s="11" t="str">
        <f>IFERROR(VLOOKUP(tbl_product_scores[[#This Row],[product_key]],tbl_products[[product_key]:[group_display_key]],2,FALSE),"")</f>
        <v/>
      </c>
    </row>
    <row r="3393" spans="8:8" x14ac:dyDescent="0.2">
      <c r="H3393" s="11" t="str">
        <f>IFERROR(VLOOKUP(tbl_product_scores[[#This Row],[product_key]],tbl_products[[product_key]:[group_display_key]],2,FALSE),"")</f>
        <v/>
      </c>
    </row>
    <row r="3394" spans="8:8" x14ac:dyDescent="0.2">
      <c r="H3394" s="11" t="str">
        <f>IFERROR(VLOOKUP(tbl_product_scores[[#This Row],[product_key]],tbl_products[[product_key]:[group_display_key]],2,FALSE),"")</f>
        <v/>
      </c>
    </row>
    <row r="3395" spans="8:8" x14ac:dyDescent="0.2">
      <c r="H3395" s="11" t="str">
        <f>IFERROR(VLOOKUP(tbl_product_scores[[#This Row],[product_key]],tbl_products[[product_key]:[group_display_key]],2,FALSE),"")</f>
        <v/>
      </c>
    </row>
    <row r="3396" spans="8:8" x14ac:dyDescent="0.2">
      <c r="H3396" s="11" t="str">
        <f>IFERROR(VLOOKUP(tbl_product_scores[[#This Row],[product_key]],tbl_products[[product_key]:[group_display_key]],2,FALSE),"")</f>
        <v/>
      </c>
    </row>
    <row r="3397" spans="8:8" x14ac:dyDescent="0.2">
      <c r="H3397" s="11" t="str">
        <f>IFERROR(VLOOKUP(tbl_product_scores[[#This Row],[product_key]],tbl_products[[product_key]:[group_display_key]],2,FALSE),"")</f>
        <v/>
      </c>
    </row>
    <row r="3398" spans="8:8" x14ac:dyDescent="0.2">
      <c r="H3398" s="11" t="str">
        <f>IFERROR(VLOOKUP(tbl_product_scores[[#This Row],[product_key]],tbl_products[[product_key]:[group_display_key]],2,FALSE),"")</f>
        <v/>
      </c>
    </row>
    <row r="3399" spans="8:8" x14ac:dyDescent="0.2">
      <c r="H3399" s="11" t="str">
        <f>IFERROR(VLOOKUP(tbl_product_scores[[#This Row],[product_key]],tbl_products[[product_key]:[group_display_key]],2,FALSE),"")</f>
        <v/>
      </c>
    </row>
    <row r="3400" spans="8:8" x14ac:dyDescent="0.2">
      <c r="H3400" s="11" t="str">
        <f>IFERROR(VLOOKUP(tbl_product_scores[[#This Row],[product_key]],tbl_products[[product_key]:[group_display_key]],2,FALSE),"")</f>
        <v/>
      </c>
    </row>
    <row r="3401" spans="8:8" x14ac:dyDescent="0.2">
      <c r="H3401" s="11" t="str">
        <f>IFERROR(VLOOKUP(tbl_product_scores[[#This Row],[product_key]],tbl_products[[product_key]:[group_display_key]],2,FALSE),"")</f>
        <v/>
      </c>
    </row>
    <row r="3402" spans="8:8" x14ac:dyDescent="0.2">
      <c r="H3402" s="11" t="str">
        <f>IFERROR(VLOOKUP(tbl_product_scores[[#This Row],[product_key]],tbl_products[[product_key]:[group_display_key]],2,FALSE),"")</f>
        <v/>
      </c>
    </row>
    <row r="3403" spans="8:8" x14ac:dyDescent="0.2">
      <c r="H3403" s="11" t="str">
        <f>IFERROR(VLOOKUP(tbl_product_scores[[#This Row],[product_key]],tbl_products[[product_key]:[group_display_key]],2,FALSE),"")</f>
        <v/>
      </c>
    </row>
    <row r="3404" spans="8:8" x14ac:dyDescent="0.2">
      <c r="H3404" s="11" t="str">
        <f>IFERROR(VLOOKUP(tbl_product_scores[[#This Row],[product_key]],tbl_products[[product_key]:[group_display_key]],2,FALSE),"")</f>
        <v/>
      </c>
    </row>
    <row r="3405" spans="8:8" x14ac:dyDescent="0.2">
      <c r="H3405" s="11" t="str">
        <f>IFERROR(VLOOKUP(tbl_product_scores[[#This Row],[product_key]],tbl_products[[product_key]:[group_display_key]],2,FALSE),"")</f>
        <v/>
      </c>
    </row>
    <row r="3406" spans="8:8" x14ac:dyDescent="0.2">
      <c r="H3406" s="11" t="str">
        <f>IFERROR(VLOOKUP(tbl_product_scores[[#This Row],[product_key]],tbl_products[[product_key]:[group_display_key]],2,FALSE),"")</f>
        <v/>
      </c>
    </row>
    <row r="3407" spans="8:8" x14ac:dyDescent="0.2">
      <c r="H3407" s="11" t="str">
        <f>IFERROR(VLOOKUP(tbl_product_scores[[#This Row],[product_key]],tbl_products[[product_key]:[group_display_key]],2,FALSE),"")</f>
        <v/>
      </c>
    </row>
    <row r="3408" spans="8:8" x14ac:dyDescent="0.2">
      <c r="H3408" s="11" t="str">
        <f>IFERROR(VLOOKUP(tbl_product_scores[[#This Row],[product_key]],tbl_products[[product_key]:[group_display_key]],2,FALSE),"")</f>
        <v/>
      </c>
    </row>
    <row r="3409" spans="8:8" x14ac:dyDescent="0.2">
      <c r="H3409" s="11" t="str">
        <f>IFERROR(VLOOKUP(tbl_product_scores[[#This Row],[product_key]],tbl_products[[product_key]:[group_display_key]],2,FALSE),"")</f>
        <v/>
      </c>
    </row>
    <row r="3410" spans="8:8" x14ac:dyDescent="0.2">
      <c r="H3410" s="11" t="str">
        <f>IFERROR(VLOOKUP(tbl_product_scores[[#This Row],[product_key]],tbl_products[[product_key]:[group_display_key]],2,FALSE),"")</f>
        <v/>
      </c>
    </row>
    <row r="3411" spans="8:8" x14ac:dyDescent="0.2">
      <c r="H3411" s="11" t="str">
        <f>IFERROR(VLOOKUP(tbl_product_scores[[#This Row],[product_key]],tbl_products[[product_key]:[group_display_key]],2,FALSE),"")</f>
        <v/>
      </c>
    </row>
    <row r="3412" spans="8:8" x14ac:dyDescent="0.2">
      <c r="H3412" s="11" t="str">
        <f>IFERROR(VLOOKUP(tbl_product_scores[[#This Row],[product_key]],tbl_products[[product_key]:[group_display_key]],2,FALSE),"")</f>
        <v/>
      </c>
    </row>
    <row r="3413" spans="8:8" x14ac:dyDescent="0.2">
      <c r="H3413" s="11" t="str">
        <f>IFERROR(VLOOKUP(tbl_product_scores[[#This Row],[product_key]],tbl_products[[product_key]:[group_display_key]],2,FALSE),"")</f>
        <v/>
      </c>
    </row>
    <row r="3414" spans="8:8" x14ac:dyDescent="0.2">
      <c r="H3414" s="11" t="str">
        <f>IFERROR(VLOOKUP(tbl_product_scores[[#This Row],[product_key]],tbl_products[[product_key]:[group_display_key]],2,FALSE),"")</f>
        <v/>
      </c>
    </row>
    <row r="3415" spans="8:8" x14ac:dyDescent="0.2">
      <c r="H3415" s="11" t="str">
        <f>IFERROR(VLOOKUP(tbl_product_scores[[#This Row],[product_key]],tbl_products[[product_key]:[group_display_key]],2,FALSE),"")</f>
        <v/>
      </c>
    </row>
    <row r="3416" spans="8:8" x14ac:dyDescent="0.2">
      <c r="H3416" s="11" t="str">
        <f>IFERROR(VLOOKUP(tbl_product_scores[[#This Row],[product_key]],tbl_products[[product_key]:[group_display_key]],2,FALSE),"")</f>
        <v/>
      </c>
    </row>
    <row r="3417" spans="8:8" x14ac:dyDescent="0.2">
      <c r="H3417" s="11" t="str">
        <f>IFERROR(VLOOKUP(tbl_product_scores[[#This Row],[product_key]],tbl_products[[product_key]:[group_display_key]],2,FALSE),"")</f>
        <v/>
      </c>
    </row>
    <row r="3418" spans="8:8" x14ac:dyDescent="0.2">
      <c r="H3418" s="11" t="str">
        <f>IFERROR(VLOOKUP(tbl_product_scores[[#This Row],[product_key]],tbl_products[[product_key]:[group_display_key]],2,FALSE),"")</f>
        <v/>
      </c>
    </row>
    <row r="3419" spans="8:8" x14ac:dyDescent="0.2">
      <c r="H3419" s="11" t="str">
        <f>IFERROR(VLOOKUP(tbl_product_scores[[#This Row],[product_key]],tbl_products[[product_key]:[group_display_key]],2,FALSE),"")</f>
        <v/>
      </c>
    </row>
    <row r="3420" spans="8:8" x14ac:dyDescent="0.2">
      <c r="H3420" s="11" t="str">
        <f>IFERROR(VLOOKUP(tbl_product_scores[[#This Row],[product_key]],tbl_products[[product_key]:[group_display_key]],2,FALSE),"")</f>
        <v/>
      </c>
    </row>
    <row r="3421" spans="8:8" x14ac:dyDescent="0.2">
      <c r="H3421" s="11" t="str">
        <f>IFERROR(VLOOKUP(tbl_product_scores[[#This Row],[product_key]],tbl_products[[product_key]:[group_display_key]],2,FALSE),"")</f>
        <v/>
      </c>
    </row>
    <row r="3422" spans="8:8" x14ac:dyDescent="0.2">
      <c r="H3422" s="11" t="str">
        <f>IFERROR(VLOOKUP(tbl_product_scores[[#This Row],[product_key]],tbl_products[[product_key]:[group_display_key]],2,FALSE),"")</f>
        <v/>
      </c>
    </row>
    <row r="3423" spans="8:8" x14ac:dyDescent="0.2">
      <c r="H3423" s="11" t="str">
        <f>IFERROR(VLOOKUP(tbl_product_scores[[#This Row],[product_key]],tbl_products[[product_key]:[group_display_key]],2,FALSE),"")</f>
        <v/>
      </c>
    </row>
    <row r="3424" spans="8:8" x14ac:dyDescent="0.2">
      <c r="H3424" s="11" t="str">
        <f>IFERROR(VLOOKUP(tbl_product_scores[[#This Row],[product_key]],tbl_products[[product_key]:[group_display_key]],2,FALSE),"")</f>
        <v/>
      </c>
    </row>
    <row r="3425" spans="8:8" x14ac:dyDescent="0.2">
      <c r="H3425" s="11" t="str">
        <f>IFERROR(VLOOKUP(tbl_product_scores[[#This Row],[product_key]],tbl_products[[product_key]:[group_display_key]],2,FALSE),"")</f>
        <v/>
      </c>
    </row>
    <row r="3426" spans="8:8" x14ac:dyDescent="0.2">
      <c r="H3426" s="11" t="str">
        <f>IFERROR(VLOOKUP(tbl_product_scores[[#This Row],[product_key]],tbl_products[[product_key]:[group_display_key]],2,FALSE),"")</f>
        <v/>
      </c>
    </row>
    <row r="3427" spans="8:8" x14ac:dyDescent="0.2">
      <c r="H3427" s="11" t="str">
        <f>IFERROR(VLOOKUP(tbl_product_scores[[#This Row],[product_key]],tbl_products[[product_key]:[group_display_key]],2,FALSE),"")</f>
        <v/>
      </c>
    </row>
    <row r="3428" spans="8:8" x14ac:dyDescent="0.2">
      <c r="H3428" s="11" t="str">
        <f>IFERROR(VLOOKUP(tbl_product_scores[[#This Row],[product_key]],tbl_products[[product_key]:[group_display_key]],2,FALSE),"")</f>
        <v/>
      </c>
    </row>
    <row r="3429" spans="8:8" x14ac:dyDescent="0.2">
      <c r="H3429" s="11" t="str">
        <f>IFERROR(VLOOKUP(tbl_product_scores[[#This Row],[product_key]],tbl_products[[product_key]:[group_display_key]],2,FALSE),"")</f>
        <v/>
      </c>
    </row>
    <row r="3430" spans="8:8" x14ac:dyDescent="0.2">
      <c r="H3430" s="11" t="str">
        <f>IFERROR(VLOOKUP(tbl_product_scores[[#This Row],[product_key]],tbl_products[[product_key]:[group_display_key]],2,FALSE),"")</f>
        <v/>
      </c>
    </row>
    <row r="3431" spans="8:8" x14ac:dyDescent="0.2">
      <c r="H3431" s="11" t="str">
        <f>IFERROR(VLOOKUP(tbl_product_scores[[#This Row],[product_key]],tbl_products[[product_key]:[group_display_key]],2,FALSE),"")</f>
        <v/>
      </c>
    </row>
    <row r="3432" spans="8:8" x14ac:dyDescent="0.2">
      <c r="H3432" s="11" t="str">
        <f>IFERROR(VLOOKUP(tbl_product_scores[[#This Row],[product_key]],tbl_products[[product_key]:[group_display_key]],2,FALSE),"")</f>
        <v/>
      </c>
    </row>
    <row r="3433" spans="8:8" x14ac:dyDescent="0.2">
      <c r="H3433" s="11" t="str">
        <f>IFERROR(VLOOKUP(tbl_product_scores[[#This Row],[product_key]],tbl_products[[product_key]:[group_display_key]],2,FALSE),"")</f>
        <v/>
      </c>
    </row>
    <row r="3434" spans="8:8" x14ac:dyDescent="0.2">
      <c r="H3434" s="11" t="str">
        <f>IFERROR(VLOOKUP(tbl_product_scores[[#This Row],[product_key]],tbl_products[[product_key]:[group_display_key]],2,FALSE),"")</f>
        <v/>
      </c>
    </row>
    <row r="3435" spans="8:8" x14ac:dyDescent="0.2">
      <c r="H3435" s="11" t="str">
        <f>IFERROR(VLOOKUP(tbl_product_scores[[#This Row],[product_key]],tbl_products[[product_key]:[group_display_key]],2,FALSE),"")</f>
        <v/>
      </c>
    </row>
    <row r="3436" spans="8:8" x14ac:dyDescent="0.2">
      <c r="H3436" s="11" t="str">
        <f>IFERROR(VLOOKUP(tbl_product_scores[[#This Row],[product_key]],tbl_products[[product_key]:[group_display_key]],2,FALSE),"")</f>
        <v/>
      </c>
    </row>
    <row r="3437" spans="8:8" x14ac:dyDescent="0.2">
      <c r="H3437" s="11" t="str">
        <f>IFERROR(VLOOKUP(tbl_product_scores[[#This Row],[product_key]],tbl_products[[product_key]:[group_display_key]],2,FALSE),"")</f>
        <v/>
      </c>
    </row>
    <row r="3438" spans="8:8" x14ac:dyDescent="0.2">
      <c r="H3438" s="11" t="str">
        <f>IFERROR(VLOOKUP(tbl_product_scores[[#This Row],[product_key]],tbl_products[[product_key]:[group_display_key]],2,FALSE),"")</f>
        <v/>
      </c>
    </row>
    <row r="3439" spans="8:8" x14ac:dyDescent="0.2">
      <c r="H3439" s="11" t="str">
        <f>IFERROR(VLOOKUP(tbl_product_scores[[#This Row],[product_key]],tbl_products[[product_key]:[group_display_key]],2,FALSE),"")</f>
        <v/>
      </c>
    </row>
    <row r="3440" spans="8:8" x14ac:dyDescent="0.2">
      <c r="H3440" s="11" t="str">
        <f>IFERROR(VLOOKUP(tbl_product_scores[[#This Row],[product_key]],tbl_products[[product_key]:[group_display_key]],2,FALSE),"")</f>
        <v/>
      </c>
    </row>
    <row r="3441" spans="8:8" x14ac:dyDescent="0.2">
      <c r="H3441" s="11" t="str">
        <f>IFERROR(VLOOKUP(tbl_product_scores[[#This Row],[product_key]],tbl_products[[product_key]:[group_display_key]],2,FALSE),"")</f>
        <v/>
      </c>
    </row>
    <row r="3442" spans="8:8" x14ac:dyDescent="0.2">
      <c r="H3442" s="11" t="str">
        <f>IFERROR(VLOOKUP(tbl_product_scores[[#This Row],[product_key]],tbl_products[[product_key]:[group_display_key]],2,FALSE),"")</f>
        <v/>
      </c>
    </row>
    <row r="3443" spans="8:8" x14ac:dyDescent="0.2">
      <c r="H3443" s="11" t="str">
        <f>IFERROR(VLOOKUP(tbl_product_scores[[#This Row],[product_key]],tbl_products[[product_key]:[group_display_key]],2,FALSE),"")</f>
        <v/>
      </c>
    </row>
    <row r="3444" spans="8:8" x14ac:dyDescent="0.2">
      <c r="H3444" s="11" t="str">
        <f>IFERROR(VLOOKUP(tbl_product_scores[[#This Row],[product_key]],tbl_products[[product_key]:[group_display_key]],2,FALSE),"")</f>
        <v/>
      </c>
    </row>
    <row r="3445" spans="8:8" x14ac:dyDescent="0.2">
      <c r="H3445" s="11" t="str">
        <f>IFERROR(VLOOKUP(tbl_product_scores[[#This Row],[product_key]],tbl_products[[product_key]:[group_display_key]],2,FALSE),"")</f>
        <v/>
      </c>
    </row>
    <row r="3446" spans="8:8" x14ac:dyDescent="0.2">
      <c r="H3446" s="11" t="str">
        <f>IFERROR(VLOOKUP(tbl_product_scores[[#This Row],[product_key]],tbl_products[[product_key]:[group_display_key]],2,FALSE),"")</f>
        <v/>
      </c>
    </row>
    <row r="3447" spans="8:8" x14ac:dyDescent="0.2">
      <c r="H3447" s="11" t="str">
        <f>IFERROR(VLOOKUP(tbl_product_scores[[#This Row],[product_key]],tbl_products[[product_key]:[group_display_key]],2,FALSE),"")</f>
        <v/>
      </c>
    </row>
    <row r="3448" spans="8:8" x14ac:dyDescent="0.2">
      <c r="H3448" s="11" t="str">
        <f>IFERROR(VLOOKUP(tbl_product_scores[[#This Row],[product_key]],tbl_products[[product_key]:[group_display_key]],2,FALSE),"")</f>
        <v/>
      </c>
    </row>
    <row r="3449" spans="8:8" x14ac:dyDescent="0.2">
      <c r="H3449" s="11" t="str">
        <f>IFERROR(VLOOKUP(tbl_product_scores[[#This Row],[product_key]],tbl_products[[product_key]:[group_display_key]],2,FALSE),"")</f>
        <v/>
      </c>
    </row>
    <row r="3450" spans="8:8" x14ac:dyDescent="0.2">
      <c r="H3450" s="11" t="str">
        <f>IFERROR(VLOOKUP(tbl_product_scores[[#This Row],[product_key]],tbl_products[[product_key]:[group_display_key]],2,FALSE),"")</f>
        <v/>
      </c>
    </row>
    <row r="3451" spans="8:8" x14ac:dyDescent="0.2">
      <c r="H3451" s="11" t="str">
        <f>IFERROR(VLOOKUP(tbl_product_scores[[#This Row],[product_key]],tbl_products[[product_key]:[group_display_key]],2,FALSE),"")</f>
        <v/>
      </c>
    </row>
    <row r="3452" spans="8:8" x14ac:dyDescent="0.2">
      <c r="H3452" s="11" t="str">
        <f>IFERROR(VLOOKUP(tbl_product_scores[[#This Row],[product_key]],tbl_products[[product_key]:[group_display_key]],2,FALSE),"")</f>
        <v/>
      </c>
    </row>
    <row r="3453" spans="8:8" x14ac:dyDescent="0.2">
      <c r="H3453" s="11" t="str">
        <f>IFERROR(VLOOKUP(tbl_product_scores[[#This Row],[product_key]],tbl_products[[product_key]:[group_display_key]],2,FALSE),"")</f>
        <v/>
      </c>
    </row>
    <row r="3454" spans="8:8" x14ac:dyDescent="0.2">
      <c r="H3454" s="11" t="str">
        <f>IFERROR(VLOOKUP(tbl_product_scores[[#This Row],[product_key]],tbl_products[[product_key]:[group_display_key]],2,FALSE),"")</f>
        <v/>
      </c>
    </row>
    <row r="3455" spans="8:8" x14ac:dyDescent="0.2">
      <c r="H3455" s="11" t="str">
        <f>IFERROR(VLOOKUP(tbl_product_scores[[#This Row],[product_key]],tbl_products[[product_key]:[group_display_key]],2,FALSE),"")</f>
        <v/>
      </c>
    </row>
    <row r="3456" spans="8:8" x14ac:dyDescent="0.2">
      <c r="H3456" s="11" t="str">
        <f>IFERROR(VLOOKUP(tbl_product_scores[[#This Row],[product_key]],tbl_products[[product_key]:[group_display_key]],2,FALSE),"")</f>
        <v/>
      </c>
    </row>
    <row r="3457" spans="8:8" x14ac:dyDescent="0.2">
      <c r="H3457" s="11" t="str">
        <f>IFERROR(VLOOKUP(tbl_product_scores[[#This Row],[product_key]],tbl_products[[product_key]:[group_display_key]],2,FALSE),"")</f>
        <v/>
      </c>
    </row>
    <row r="3458" spans="8:8" x14ac:dyDescent="0.2">
      <c r="H3458" s="11" t="str">
        <f>IFERROR(VLOOKUP(tbl_product_scores[[#This Row],[product_key]],tbl_products[[product_key]:[group_display_key]],2,FALSE),"")</f>
        <v/>
      </c>
    </row>
    <row r="3459" spans="8:8" x14ac:dyDescent="0.2">
      <c r="H3459" s="11" t="str">
        <f>IFERROR(VLOOKUP(tbl_product_scores[[#This Row],[product_key]],tbl_products[[product_key]:[group_display_key]],2,FALSE),"")</f>
        <v/>
      </c>
    </row>
    <row r="3460" spans="8:8" x14ac:dyDescent="0.2">
      <c r="H3460" s="11" t="str">
        <f>IFERROR(VLOOKUP(tbl_product_scores[[#This Row],[product_key]],tbl_products[[product_key]:[group_display_key]],2,FALSE),"")</f>
        <v/>
      </c>
    </row>
    <row r="3461" spans="8:8" x14ac:dyDescent="0.2">
      <c r="H3461" s="11" t="str">
        <f>IFERROR(VLOOKUP(tbl_product_scores[[#This Row],[product_key]],tbl_products[[product_key]:[group_display_key]],2,FALSE),"")</f>
        <v/>
      </c>
    </row>
    <row r="3462" spans="8:8" x14ac:dyDescent="0.2">
      <c r="H3462" s="11" t="str">
        <f>IFERROR(VLOOKUP(tbl_product_scores[[#This Row],[product_key]],tbl_products[[product_key]:[group_display_key]],2,FALSE),"")</f>
        <v/>
      </c>
    </row>
    <row r="3463" spans="8:8" x14ac:dyDescent="0.2">
      <c r="H3463" s="11" t="str">
        <f>IFERROR(VLOOKUP(tbl_product_scores[[#This Row],[product_key]],tbl_products[[product_key]:[group_display_key]],2,FALSE),"")</f>
        <v/>
      </c>
    </row>
    <row r="3464" spans="8:8" x14ac:dyDescent="0.2">
      <c r="H3464" s="11" t="str">
        <f>IFERROR(VLOOKUP(tbl_product_scores[[#This Row],[product_key]],tbl_products[[product_key]:[group_display_key]],2,FALSE),"")</f>
        <v/>
      </c>
    </row>
    <row r="3465" spans="8:8" x14ac:dyDescent="0.2">
      <c r="H3465" s="11" t="str">
        <f>IFERROR(VLOOKUP(tbl_product_scores[[#This Row],[product_key]],tbl_products[[product_key]:[group_display_key]],2,FALSE),"")</f>
        <v/>
      </c>
    </row>
    <row r="3466" spans="8:8" x14ac:dyDescent="0.2">
      <c r="H3466" s="11" t="str">
        <f>IFERROR(VLOOKUP(tbl_product_scores[[#This Row],[product_key]],tbl_products[[product_key]:[group_display_key]],2,FALSE),"")</f>
        <v/>
      </c>
    </row>
    <row r="3467" spans="8:8" x14ac:dyDescent="0.2">
      <c r="H3467" s="11" t="str">
        <f>IFERROR(VLOOKUP(tbl_product_scores[[#This Row],[product_key]],tbl_products[[product_key]:[group_display_key]],2,FALSE),"")</f>
        <v/>
      </c>
    </row>
    <row r="3468" spans="8:8" x14ac:dyDescent="0.2">
      <c r="H3468" s="11" t="str">
        <f>IFERROR(VLOOKUP(tbl_product_scores[[#This Row],[product_key]],tbl_products[[product_key]:[group_display_key]],2,FALSE),"")</f>
        <v/>
      </c>
    </row>
    <row r="3469" spans="8:8" x14ac:dyDescent="0.2">
      <c r="H3469" s="11" t="str">
        <f>IFERROR(VLOOKUP(tbl_product_scores[[#This Row],[product_key]],tbl_products[[product_key]:[group_display_key]],2,FALSE),"")</f>
        <v/>
      </c>
    </row>
    <row r="3470" spans="8:8" x14ac:dyDescent="0.2">
      <c r="H3470" s="11" t="str">
        <f>IFERROR(VLOOKUP(tbl_product_scores[[#This Row],[product_key]],tbl_products[[product_key]:[group_display_key]],2,FALSE),"")</f>
        <v/>
      </c>
    </row>
    <row r="3471" spans="8:8" x14ac:dyDescent="0.2">
      <c r="H3471" s="11" t="str">
        <f>IFERROR(VLOOKUP(tbl_product_scores[[#This Row],[product_key]],tbl_products[[product_key]:[group_display_key]],2,FALSE),"")</f>
        <v/>
      </c>
    </row>
    <row r="3472" spans="8:8" x14ac:dyDescent="0.2">
      <c r="H3472" s="11" t="str">
        <f>IFERROR(VLOOKUP(tbl_product_scores[[#This Row],[product_key]],tbl_products[[product_key]:[group_display_key]],2,FALSE),"")</f>
        <v/>
      </c>
    </row>
    <row r="3473" spans="8:8" x14ac:dyDescent="0.2">
      <c r="H3473" s="11" t="str">
        <f>IFERROR(VLOOKUP(tbl_product_scores[[#This Row],[product_key]],tbl_products[[product_key]:[group_display_key]],2,FALSE),"")</f>
        <v/>
      </c>
    </row>
    <row r="3474" spans="8:8" x14ac:dyDescent="0.2">
      <c r="H3474" s="11" t="str">
        <f>IFERROR(VLOOKUP(tbl_product_scores[[#This Row],[product_key]],tbl_products[[product_key]:[group_display_key]],2,FALSE),"")</f>
        <v/>
      </c>
    </row>
    <row r="3475" spans="8:8" x14ac:dyDescent="0.2">
      <c r="H3475" s="11" t="str">
        <f>IFERROR(VLOOKUP(tbl_product_scores[[#This Row],[product_key]],tbl_products[[product_key]:[group_display_key]],2,FALSE),"")</f>
        <v/>
      </c>
    </row>
    <row r="3476" spans="8:8" x14ac:dyDescent="0.2">
      <c r="H3476" s="11" t="str">
        <f>IFERROR(VLOOKUP(tbl_product_scores[[#This Row],[product_key]],tbl_products[[product_key]:[group_display_key]],2,FALSE),"")</f>
        <v/>
      </c>
    </row>
    <row r="3477" spans="8:8" x14ac:dyDescent="0.2">
      <c r="H3477" s="11" t="str">
        <f>IFERROR(VLOOKUP(tbl_product_scores[[#This Row],[product_key]],tbl_products[[product_key]:[group_display_key]],2,FALSE),"")</f>
        <v/>
      </c>
    </row>
    <row r="3478" spans="8:8" x14ac:dyDescent="0.2">
      <c r="H3478" s="11" t="str">
        <f>IFERROR(VLOOKUP(tbl_product_scores[[#This Row],[product_key]],tbl_products[[product_key]:[group_display_key]],2,FALSE),"")</f>
        <v/>
      </c>
    </row>
    <row r="3479" spans="8:8" x14ac:dyDescent="0.2">
      <c r="H3479" s="11" t="str">
        <f>IFERROR(VLOOKUP(tbl_product_scores[[#This Row],[product_key]],tbl_products[[product_key]:[group_display_key]],2,FALSE),"")</f>
        <v/>
      </c>
    </row>
    <row r="3480" spans="8:8" x14ac:dyDescent="0.2">
      <c r="H3480" s="11" t="str">
        <f>IFERROR(VLOOKUP(tbl_product_scores[[#This Row],[product_key]],tbl_products[[product_key]:[group_display_key]],2,FALSE),"")</f>
        <v/>
      </c>
    </row>
    <row r="3481" spans="8:8" x14ac:dyDescent="0.2">
      <c r="H3481" s="11" t="str">
        <f>IFERROR(VLOOKUP(tbl_product_scores[[#This Row],[product_key]],tbl_products[[product_key]:[group_display_key]],2,FALSE),"")</f>
        <v/>
      </c>
    </row>
    <row r="3482" spans="8:8" x14ac:dyDescent="0.2">
      <c r="H3482" s="11" t="str">
        <f>IFERROR(VLOOKUP(tbl_product_scores[[#This Row],[product_key]],tbl_products[[product_key]:[group_display_key]],2,FALSE),"")</f>
        <v/>
      </c>
    </row>
    <row r="3483" spans="8:8" x14ac:dyDescent="0.2">
      <c r="H3483" s="11" t="str">
        <f>IFERROR(VLOOKUP(tbl_product_scores[[#This Row],[product_key]],tbl_products[[product_key]:[group_display_key]],2,FALSE),"")</f>
        <v/>
      </c>
    </row>
    <row r="3484" spans="8:8" x14ac:dyDescent="0.2">
      <c r="H3484" s="11" t="str">
        <f>IFERROR(VLOOKUP(tbl_product_scores[[#This Row],[product_key]],tbl_products[[product_key]:[group_display_key]],2,FALSE),"")</f>
        <v/>
      </c>
    </row>
    <row r="3485" spans="8:8" x14ac:dyDescent="0.2">
      <c r="H3485" s="11" t="str">
        <f>IFERROR(VLOOKUP(tbl_product_scores[[#This Row],[product_key]],tbl_products[[product_key]:[group_display_key]],2,FALSE),"")</f>
        <v/>
      </c>
    </row>
    <row r="3486" spans="8:8" x14ac:dyDescent="0.2">
      <c r="H3486" s="11" t="str">
        <f>IFERROR(VLOOKUP(tbl_product_scores[[#This Row],[product_key]],tbl_products[[product_key]:[group_display_key]],2,FALSE),"")</f>
        <v/>
      </c>
    </row>
    <row r="3487" spans="8:8" x14ac:dyDescent="0.2">
      <c r="H3487" s="11" t="str">
        <f>IFERROR(VLOOKUP(tbl_product_scores[[#This Row],[product_key]],tbl_products[[product_key]:[group_display_key]],2,FALSE),"")</f>
        <v/>
      </c>
    </row>
    <row r="3488" spans="8:8" x14ac:dyDescent="0.2">
      <c r="H3488" s="11" t="str">
        <f>IFERROR(VLOOKUP(tbl_product_scores[[#This Row],[product_key]],tbl_products[[product_key]:[group_display_key]],2,FALSE),"")</f>
        <v/>
      </c>
    </row>
    <row r="3489" spans="8:8" x14ac:dyDescent="0.2">
      <c r="H3489" s="11" t="str">
        <f>IFERROR(VLOOKUP(tbl_product_scores[[#This Row],[product_key]],tbl_products[[product_key]:[group_display_key]],2,FALSE),"")</f>
        <v/>
      </c>
    </row>
    <row r="3490" spans="8:8" x14ac:dyDescent="0.2">
      <c r="H3490" s="11" t="str">
        <f>IFERROR(VLOOKUP(tbl_product_scores[[#This Row],[product_key]],tbl_products[[product_key]:[group_display_key]],2,FALSE),"")</f>
        <v/>
      </c>
    </row>
    <row r="3491" spans="8:8" x14ac:dyDescent="0.2">
      <c r="H3491" s="11" t="str">
        <f>IFERROR(VLOOKUP(tbl_product_scores[[#This Row],[product_key]],tbl_products[[product_key]:[group_display_key]],2,FALSE),"")</f>
        <v/>
      </c>
    </row>
    <row r="3492" spans="8:8" x14ac:dyDescent="0.2">
      <c r="H3492" s="11" t="str">
        <f>IFERROR(VLOOKUP(tbl_product_scores[[#This Row],[product_key]],tbl_products[[product_key]:[group_display_key]],2,FALSE),"")</f>
        <v/>
      </c>
    </row>
    <row r="3493" spans="8:8" x14ac:dyDescent="0.2">
      <c r="H3493" s="11" t="str">
        <f>IFERROR(VLOOKUP(tbl_product_scores[[#This Row],[product_key]],tbl_products[[product_key]:[group_display_key]],2,FALSE),"")</f>
        <v/>
      </c>
    </row>
    <row r="3494" spans="8:8" x14ac:dyDescent="0.2">
      <c r="H3494" s="11" t="str">
        <f>IFERROR(VLOOKUP(tbl_product_scores[[#This Row],[product_key]],tbl_products[[product_key]:[group_display_key]],2,FALSE),"")</f>
        <v/>
      </c>
    </row>
    <row r="3495" spans="8:8" x14ac:dyDescent="0.2">
      <c r="H3495" s="11" t="str">
        <f>IFERROR(VLOOKUP(tbl_product_scores[[#This Row],[product_key]],tbl_products[[product_key]:[group_display_key]],2,FALSE),"")</f>
        <v/>
      </c>
    </row>
    <row r="3496" spans="8:8" x14ac:dyDescent="0.2">
      <c r="H3496" s="11" t="str">
        <f>IFERROR(VLOOKUP(tbl_product_scores[[#This Row],[product_key]],tbl_products[[product_key]:[group_display_key]],2,FALSE),"")</f>
        <v/>
      </c>
    </row>
    <row r="3497" spans="8:8" x14ac:dyDescent="0.2">
      <c r="H3497" s="11" t="str">
        <f>IFERROR(VLOOKUP(tbl_product_scores[[#This Row],[product_key]],tbl_products[[product_key]:[group_display_key]],2,FALSE),"")</f>
        <v/>
      </c>
    </row>
    <row r="3498" spans="8:8" x14ac:dyDescent="0.2">
      <c r="H3498" s="11" t="str">
        <f>IFERROR(VLOOKUP(tbl_product_scores[[#This Row],[product_key]],tbl_products[[product_key]:[group_display_key]],2,FALSE),"")</f>
        <v/>
      </c>
    </row>
    <row r="3499" spans="8:8" x14ac:dyDescent="0.2">
      <c r="H3499" s="11" t="str">
        <f>IFERROR(VLOOKUP(tbl_product_scores[[#This Row],[product_key]],tbl_products[[product_key]:[group_display_key]],2,FALSE),"")</f>
        <v/>
      </c>
    </row>
    <row r="3500" spans="8:8" x14ac:dyDescent="0.2">
      <c r="H3500" s="11" t="str">
        <f>IFERROR(VLOOKUP(tbl_product_scores[[#This Row],[product_key]],tbl_products[[product_key]:[group_display_key]],2,FALSE),"")</f>
        <v/>
      </c>
    </row>
    <row r="3501" spans="8:8" x14ac:dyDescent="0.2">
      <c r="H3501" s="11" t="str">
        <f>IFERROR(VLOOKUP(tbl_product_scores[[#This Row],[product_key]],tbl_products[[product_key]:[group_display_key]],2,FALSE),"")</f>
        <v/>
      </c>
    </row>
    <row r="3502" spans="8:8" x14ac:dyDescent="0.2">
      <c r="H3502" s="11" t="str">
        <f>IFERROR(VLOOKUP(tbl_product_scores[[#This Row],[product_key]],tbl_products[[product_key]:[group_display_key]],2,FALSE),"")</f>
        <v/>
      </c>
    </row>
    <row r="3503" spans="8:8" x14ac:dyDescent="0.2">
      <c r="H3503" s="11" t="str">
        <f>IFERROR(VLOOKUP(tbl_product_scores[[#This Row],[product_key]],tbl_products[[product_key]:[group_display_key]],2,FALSE),"")</f>
        <v/>
      </c>
    </row>
    <row r="3504" spans="8:8" x14ac:dyDescent="0.2">
      <c r="H3504" s="11" t="str">
        <f>IFERROR(VLOOKUP(tbl_product_scores[[#This Row],[product_key]],tbl_products[[product_key]:[group_display_key]],2,FALSE),"")</f>
        <v/>
      </c>
    </row>
    <row r="3505" spans="8:8" x14ac:dyDescent="0.2">
      <c r="H3505" s="11" t="str">
        <f>IFERROR(VLOOKUP(tbl_product_scores[[#This Row],[product_key]],tbl_products[[product_key]:[group_display_key]],2,FALSE),"")</f>
        <v/>
      </c>
    </row>
    <row r="3506" spans="8:8" x14ac:dyDescent="0.2">
      <c r="H3506" s="11" t="str">
        <f>IFERROR(VLOOKUP(tbl_product_scores[[#This Row],[product_key]],tbl_products[[product_key]:[group_display_key]],2,FALSE),"")</f>
        <v/>
      </c>
    </row>
    <row r="3507" spans="8:8" x14ac:dyDescent="0.2">
      <c r="H3507" s="11" t="str">
        <f>IFERROR(VLOOKUP(tbl_product_scores[[#This Row],[product_key]],tbl_products[[product_key]:[group_display_key]],2,FALSE),"")</f>
        <v/>
      </c>
    </row>
    <row r="3508" spans="8:8" x14ac:dyDescent="0.2">
      <c r="H3508" s="11" t="str">
        <f>IFERROR(VLOOKUP(tbl_product_scores[[#This Row],[product_key]],tbl_products[[product_key]:[group_display_key]],2,FALSE),"")</f>
        <v/>
      </c>
    </row>
    <row r="3509" spans="8:8" x14ac:dyDescent="0.2">
      <c r="H3509" s="11" t="str">
        <f>IFERROR(VLOOKUP(tbl_product_scores[[#This Row],[product_key]],tbl_products[[product_key]:[group_display_key]],2,FALSE),"")</f>
        <v/>
      </c>
    </row>
    <row r="3510" spans="8:8" x14ac:dyDescent="0.2">
      <c r="H3510" s="11" t="str">
        <f>IFERROR(VLOOKUP(tbl_product_scores[[#This Row],[product_key]],tbl_products[[product_key]:[group_display_key]],2,FALSE),"")</f>
        <v/>
      </c>
    </row>
    <row r="3511" spans="8:8" x14ac:dyDescent="0.2">
      <c r="H3511" s="11" t="str">
        <f>IFERROR(VLOOKUP(tbl_product_scores[[#This Row],[product_key]],tbl_products[[product_key]:[group_display_key]],2,FALSE),"")</f>
        <v/>
      </c>
    </row>
    <row r="3512" spans="8:8" x14ac:dyDescent="0.2">
      <c r="H3512" s="11" t="str">
        <f>IFERROR(VLOOKUP(tbl_product_scores[[#This Row],[product_key]],tbl_products[[product_key]:[group_display_key]],2,FALSE),"")</f>
        <v/>
      </c>
    </row>
    <row r="3513" spans="8:8" x14ac:dyDescent="0.2">
      <c r="H3513" s="11" t="str">
        <f>IFERROR(VLOOKUP(tbl_product_scores[[#This Row],[product_key]],tbl_products[[product_key]:[group_display_key]],2,FALSE),"")</f>
        <v/>
      </c>
    </row>
    <row r="3514" spans="8:8" x14ac:dyDescent="0.2">
      <c r="H3514" s="11" t="str">
        <f>IFERROR(VLOOKUP(tbl_product_scores[[#This Row],[product_key]],tbl_products[[product_key]:[group_display_key]],2,FALSE),"")</f>
        <v/>
      </c>
    </row>
    <row r="3515" spans="8:8" x14ac:dyDescent="0.2">
      <c r="H3515" s="11" t="str">
        <f>IFERROR(VLOOKUP(tbl_product_scores[[#This Row],[product_key]],tbl_products[[product_key]:[group_display_key]],2,FALSE),"")</f>
        <v/>
      </c>
    </row>
    <row r="3516" spans="8:8" x14ac:dyDescent="0.2">
      <c r="H3516" s="11" t="str">
        <f>IFERROR(VLOOKUP(tbl_product_scores[[#This Row],[product_key]],tbl_products[[product_key]:[group_display_key]],2,FALSE),"")</f>
        <v/>
      </c>
    </row>
    <row r="3517" spans="8:8" x14ac:dyDescent="0.2">
      <c r="H3517" s="11" t="str">
        <f>IFERROR(VLOOKUP(tbl_product_scores[[#This Row],[product_key]],tbl_products[[product_key]:[group_display_key]],2,FALSE),"")</f>
        <v/>
      </c>
    </row>
    <row r="3518" spans="8:8" x14ac:dyDescent="0.2">
      <c r="H3518" s="11" t="str">
        <f>IFERROR(VLOOKUP(tbl_product_scores[[#This Row],[product_key]],tbl_products[[product_key]:[group_display_key]],2,FALSE),"")</f>
        <v/>
      </c>
    </row>
    <row r="3519" spans="8:8" x14ac:dyDescent="0.2">
      <c r="H3519" s="11" t="str">
        <f>IFERROR(VLOOKUP(tbl_product_scores[[#This Row],[product_key]],tbl_products[[product_key]:[group_display_key]],2,FALSE),"")</f>
        <v/>
      </c>
    </row>
    <row r="3520" spans="8:8" x14ac:dyDescent="0.2">
      <c r="H3520" s="11" t="str">
        <f>IFERROR(VLOOKUP(tbl_product_scores[[#This Row],[product_key]],tbl_products[[product_key]:[group_display_key]],2,FALSE),"")</f>
        <v/>
      </c>
    </row>
    <row r="3521" spans="8:8" x14ac:dyDescent="0.2">
      <c r="H3521" s="11" t="str">
        <f>IFERROR(VLOOKUP(tbl_product_scores[[#This Row],[product_key]],tbl_products[[product_key]:[group_display_key]],2,FALSE),"")</f>
        <v/>
      </c>
    </row>
    <row r="3522" spans="8:8" x14ac:dyDescent="0.2">
      <c r="H3522" s="11" t="str">
        <f>IFERROR(VLOOKUP(tbl_product_scores[[#This Row],[product_key]],tbl_products[[product_key]:[group_display_key]],2,FALSE),"")</f>
        <v/>
      </c>
    </row>
    <row r="3523" spans="8:8" x14ac:dyDescent="0.2">
      <c r="H3523" s="11" t="str">
        <f>IFERROR(VLOOKUP(tbl_product_scores[[#This Row],[product_key]],tbl_products[[product_key]:[group_display_key]],2,FALSE),"")</f>
        <v/>
      </c>
    </row>
    <row r="3524" spans="8:8" x14ac:dyDescent="0.2">
      <c r="H3524" s="11" t="str">
        <f>IFERROR(VLOOKUP(tbl_product_scores[[#This Row],[product_key]],tbl_products[[product_key]:[group_display_key]],2,FALSE),"")</f>
        <v/>
      </c>
    </row>
    <row r="3525" spans="8:8" x14ac:dyDescent="0.2">
      <c r="H3525" s="11" t="str">
        <f>IFERROR(VLOOKUP(tbl_product_scores[[#This Row],[product_key]],tbl_products[[product_key]:[group_display_key]],2,FALSE),"")</f>
        <v/>
      </c>
    </row>
    <row r="3526" spans="8:8" x14ac:dyDescent="0.2">
      <c r="H3526" s="11" t="str">
        <f>IFERROR(VLOOKUP(tbl_product_scores[[#This Row],[product_key]],tbl_products[[product_key]:[group_display_key]],2,FALSE),"")</f>
        <v/>
      </c>
    </row>
    <row r="3527" spans="8:8" x14ac:dyDescent="0.2">
      <c r="H3527" s="11" t="str">
        <f>IFERROR(VLOOKUP(tbl_product_scores[[#This Row],[product_key]],tbl_products[[product_key]:[group_display_key]],2,FALSE),"")</f>
        <v/>
      </c>
    </row>
    <row r="3528" spans="8:8" x14ac:dyDescent="0.2">
      <c r="H3528" s="11" t="str">
        <f>IFERROR(VLOOKUP(tbl_product_scores[[#This Row],[product_key]],tbl_products[[product_key]:[group_display_key]],2,FALSE),"")</f>
        <v/>
      </c>
    </row>
    <row r="3529" spans="8:8" x14ac:dyDescent="0.2">
      <c r="H3529" s="11" t="str">
        <f>IFERROR(VLOOKUP(tbl_product_scores[[#This Row],[product_key]],tbl_products[[product_key]:[group_display_key]],2,FALSE),"")</f>
        <v/>
      </c>
    </row>
    <row r="3530" spans="8:8" x14ac:dyDescent="0.2">
      <c r="H3530" s="11" t="str">
        <f>IFERROR(VLOOKUP(tbl_product_scores[[#This Row],[product_key]],tbl_products[[product_key]:[group_display_key]],2,FALSE),"")</f>
        <v/>
      </c>
    </row>
    <row r="3531" spans="8:8" x14ac:dyDescent="0.2">
      <c r="H3531" s="11" t="str">
        <f>IFERROR(VLOOKUP(tbl_product_scores[[#This Row],[product_key]],tbl_products[[product_key]:[group_display_key]],2,FALSE),"")</f>
        <v/>
      </c>
    </row>
    <row r="3532" spans="8:8" x14ac:dyDescent="0.2">
      <c r="H3532" s="11" t="str">
        <f>IFERROR(VLOOKUP(tbl_product_scores[[#This Row],[product_key]],tbl_products[[product_key]:[group_display_key]],2,FALSE),"")</f>
        <v/>
      </c>
    </row>
    <row r="3533" spans="8:8" x14ac:dyDescent="0.2">
      <c r="H3533" s="11" t="str">
        <f>IFERROR(VLOOKUP(tbl_product_scores[[#This Row],[product_key]],tbl_products[[product_key]:[group_display_key]],2,FALSE),"")</f>
        <v/>
      </c>
    </row>
    <row r="3534" spans="8:8" x14ac:dyDescent="0.2">
      <c r="H3534" s="11" t="str">
        <f>IFERROR(VLOOKUP(tbl_product_scores[[#This Row],[product_key]],tbl_products[[product_key]:[group_display_key]],2,FALSE),"")</f>
        <v/>
      </c>
    </row>
    <row r="3535" spans="8:8" x14ac:dyDescent="0.2">
      <c r="H3535" s="11" t="str">
        <f>IFERROR(VLOOKUP(tbl_product_scores[[#This Row],[product_key]],tbl_products[[product_key]:[group_display_key]],2,FALSE),"")</f>
        <v/>
      </c>
    </row>
    <row r="3536" spans="8:8" x14ac:dyDescent="0.2">
      <c r="H3536" s="11" t="str">
        <f>IFERROR(VLOOKUP(tbl_product_scores[[#This Row],[product_key]],tbl_products[[product_key]:[group_display_key]],2,FALSE),"")</f>
        <v/>
      </c>
    </row>
    <row r="3537" spans="8:8" x14ac:dyDescent="0.2">
      <c r="H3537" s="11" t="str">
        <f>IFERROR(VLOOKUP(tbl_product_scores[[#This Row],[product_key]],tbl_products[[product_key]:[group_display_key]],2,FALSE),"")</f>
        <v/>
      </c>
    </row>
    <row r="3538" spans="8:8" x14ac:dyDescent="0.2">
      <c r="H3538" s="11" t="str">
        <f>IFERROR(VLOOKUP(tbl_product_scores[[#This Row],[product_key]],tbl_products[[product_key]:[group_display_key]],2,FALSE),"")</f>
        <v/>
      </c>
    </row>
    <row r="3539" spans="8:8" x14ac:dyDescent="0.2">
      <c r="H3539" s="11" t="str">
        <f>IFERROR(VLOOKUP(tbl_product_scores[[#This Row],[product_key]],tbl_products[[product_key]:[group_display_key]],2,FALSE),"")</f>
        <v/>
      </c>
    </row>
    <row r="3540" spans="8:8" x14ac:dyDescent="0.2">
      <c r="H3540" s="11" t="str">
        <f>IFERROR(VLOOKUP(tbl_product_scores[[#This Row],[product_key]],tbl_products[[product_key]:[group_display_key]],2,FALSE),"")</f>
        <v/>
      </c>
    </row>
    <row r="3541" spans="8:8" x14ac:dyDescent="0.2">
      <c r="H3541" s="11" t="str">
        <f>IFERROR(VLOOKUP(tbl_product_scores[[#This Row],[product_key]],tbl_products[[product_key]:[group_display_key]],2,FALSE),"")</f>
        <v/>
      </c>
    </row>
    <row r="3542" spans="8:8" x14ac:dyDescent="0.2">
      <c r="H3542" s="11" t="str">
        <f>IFERROR(VLOOKUP(tbl_product_scores[[#This Row],[product_key]],tbl_products[[product_key]:[group_display_key]],2,FALSE),"")</f>
        <v/>
      </c>
    </row>
    <row r="3543" spans="8:8" x14ac:dyDescent="0.2">
      <c r="H3543" s="11" t="str">
        <f>IFERROR(VLOOKUP(tbl_product_scores[[#This Row],[product_key]],tbl_products[[product_key]:[group_display_key]],2,FALSE),"")</f>
        <v/>
      </c>
    </row>
    <row r="3544" spans="8:8" x14ac:dyDescent="0.2">
      <c r="H3544" s="11" t="str">
        <f>IFERROR(VLOOKUP(tbl_product_scores[[#This Row],[product_key]],tbl_products[[product_key]:[group_display_key]],2,FALSE),"")</f>
        <v/>
      </c>
    </row>
    <row r="3545" spans="8:8" x14ac:dyDescent="0.2">
      <c r="H3545" s="11" t="str">
        <f>IFERROR(VLOOKUP(tbl_product_scores[[#This Row],[product_key]],tbl_products[[product_key]:[group_display_key]],2,FALSE),"")</f>
        <v/>
      </c>
    </row>
    <row r="3546" spans="8:8" x14ac:dyDescent="0.2">
      <c r="H3546" s="11" t="str">
        <f>IFERROR(VLOOKUP(tbl_product_scores[[#This Row],[product_key]],tbl_products[[product_key]:[group_display_key]],2,FALSE),"")</f>
        <v/>
      </c>
    </row>
    <row r="3547" spans="8:8" x14ac:dyDescent="0.2">
      <c r="H3547" s="11" t="str">
        <f>IFERROR(VLOOKUP(tbl_product_scores[[#This Row],[product_key]],tbl_products[[product_key]:[group_display_key]],2,FALSE),"")</f>
        <v/>
      </c>
    </row>
    <row r="3548" spans="8:8" x14ac:dyDescent="0.2">
      <c r="H3548" s="11" t="str">
        <f>IFERROR(VLOOKUP(tbl_product_scores[[#This Row],[product_key]],tbl_products[[product_key]:[group_display_key]],2,FALSE),"")</f>
        <v/>
      </c>
    </row>
    <row r="3549" spans="8:8" x14ac:dyDescent="0.2">
      <c r="H3549" s="11" t="str">
        <f>IFERROR(VLOOKUP(tbl_product_scores[[#This Row],[product_key]],tbl_products[[product_key]:[group_display_key]],2,FALSE),"")</f>
        <v/>
      </c>
    </row>
    <row r="3550" spans="8:8" x14ac:dyDescent="0.2">
      <c r="H3550" s="11" t="str">
        <f>IFERROR(VLOOKUP(tbl_product_scores[[#This Row],[product_key]],tbl_products[[product_key]:[group_display_key]],2,FALSE),"")</f>
        <v/>
      </c>
    </row>
    <row r="3551" spans="8:8" x14ac:dyDescent="0.2">
      <c r="H3551" s="11" t="str">
        <f>IFERROR(VLOOKUP(tbl_product_scores[[#This Row],[product_key]],tbl_products[[product_key]:[group_display_key]],2,FALSE),"")</f>
        <v/>
      </c>
    </row>
    <row r="3552" spans="8:8" x14ac:dyDescent="0.2">
      <c r="H3552" s="11" t="str">
        <f>IFERROR(VLOOKUP(tbl_product_scores[[#This Row],[product_key]],tbl_products[[product_key]:[group_display_key]],2,FALSE),"")</f>
        <v/>
      </c>
    </row>
    <row r="3553" spans="8:8" x14ac:dyDescent="0.2">
      <c r="H3553" s="11" t="str">
        <f>IFERROR(VLOOKUP(tbl_product_scores[[#This Row],[product_key]],tbl_products[[product_key]:[group_display_key]],2,FALSE),"")</f>
        <v/>
      </c>
    </row>
    <row r="3554" spans="8:8" x14ac:dyDescent="0.2">
      <c r="H3554" s="11" t="str">
        <f>IFERROR(VLOOKUP(tbl_product_scores[[#This Row],[product_key]],tbl_products[[product_key]:[group_display_key]],2,FALSE),"")</f>
        <v/>
      </c>
    </row>
    <row r="3555" spans="8:8" x14ac:dyDescent="0.2">
      <c r="H3555" s="11" t="str">
        <f>IFERROR(VLOOKUP(tbl_product_scores[[#This Row],[product_key]],tbl_products[[product_key]:[group_display_key]],2,FALSE),"")</f>
        <v/>
      </c>
    </row>
    <row r="3556" spans="8:8" x14ac:dyDescent="0.2">
      <c r="H3556" s="11" t="str">
        <f>IFERROR(VLOOKUP(tbl_product_scores[[#This Row],[product_key]],tbl_products[[product_key]:[group_display_key]],2,FALSE),"")</f>
        <v/>
      </c>
    </row>
    <row r="3557" spans="8:8" x14ac:dyDescent="0.2">
      <c r="H3557" s="11" t="str">
        <f>IFERROR(VLOOKUP(tbl_product_scores[[#This Row],[product_key]],tbl_products[[product_key]:[group_display_key]],2,FALSE),"")</f>
        <v/>
      </c>
    </row>
    <row r="3558" spans="8:8" x14ac:dyDescent="0.2">
      <c r="H3558" s="11" t="str">
        <f>IFERROR(VLOOKUP(tbl_product_scores[[#This Row],[product_key]],tbl_products[[product_key]:[group_display_key]],2,FALSE),"")</f>
        <v/>
      </c>
    </row>
    <row r="3559" spans="8:8" x14ac:dyDescent="0.2">
      <c r="H3559" s="11" t="str">
        <f>IFERROR(VLOOKUP(tbl_product_scores[[#This Row],[product_key]],tbl_products[[product_key]:[group_display_key]],2,FALSE),"")</f>
        <v/>
      </c>
    </row>
    <row r="3560" spans="8:8" x14ac:dyDescent="0.2">
      <c r="H3560" s="11" t="str">
        <f>IFERROR(VLOOKUP(tbl_product_scores[[#This Row],[product_key]],tbl_products[[product_key]:[group_display_key]],2,FALSE),"")</f>
        <v/>
      </c>
    </row>
    <row r="3561" spans="8:8" x14ac:dyDescent="0.2">
      <c r="H3561" s="11" t="str">
        <f>IFERROR(VLOOKUP(tbl_product_scores[[#This Row],[product_key]],tbl_products[[product_key]:[group_display_key]],2,FALSE),"")</f>
        <v/>
      </c>
    </row>
    <row r="3562" spans="8:8" x14ac:dyDescent="0.2">
      <c r="H3562" s="11" t="str">
        <f>IFERROR(VLOOKUP(tbl_product_scores[[#This Row],[product_key]],tbl_products[[product_key]:[group_display_key]],2,FALSE),"")</f>
        <v/>
      </c>
    </row>
    <row r="3563" spans="8:8" x14ac:dyDescent="0.2">
      <c r="H3563" s="11" t="str">
        <f>IFERROR(VLOOKUP(tbl_product_scores[[#This Row],[product_key]],tbl_products[[product_key]:[group_display_key]],2,FALSE),"")</f>
        <v/>
      </c>
    </row>
    <row r="3564" spans="8:8" x14ac:dyDescent="0.2">
      <c r="H3564" s="11" t="str">
        <f>IFERROR(VLOOKUP(tbl_product_scores[[#This Row],[product_key]],tbl_products[[product_key]:[group_display_key]],2,FALSE),"")</f>
        <v/>
      </c>
    </row>
    <row r="3565" spans="8:8" x14ac:dyDescent="0.2">
      <c r="H3565" s="11" t="str">
        <f>IFERROR(VLOOKUP(tbl_product_scores[[#This Row],[product_key]],tbl_products[[product_key]:[group_display_key]],2,FALSE),"")</f>
        <v/>
      </c>
    </row>
    <row r="3566" spans="8:8" x14ac:dyDescent="0.2">
      <c r="H3566" s="11" t="str">
        <f>IFERROR(VLOOKUP(tbl_product_scores[[#This Row],[product_key]],tbl_products[[product_key]:[group_display_key]],2,FALSE),"")</f>
        <v/>
      </c>
    </row>
    <row r="3567" spans="8:8" x14ac:dyDescent="0.2">
      <c r="H3567" s="11" t="str">
        <f>IFERROR(VLOOKUP(tbl_product_scores[[#This Row],[product_key]],tbl_products[[product_key]:[group_display_key]],2,FALSE),"")</f>
        <v/>
      </c>
    </row>
    <row r="3568" spans="8:8" x14ac:dyDescent="0.2">
      <c r="H3568" s="11" t="str">
        <f>IFERROR(VLOOKUP(tbl_product_scores[[#This Row],[product_key]],tbl_products[[product_key]:[group_display_key]],2,FALSE),"")</f>
        <v/>
      </c>
    </row>
    <row r="3569" spans="8:8" x14ac:dyDescent="0.2">
      <c r="H3569" s="11" t="str">
        <f>IFERROR(VLOOKUP(tbl_product_scores[[#This Row],[product_key]],tbl_products[[product_key]:[group_display_key]],2,FALSE),"")</f>
        <v/>
      </c>
    </row>
    <row r="3570" spans="8:8" x14ac:dyDescent="0.2">
      <c r="H3570" s="11" t="str">
        <f>IFERROR(VLOOKUP(tbl_product_scores[[#This Row],[product_key]],tbl_products[[product_key]:[group_display_key]],2,FALSE),"")</f>
        <v/>
      </c>
    </row>
    <row r="3571" spans="8:8" x14ac:dyDescent="0.2">
      <c r="H3571" s="11" t="str">
        <f>IFERROR(VLOOKUP(tbl_product_scores[[#This Row],[product_key]],tbl_products[[product_key]:[group_display_key]],2,FALSE),"")</f>
        <v/>
      </c>
    </row>
    <row r="3572" spans="8:8" x14ac:dyDescent="0.2">
      <c r="H3572" s="11" t="str">
        <f>IFERROR(VLOOKUP(tbl_product_scores[[#This Row],[product_key]],tbl_products[[product_key]:[group_display_key]],2,FALSE),"")</f>
        <v/>
      </c>
    </row>
    <row r="3573" spans="8:8" x14ac:dyDescent="0.2">
      <c r="H3573" s="11" t="str">
        <f>IFERROR(VLOOKUP(tbl_product_scores[[#This Row],[product_key]],tbl_products[[product_key]:[group_display_key]],2,FALSE),"")</f>
        <v/>
      </c>
    </row>
    <row r="3574" spans="8:8" x14ac:dyDescent="0.2">
      <c r="H3574" s="11" t="str">
        <f>IFERROR(VLOOKUP(tbl_product_scores[[#This Row],[product_key]],tbl_products[[product_key]:[group_display_key]],2,FALSE),"")</f>
        <v/>
      </c>
    </row>
    <row r="3575" spans="8:8" x14ac:dyDescent="0.2">
      <c r="H3575" s="11" t="str">
        <f>IFERROR(VLOOKUP(tbl_product_scores[[#This Row],[product_key]],tbl_products[[product_key]:[group_display_key]],2,FALSE),"")</f>
        <v/>
      </c>
    </row>
    <row r="3576" spans="8:8" x14ac:dyDescent="0.2">
      <c r="H3576" s="11" t="str">
        <f>IFERROR(VLOOKUP(tbl_product_scores[[#This Row],[product_key]],tbl_products[[product_key]:[group_display_key]],2,FALSE),"")</f>
        <v/>
      </c>
    </row>
    <row r="3577" spans="8:8" x14ac:dyDescent="0.2">
      <c r="H3577" s="11" t="str">
        <f>IFERROR(VLOOKUP(tbl_product_scores[[#This Row],[product_key]],tbl_products[[product_key]:[group_display_key]],2,FALSE),"")</f>
        <v/>
      </c>
    </row>
    <row r="3578" spans="8:8" x14ac:dyDescent="0.2">
      <c r="H3578" s="11" t="str">
        <f>IFERROR(VLOOKUP(tbl_product_scores[[#This Row],[product_key]],tbl_products[[product_key]:[group_display_key]],2,FALSE),"")</f>
        <v/>
      </c>
    </row>
    <row r="3579" spans="8:8" x14ac:dyDescent="0.2">
      <c r="H3579" s="11" t="str">
        <f>IFERROR(VLOOKUP(tbl_product_scores[[#This Row],[product_key]],tbl_products[[product_key]:[group_display_key]],2,FALSE),"")</f>
        <v/>
      </c>
    </row>
    <row r="3580" spans="8:8" x14ac:dyDescent="0.2">
      <c r="H3580" s="11" t="str">
        <f>IFERROR(VLOOKUP(tbl_product_scores[[#This Row],[product_key]],tbl_products[[product_key]:[group_display_key]],2,FALSE),"")</f>
        <v/>
      </c>
    </row>
    <row r="3581" spans="8:8" x14ac:dyDescent="0.2">
      <c r="H3581" s="11" t="str">
        <f>IFERROR(VLOOKUP(tbl_product_scores[[#This Row],[product_key]],tbl_products[[product_key]:[group_display_key]],2,FALSE),"")</f>
        <v/>
      </c>
    </row>
    <row r="3582" spans="8:8" x14ac:dyDescent="0.2">
      <c r="H3582" s="11" t="str">
        <f>IFERROR(VLOOKUP(tbl_product_scores[[#This Row],[product_key]],tbl_products[[product_key]:[group_display_key]],2,FALSE),"")</f>
        <v/>
      </c>
    </row>
    <row r="3583" spans="8:8" x14ac:dyDescent="0.2">
      <c r="H3583" s="11" t="str">
        <f>IFERROR(VLOOKUP(tbl_product_scores[[#This Row],[product_key]],tbl_products[[product_key]:[group_display_key]],2,FALSE),"")</f>
        <v/>
      </c>
    </row>
    <row r="3584" spans="8:8" x14ac:dyDescent="0.2">
      <c r="H3584" s="11" t="str">
        <f>IFERROR(VLOOKUP(tbl_product_scores[[#This Row],[product_key]],tbl_products[[product_key]:[group_display_key]],2,FALSE),"")</f>
        <v/>
      </c>
    </row>
    <row r="3585" spans="8:8" x14ac:dyDescent="0.2">
      <c r="H3585" s="11" t="str">
        <f>IFERROR(VLOOKUP(tbl_product_scores[[#This Row],[product_key]],tbl_products[[product_key]:[group_display_key]],2,FALSE),"")</f>
        <v/>
      </c>
    </row>
    <row r="3586" spans="8:8" x14ac:dyDescent="0.2">
      <c r="H3586" s="11" t="str">
        <f>IFERROR(VLOOKUP(tbl_product_scores[[#This Row],[product_key]],tbl_products[[product_key]:[group_display_key]],2,FALSE),"")</f>
        <v/>
      </c>
    </row>
    <row r="3587" spans="8:8" x14ac:dyDescent="0.2">
      <c r="H3587" s="11" t="str">
        <f>IFERROR(VLOOKUP(tbl_product_scores[[#This Row],[product_key]],tbl_products[[product_key]:[group_display_key]],2,FALSE),"")</f>
        <v/>
      </c>
    </row>
    <row r="3588" spans="8:8" x14ac:dyDescent="0.2">
      <c r="H3588" s="11" t="str">
        <f>IFERROR(VLOOKUP(tbl_product_scores[[#This Row],[product_key]],tbl_products[[product_key]:[group_display_key]],2,FALSE),"")</f>
        <v/>
      </c>
    </row>
    <row r="3589" spans="8:8" x14ac:dyDescent="0.2">
      <c r="H3589" s="11" t="str">
        <f>IFERROR(VLOOKUP(tbl_product_scores[[#This Row],[product_key]],tbl_products[[product_key]:[group_display_key]],2,FALSE),"")</f>
        <v/>
      </c>
    </row>
    <row r="3590" spans="8:8" x14ac:dyDescent="0.2">
      <c r="H3590" s="11" t="str">
        <f>IFERROR(VLOOKUP(tbl_product_scores[[#This Row],[product_key]],tbl_products[[product_key]:[group_display_key]],2,FALSE),"")</f>
        <v/>
      </c>
    </row>
    <row r="3591" spans="8:8" x14ac:dyDescent="0.2">
      <c r="H3591" s="11" t="str">
        <f>IFERROR(VLOOKUP(tbl_product_scores[[#This Row],[product_key]],tbl_products[[product_key]:[group_display_key]],2,FALSE),"")</f>
        <v/>
      </c>
    </row>
    <row r="3592" spans="8:8" x14ac:dyDescent="0.2">
      <c r="H3592" s="11" t="str">
        <f>IFERROR(VLOOKUP(tbl_product_scores[[#This Row],[product_key]],tbl_products[[product_key]:[group_display_key]],2,FALSE),"")</f>
        <v/>
      </c>
    </row>
    <row r="3593" spans="8:8" x14ac:dyDescent="0.2">
      <c r="H3593" s="11" t="str">
        <f>IFERROR(VLOOKUP(tbl_product_scores[[#This Row],[product_key]],tbl_products[[product_key]:[group_display_key]],2,FALSE),"")</f>
        <v/>
      </c>
    </row>
    <row r="3594" spans="8:8" x14ac:dyDescent="0.2">
      <c r="H3594" s="11" t="str">
        <f>IFERROR(VLOOKUP(tbl_product_scores[[#This Row],[product_key]],tbl_products[[product_key]:[group_display_key]],2,FALSE),"")</f>
        <v/>
      </c>
    </row>
    <row r="3595" spans="8:8" x14ac:dyDescent="0.2">
      <c r="H3595" s="11" t="str">
        <f>IFERROR(VLOOKUP(tbl_product_scores[[#This Row],[product_key]],tbl_products[[product_key]:[group_display_key]],2,FALSE),"")</f>
        <v/>
      </c>
    </row>
    <row r="3596" spans="8:8" x14ac:dyDescent="0.2">
      <c r="H3596" s="11" t="str">
        <f>IFERROR(VLOOKUP(tbl_product_scores[[#This Row],[product_key]],tbl_products[[product_key]:[group_display_key]],2,FALSE),"")</f>
        <v/>
      </c>
    </row>
    <row r="3597" spans="8:8" x14ac:dyDescent="0.2">
      <c r="H3597" s="11" t="str">
        <f>IFERROR(VLOOKUP(tbl_product_scores[[#This Row],[product_key]],tbl_products[[product_key]:[group_display_key]],2,FALSE),"")</f>
        <v/>
      </c>
    </row>
    <row r="3598" spans="8:8" x14ac:dyDescent="0.2">
      <c r="H3598" s="11" t="str">
        <f>IFERROR(VLOOKUP(tbl_product_scores[[#This Row],[product_key]],tbl_products[[product_key]:[group_display_key]],2,FALSE),"")</f>
        <v/>
      </c>
    </row>
    <row r="3599" spans="8:8" x14ac:dyDescent="0.2">
      <c r="H3599" s="11" t="str">
        <f>IFERROR(VLOOKUP(tbl_product_scores[[#This Row],[product_key]],tbl_products[[product_key]:[group_display_key]],2,FALSE),"")</f>
        <v/>
      </c>
    </row>
    <row r="3600" spans="8:8" x14ac:dyDescent="0.2">
      <c r="H3600" s="11" t="str">
        <f>IFERROR(VLOOKUP(tbl_product_scores[[#This Row],[product_key]],tbl_products[[product_key]:[group_display_key]],2,FALSE),"")</f>
        <v/>
      </c>
    </row>
    <row r="3601" spans="8:8" x14ac:dyDescent="0.2">
      <c r="H3601" s="11" t="str">
        <f>IFERROR(VLOOKUP(tbl_product_scores[[#This Row],[product_key]],tbl_products[[product_key]:[group_display_key]],2,FALSE),"")</f>
        <v/>
      </c>
    </row>
    <row r="3602" spans="8:8" x14ac:dyDescent="0.2">
      <c r="H3602" s="11" t="str">
        <f>IFERROR(VLOOKUP(tbl_product_scores[[#This Row],[product_key]],tbl_products[[product_key]:[group_display_key]],2,FALSE),"")</f>
        <v/>
      </c>
    </row>
    <row r="3603" spans="8:8" x14ac:dyDescent="0.2">
      <c r="H3603" s="11" t="str">
        <f>IFERROR(VLOOKUP(tbl_product_scores[[#This Row],[product_key]],tbl_products[[product_key]:[group_display_key]],2,FALSE),"")</f>
        <v/>
      </c>
    </row>
    <row r="3604" spans="8:8" x14ac:dyDescent="0.2">
      <c r="H3604" s="11" t="str">
        <f>IFERROR(VLOOKUP(tbl_product_scores[[#This Row],[product_key]],tbl_products[[product_key]:[group_display_key]],2,FALSE),"")</f>
        <v/>
      </c>
    </row>
    <row r="3605" spans="8:8" x14ac:dyDescent="0.2">
      <c r="H3605" s="11" t="str">
        <f>IFERROR(VLOOKUP(tbl_product_scores[[#This Row],[product_key]],tbl_products[[product_key]:[group_display_key]],2,FALSE),"")</f>
        <v/>
      </c>
    </row>
    <row r="3606" spans="8:8" x14ac:dyDescent="0.2">
      <c r="H3606" s="11" t="str">
        <f>IFERROR(VLOOKUP(tbl_product_scores[[#This Row],[product_key]],tbl_products[[product_key]:[group_display_key]],2,FALSE),"")</f>
        <v/>
      </c>
    </row>
    <row r="3607" spans="8:8" x14ac:dyDescent="0.2">
      <c r="H3607" s="11" t="str">
        <f>IFERROR(VLOOKUP(tbl_product_scores[[#This Row],[product_key]],tbl_products[[product_key]:[group_display_key]],2,FALSE),"")</f>
        <v/>
      </c>
    </row>
    <row r="3608" spans="8:8" x14ac:dyDescent="0.2">
      <c r="H3608" s="11" t="str">
        <f>IFERROR(VLOOKUP(tbl_product_scores[[#This Row],[product_key]],tbl_products[[product_key]:[group_display_key]],2,FALSE),"")</f>
        <v/>
      </c>
    </row>
    <row r="3609" spans="8:8" x14ac:dyDescent="0.2">
      <c r="H3609" s="11" t="str">
        <f>IFERROR(VLOOKUP(tbl_product_scores[[#This Row],[product_key]],tbl_products[[product_key]:[group_display_key]],2,FALSE),"")</f>
        <v/>
      </c>
    </row>
    <row r="3610" spans="8:8" x14ac:dyDescent="0.2">
      <c r="H3610" s="11" t="str">
        <f>IFERROR(VLOOKUP(tbl_product_scores[[#This Row],[product_key]],tbl_products[[product_key]:[group_display_key]],2,FALSE),"")</f>
        <v/>
      </c>
    </row>
    <row r="3611" spans="8:8" x14ac:dyDescent="0.2">
      <c r="H3611" s="11" t="str">
        <f>IFERROR(VLOOKUP(tbl_product_scores[[#This Row],[product_key]],tbl_products[[product_key]:[group_display_key]],2,FALSE),"")</f>
        <v/>
      </c>
    </row>
    <row r="3612" spans="8:8" x14ac:dyDescent="0.2">
      <c r="H3612" s="11" t="str">
        <f>IFERROR(VLOOKUP(tbl_product_scores[[#This Row],[product_key]],tbl_products[[product_key]:[group_display_key]],2,FALSE),"")</f>
        <v/>
      </c>
    </row>
    <row r="3613" spans="8:8" x14ac:dyDescent="0.2">
      <c r="H3613" s="11" t="str">
        <f>IFERROR(VLOOKUP(tbl_product_scores[[#This Row],[product_key]],tbl_products[[product_key]:[group_display_key]],2,FALSE),"")</f>
        <v/>
      </c>
    </row>
    <row r="3614" spans="8:8" x14ac:dyDescent="0.2">
      <c r="H3614" s="11" t="str">
        <f>IFERROR(VLOOKUP(tbl_product_scores[[#This Row],[product_key]],tbl_products[[product_key]:[group_display_key]],2,FALSE),"")</f>
        <v/>
      </c>
    </row>
    <row r="3615" spans="8:8" x14ac:dyDescent="0.2">
      <c r="H3615" s="11" t="str">
        <f>IFERROR(VLOOKUP(tbl_product_scores[[#This Row],[product_key]],tbl_products[[product_key]:[group_display_key]],2,FALSE),"")</f>
        <v/>
      </c>
    </row>
    <row r="3616" spans="8:8" x14ac:dyDescent="0.2">
      <c r="H3616" s="11" t="str">
        <f>IFERROR(VLOOKUP(tbl_product_scores[[#This Row],[product_key]],tbl_products[[product_key]:[group_display_key]],2,FALSE),"")</f>
        <v/>
      </c>
    </row>
    <row r="3617" spans="8:8" x14ac:dyDescent="0.2">
      <c r="H3617" s="11" t="str">
        <f>IFERROR(VLOOKUP(tbl_product_scores[[#This Row],[product_key]],tbl_products[[product_key]:[group_display_key]],2,FALSE),"")</f>
        <v/>
      </c>
    </row>
    <row r="3618" spans="8:8" x14ac:dyDescent="0.2">
      <c r="H3618" s="11" t="str">
        <f>IFERROR(VLOOKUP(tbl_product_scores[[#This Row],[product_key]],tbl_products[[product_key]:[group_display_key]],2,FALSE),"")</f>
        <v/>
      </c>
    </row>
    <row r="3619" spans="8:8" x14ac:dyDescent="0.2">
      <c r="H3619" s="11" t="str">
        <f>IFERROR(VLOOKUP(tbl_product_scores[[#This Row],[product_key]],tbl_products[[product_key]:[group_display_key]],2,FALSE),"")</f>
        <v/>
      </c>
    </row>
    <row r="3620" spans="8:8" x14ac:dyDescent="0.2">
      <c r="H3620" s="11" t="str">
        <f>IFERROR(VLOOKUP(tbl_product_scores[[#This Row],[product_key]],tbl_products[[product_key]:[group_display_key]],2,FALSE),"")</f>
        <v/>
      </c>
    </row>
    <row r="3621" spans="8:8" x14ac:dyDescent="0.2">
      <c r="H3621" s="11" t="str">
        <f>IFERROR(VLOOKUP(tbl_product_scores[[#This Row],[product_key]],tbl_products[[product_key]:[group_display_key]],2,FALSE),"")</f>
        <v/>
      </c>
    </row>
    <row r="3622" spans="8:8" x14ac:dyDescent="0.2">
      <c r="H3622" s="11" t="str">
        <f>IFERROR(VLOOKUP(tbl_product_scores[[#This Row],[product_key]],tbl_products[[product_key]:[group_display_key]],2,FALSE),"")</f>
        <v/>
      </c>
    </row>
    <row r="3623" spans="8:8" x14ac:dyDescent="0.2">
      <c r="H3623" s="11" t="str">
        <f>IFERROR(VLOOKUP(tbl_product_scores[[#This Row],[product_key]],tbl_products[[product_key]:[group_display_key]],2,FALSE),"")</f>
        <v/>
      </c>
    </row>
    <row r="3624" spans="8:8" x14ac:dyDescent="0.2">
      <c r="H3624" s="11" t="str">
        <f>IFERROR(VLOOKUP(tbl_product_scores[[#This Row],[product_key]],tbl_products[[product_key]:[group_display_key]],2,FALSE),"")</f>
        <v/>
      </c>
    </row>
    <row r="3625" spans="8:8" x14ac:dyDescent="0.2">
      <c r="H3625" s="11" t="str">
        <f>IFERROR(VLOOKUP(tbl_product_scores[[#This Row],[product_key]],tbl_products[[product_key]:[group_display_key]],2,FALSE),"")</f>
        <v/>
      </c>
    </row>
    <row r="3626" spans="8:8" x14ac:dyDescent="0.2">
      <c r="H3626" s="11" t="str">
        <f>IFERROR(VLOOKUP(tbl_product_scores[[#This Row],[product_key]],tbl_products[[product_key]:[group_display_key]],2,FALSE),"")</f>
        <v/>
      </c>
    </row>
    <row r="3627" spans="8:8" x14ac:dyDescent="0.2">
      <c r="H3627" s="11" t="str">
        <f>IFERROR(VLOOKUP(tbl_product_scores[[#This Row],[product_key]],tbl_products[[product_key]:[group_display_key]],2,FALSE),"")</f>
        <v/>
      </c>
    </row>
    <row r="3628" spans="8:8" x14ac:dyDescent="0.2">
      <c r="H3628" s="11" t="str">
        <f>IFERROR(VLOOKUP(tbl_product_scores[[#This Row],[product_key]],tbl_products[[product_key]:[group_display_key]],2,FALSE),"")</f>
        <v/>
      </c>
    </row>
    <row r="3629" spans="8:8" x14ac:dyDescent="0.2">
      <c r="H3629" s="11" t="str">
        <f>IFERROR(VLOOKUP(tbl_product_scores[[#This Row],[product_key]],tbl_products[[product_key]:[group_display_key]],2,FALSE),"")</f>
        <v/>
      </c>
    </row>
    <row r="3630" spans="8:8" x14ac:dyDescent="0.2">
      <c r="H3630" s="11" t="str">
        <f>IFERROR(VLOOKUP(tbl_product_scores[[#This Row],[product_key]],tbl_products[[product_key]:[group_display_key]],2,FALSE),"")</f>
        <v/>
      </c>
    </row>
    <row r="3631" spans="8:8" x14ac:dyDescent="0.2">
      <c r="H3631" s="11" t="str">
        <f>IFERROR(VLOOKUP(tbl_product_scores[[#This Row],[product_key]],tbl_products[[product_key]:[group_display_key]],2,FALSE),"")</f>
        <v/>
      </c>
    </row>
    <row r="3632" spans="8:8" x14ac:dyDescent="0.2">
      <c r="H3632" s="11" t="str">
        <f>IFERROR(VLOOKUP(tbl_product_scores[[#This Row],[product_key]],tbl_products[[product_key]:[group_display_key]],2,FALSE),"")</f>
        <v/>
      </c>
    </row>
    <row r="3633" spans="8:8" x14ac:dyDescent="0.2">
      <c r="H3633" s="11" t="str">
        <f>IFERROR(VLOOKUP(tbl_product_scores[[#This Row],[product_key]],tbl_products[[product_key]:[group_display_key]],2,FALSE),"")</f>
        <v/>
      </c>
    </row>
    <row r="3634" spans="8:8" x14ac:dyDescent="0.2">
      <c r="H3634" s="11" t="str">
        <f>IFERROR(VLOOKUP(tbl_product_scores[[#This Row],[product_key]],tbl_products[[product_key]:[group_display_key]],2,FALSE),"")</f>
        <v/>
      </c>
    </row>
    <row r="3635" spans="8:8" x14ac:dyDescent="0.2">
      <c r="H3635" s="11" t="str">
        <f>IFERROR(VLOOKUP(tbl_product_scores[[#This Row],[product_key]],tbl_products[[product_key]:[group_display_key]],2,FALSE),"")</f>
        <v/>
      </c>
    </row>
    <row r="3636" spans="8:8" x14ac:dyDescent="0.2">
      <c r="H3636" s="11" t="str">
        <f>IFERROR(VLOOKUP(tbl_product_scores[[#This Row],[product_key]],tbl_products[[product_key]:[group_display_key]],2,FALSE),"")</f>
        <v/>
      </c>
    </row>
    <row r="3637" spans="8:8" x14ac:dyDescent="0.2">
      <c r="H3637" s="11" t="str">
        <f>IFERROR(VLOOKUP(tbl_product_scores[[#This Row],[product_key]],tbl_products[[product_key]:[group_display_key]],2,FALSE),"")</f>
        <v/>
      </c>
    </row>
    <row r="3638" spans="8:8" x14ac:dyDescent="0.2">
      <c r="H3638" s="11" t="str">
        <f>IFERROR(VLOOKUP(tbl_product_scores[[#This Row],[product_key]],tbl_products[[product_key]:[group_display_key]],2,FALSE),"")</f>
        <v/>
      </c>
    </row>
    <row r="3639" spans="8:8" x14ac:dyDescent="0.2">
      <c r="H3639" s="11" t="str">
        <f>IFERROR(VLOOKUP(tbl_product_scores[[#This Row],[product_key]],tbl_products[[product_key]:[group_display_key]],2,FALSE),"")</f>
        <v/>
      </c>
    </row>
    <row r="3640" spans="8:8" x14ac:dyDescent="0.2">
      <c r="H3640" s="11" t="str">
        <f>IFERROR(VLOOKUP(tbl_product_scores[[#This Row],[product_key]],tbl_products[[product_key]:[group_display_key]],2,FALSE),"")</f>
        <v/>
      </c>
    </row>
    <row r="3641" spans="8:8" x14ac:dyDescent="0.2">
      <c r="H3641" s="11" t="str">
        <f>IFERROR(VLOOKUP(tbl_product_scores[[#This Row],[product_key]],tbl_products[[product_key]:[group_display_key]],2,FALSE),"")</f>
        <v/>
      </c>
    </row>
    <row r="3642" spans="8:8" x14ac:dyDescent="0.2">
      <c r="H3642" s="11" t="str">
        <f>IFERROR(VLOOKUP(tbl_product_scores[[#This Row],[product_key]],tbl_products[[product_key]:[group_display_key]],2,FALSE),"")</f>
        <v/>
      </c>
    </row>
    <row r="3643" spans="8:8" x14ac:dyDescent="0.2">
      <c r="H3643" s="11" t="str">
        <f>IFERROR(VLOOKUP(tbl_product_scores[[#This Row],[product_key]],tbl_products[[product_key]:[group_display_key]],2,FALSE),"")</f>
        <v/>
      </c>
    </row>
    <row r="3644" spans="8:8" x14ac:dyDescent="0.2">
      <c r="H3644" s="11" t="str">
        <f>IFERROR(VLOOKUP(tbl_product_scores[[#This Row],[product_key]],tbl_products[[product_key]:[group_display_key]],2,FALSE),"")</f>
        <v/>
      </c>
    </row>
    <row r="3645" spans="8:8" x14ac:dyDescent="0.2">
      <c r="H3645" s="11" t="str">
        <f>IFERROR(VLOOKUP(tbl_product_scores[[#This Row],[product_key]],tbl_products[[product_key]:[group_display_key]],2,FALSE),"")</f>
        <v/>
      </c>
    </row>
    <row r="3646" spans="8:8" x14ac:dyDescent="0.2">
      <c r="H3646" s="11" t="str">
        <f>IFERROR(VLOOKUP(tbl_product_scores[[#This Row],[product_key]],tbl_products[[product_key]:[group_display_key]],2,FALSE),"")</f>
        <v/>
      </c>
    </row>
    <row r="3647" spans="8:8" x14ac:dyDescent="0.2">
      <c r="H3647" s="11" t="str">
        <f>IFERROR(VLOOKUP(tbl_product_scores[[#This Row],[product_key]],tbl_products[[product_key]:[group_display_key]],2,FALSE),"")</f>
        <v/>
      </c>
    </row>
    <row r="3648" spans="8:8" x14ac:dyDescent="0.2">
      <c r="H3648" s="11" t="str">
        <f>IFERROR(VLOOKUP(tbl_product_scores[[#This Row],[product_key]],tbl_products[[product_key]:[group_display_key]],2,FALSE),"")</f>
        <v/>
      </c>
    </row>
    <row r="3649" spans="8:8" x14ac:dyDescent="0.2">
      <c r="H3649" s="11" t="str">
        <f>IFERROR(VLOOKUP(tbl_product_scores[[#This Row],[product_key]],tbl_products[[product_key]:[group_display_key]],2,FALSE),"")</f>
        <v/>
      </c>
    </row>
    <row r="3650" spans="8:8" x14ac:dyDescent="0.2">
      <c r="H3650" s="11" t="str">
        <f>IFERROR(VLOOKUP(tbl_product_scores[[#This Row],[product_key]],tbl_products[[product_key]:[group_display_key]],2,FALSE),"")</f>
        <v/>
      </c>
    </row>
    <row r="3651" spans="8:8" x14ac:dyDescent="0.2">
      <c r="H3651" s="11" t="str">
        <f>IFERROR(VLOOKUP(tbl_product_scores[[#This Row],[product_key]],tbl_products[[product_key]:[group_display_key]],2,FALSE),"")</f>
        <v/>
      </c>
    </row>
    <row r="3652" spans="8:8" x14ac:dyDescent="0.2">
      <c r="H3652" s="11" t="str">
        <f>IFERROR(VLOOKUP(tbl_product_scores[[#This Row],[product_key]],tbl_products[[product_key]:[group_display_key]],2,FALSE),"")</f>
        <v/>
      </c>
    </row>
    <row r="3653" spans="8:8" x14ac:dyDescent="0.2">
      <c r="H3653" s="11" t="str">
        <f>IFERROR(VLOOKUP(tbl_product_scores[[#This Row],[product_key]],tbl_products[[product_key]:[group_display_key]],2,FALSE),"")</f>
        <v/>
      </c>
    </row>
    <row r="3654" spans="8:8" x14ac:dyDescent="0.2">
      <c r="H3654" s="11" t="str">
        <f>IFERROR(VLOOKUP(tbl_product_scores[[#This Row],[product_key]],tbl_products[[product_key]:[group_display_key]],2,FALSE),"")</f>
        <v/>
      </c>
    </row>
    <row r="3655" spans="8:8" x14ac:dyDescent="0.2">
      <c r="H3655" s="11" t="str">
        <f>IFERROR(VLOOKUP(tbl_product_scores[[#This Row],[product_key]],tbl_products[[product_key]:[group_display_key]],2,FALSE),"")</f>
        <v/>
      </c>
    </row>
    <row r="3656" spans="8:8" x14ac:dyDescent="0.2">
      <c r="H3656" s="11" t="str">
        <f>IFERROR(VLOOKUP(tbl_product_scores[[#This Row],[product_key]],tbl_products[[product_key]:[group_display_key]],2,FALSE),"")</f>
        <v/>
      </c>
    </row>
    <row r="3657" spans="8:8" x14ac:dyDescent="0.2">
      <c r="H3657" s="11" t="str">
        <f>IFERROR(VLOOKUP(tbl_product_scores[[#This Row],[product_key]],tbl_products[[product_key]:[group_display_key]],2,FALSE),"")</f>
        <v/>
      </c>
    </row>
    <row r="3658" spans="8:8" x14ac:dyDescent="0.2">
      <c r="H3658" s="11" t="str">
        <f>IFERROR(VLOOKUP(tbl_product_scores[[#This Row],[product_key]],tbl_products[[product_key]:[group_display_key]],2,FALSE),"")</f>
        <v/>
      </c>
    </row>
    <row r="3659" spans="8:8" x14ac:dyDescent="0.2">
      <c r="H3659" s="11" t="str">
        <f>IFERROR(VLOOKUP(tbl_product_scores[[#This Row],[product_key]],tbl_products[[product_key]:[group_display_key]],2,FALSE),"")</f>
        <v/>
      </c>
    </row>
    <row r="3660" spans="8:8" x14ac:dyDescent="0.2">
      <c r="H3660" s="11" t="str">
        <f>IFERROR(VLOOKUP(tbl_product_scores[[#This Row],[product_key]],tbl_products[[product_key]:[group_display_key]],2,FALSE),"")</f>
        <v/>
      </c>
    </row>
    <row r="3661" spans="8:8" x14ac:dyDescent="0.2">
      <c r="H3661" s="11" t="str">
        <f>IFERROR(VLOOKUP(tbl_product_scores[[#This Row],[product_key]],tbl_products[[product_key]:[group_display_key]],2,FALSE),"")</f>
        <v/>
      </c>
    </row>
    <row r="3662" spans="8:8" x14ac:dyDescent="0.2">
      <c r="H3662" s="11" t="str">
        <f>IFERROR(VLOOKUP(tbl_product_scores[[#This Row],[product_key]],tbl_products[[product_key]:[group_display_key]],2,FALSE),"")</f>
        <v/>
      </c>
    </row>
    <row r="3663" spans="8:8" x14ac:dyDescent="0.2">
      <c r="H3663" s="11" t="str">
        <f>IFERROR(VLOOKUP(tbl_product_scores[[#This Row],[product_key]],tbl_products[[product_key]:[group_display_key]],2,FALSE),"")</f>
        <v/>
      </c>
    </row>
    <row r="3664" spans="8:8" x14ac:dyDescent="0.2">
      <c r="H3664" s="11" t="str">
        <f>IFERROR(VLOOKUP(tbl_product_scores[[#This Row],[product_key]],tbl_products[[product_key]:[group_display_key]],2,FALSE),"")</f>
        <v/>
      </c>
    </row>
    <row r="3665" spans="8:8" x14ac:dyDescent="0.2">
      <c r="H3665" s="11" t="str">
        <f>IFERROR(VLOOKUP(tbl_product_scores[[#This Row],[product_key]],tbl_products[[product_key]:[group_display_key]],2,FALSE),"")</f>
        <v/>
      </c>
    </row>
    <row r="3666" spans="8:8" x14ac:dyDescent="0.2">
      <c r="H3666" s="11" t="str">
        <f>IFERROR(VLOOKUP(tbl_product_scores[[#This Row],[product_key]],tbl_products[[product_key]:[group_display_key]],2,FALSE),"")</f>
        <v/>
      </c>
    </row>
    <row r="3667" spans="8:8" x14ac:dyDescent="0.2">
      <c r="H3667" s="11" t="str">
        <f>IFERROR(VLOOKUP(tbl_product_scores[[#This Row],[product_key]],tbl_products[[product_key]:[group_display_key]],2,FALSE),"")</f>
        <v/>
      </c>
    </row>
    <row r="3668" spans="8:8" x14ac:dyDescent="0.2">
      <c r="H3668" s="11" t="str">
        <f>IFERROR(VLOOKUP(tbl_product_scores[[#This Row],[product_key]],tbl_products[[product_key]:[group_display_key]],2,FALSE),"")</f>
        <v/>
      </c>
    </row>
    <row r="3669" spans="8:8" x14ac:dyDescent="0.2">
      <c r="H3669" s="11" t="str">
        <f>IFERROR(VLOOKUP(tbl_product_scores[[#This Row],[product_key]],tbl_products[[product_key]:[group_display_key]],2,FALSE),"")</f>
        <v/>
      </c>
    </row>
    <row r="3670" spans="8:8" x14ac:dyDescent="0.2">
      <c r="H3670" s="11" t="str">
        <f>IFERROR(VLOOKUP(tbl_product_scores[[#This Row],[product_key]],tbl_products[[product_key]:[group_display_key]],2,FALSE),"")</f>
        <v/>
      </c>
    </row>
    <row r="3671" spans="8:8" x14ac:dyDescent="0.2">
      <c r="H3671" s="11" t="str">
        <f>IFERROR(VLOOKUP(tbl_product_scores[[#This Row],[product_key]],tbl_products[[product_key]:[group_display_key]],2,FALSE),"")</f>
        <v/>
      </c>
    </row>
    <row r="3672" spans="8:8" x14ac:dyDescent="0.2">
      <c r="H3672" s="11" t="str">
        <f>IFERROR(VLOOKUP(tbl_product_scores[[#This Row],[product_key]],tbl_products[[product_key]:[group_display_key]],2,FALSE),"")</f>
        <v/>
      </c>
    </row>
    <row r="3673" spans="8:8" x14ac:dyDescent="0.2">
      <c r="H3673" s="11" t="str">
        <f>IFERROR(VLOOKUP(tbl_product_scores[[#This Row],[product_key]],tbl_products[[product_key]:[group_display_key]],2,FALSE),"")</f>
        <v/>
      </c>
    </row>
    <row r="3674" spans="8:8" x14ac:dyDescent="0.2">
      <c r="H3674" s="11" t="str">
        <f>IFERROR(VLOOKUP(tbl_product_scores[[#This Row],[product_key]],tbl_products[[product_key]:[group_display_key]],2,FALSE),"")</f>
        <v/>
      </c>
    </row>
    <row r="3675" spans="8:8" x14ac:dyDescent="0.2">
      <c r="H3675" s="11" t="str">
        <f>IFERROR(VLOOKUP(tbl_product_scores[[#This Row],[product_key]],tbl_products[[product_key]:[group_display_key]],2,FALSE),"")</f>
        <v/>
      </c>
    </row>
    <row r="3676" spans="8:8" x14ac:dyDescent="0.2">
      <c r="H3676" s="11" t="str">
        <f>IFERROR(VLOOKUP(tbl_product_scores[[#This Row],[product_key]],tbl_products[[product_key]:[group_display_key]],2,FALSE),"")</f>
        <v/>
      </c>
    </row>
    <row r="3677" spans="8:8" x14ac:dyDescent="0.2">
      <c r="H3677" s="11" t="str">
        <f>IFERROR(VLOOKUP(tbl_product_scores[[#This Row],[product_key]],tbl_products[[product_key]:[group_display_key]],2,FALSE),"")</f>
        <v/>
      </c>
    </row>
    <row r="3678" spans="8:8" x14ac:dyDescent="0.2">
      <c r="H3678" s="11" t="str">
        <f>IFERROR(VLOOKUP(tbl_product_scores[[#This Row],[product_key]],tbl_products[[product_key]:[group_display_key]],2,FALSE),"")</f>
        <v/>
      </c>
    </row>
    <row r="3679" spans="8:8" x14ac:dyDescent="0.2">
      <c r="H3679" s="11" t="str">
        <f>IFERROR(VLOOKUP(tbl_product_scores[[#This Row],[product_key]],tbl_products[[product_key]:[group_display_key]],2,FALSE),"")</f>
        <v/>
      </c>
    </row>
    <row r="3680" spans="8:8" x14ac:dyDescent="0.2">
      <c r="H3680" s="11" t="str">
        <f>IFERROR(VLOOKUP(tbl_product_scores[[#This Row],[product_key]],tbl_products[[product_key]:[group_display_key]],2,FALSE),"")</f>
        <v/>
      </c>
    </row>
    <row r="3681" spans="8:8" x14ac:dyDescent="0.2">
      <c r="H3681" s="11" t="str">
        <f>IFERROR(VLOOKUP(tbl_product_scores[[#This Row],[product_key]],tbl_products[[product_key]:[group_display_key]],2,FALSE),"")</f>
        <v/>
      </c>
    </row>
    <row r="3682" spans="8:8" x14ac:dyDescent="0.2">
      <c r="H3682" s="11" t="str">
        <f>IFERROR(VLOOKUP(tbl_product_scores[[#This Row],[product_key]],tbl_products[[product_key]:[group_display_key]],2,FALSE),"")</f>
        <v/>
      </c>
    </row>
    <row r="3683" spans="8:8" x14ac:dyDescent="0.2">
      <c r="H3683" s="11" t="str">
        <f>IFERROR(VLOOKUP(tbl_product_scores[[#This Row],[product_key]],tbl_products[[product_key]:[group_display_key]],2,FALSE),"")</f>
        <v/>
      </c>
    </row>
    <row r="3684" spans="8:8" x14ac:dyDescent="0.2">
      <c r="H3684" s="11" t="str">
        <f>IFERROR(VLOOKUP(tbl_product_scores[[#This Row],[product_key]],tbl_products[[product_key]:[group_display_key]],2,FALSE),"")</f>
        <v/>
      </c>
    </row>
    <row r="3685" spans="8:8" x14ac:dyDescent="0.2">
      <c r="H3685" s="11" t="str">
        <f>IFERROR(VLOOKUP(tbl_product_scores[[#This Row],[product_key]],tbl_products[[product_key]:[group_display_key]],2,FALSE),"")</f>
        <v/>
      </c>
    </row>
    <row r="3686" spans="8:8" x14ac:dyDescent="0.2">
      <c r="H3686" s="11" t="str">
        <f>IFERROR(VLOOKUP(tbl_product_scores[[#This Row],[product_key]],tbl_products[[product_key]:[group_display_key]],2,FALSE),"")</f>
        <v/>
      </c>
    </row>
    <row r="3687" spans="8:8" x14ac:dyDescent="0.2">
      <c r="H3687" s="11" t="str">
        <f>IFERROR(VLOOKUP(tbl_product_scores[[#This Row],[product_key]],tbl_products[[product_key]:[group_display_key]],2,FALSE),"")</f>
        <v/>
      </c>
    </row>
    <row r="3688" spans="8:8" x14ac:dyDescent="0.2">
      <c r="H3688" s="11" t="str">
        <f>IFERROR(VLOOKUP(tbl_product_scores[[#This Row],[product_key]],tbl_products[[product_key]:[group_display_key]],2,FALSE),"")</f>
        <v/>
      </c>
    </row>
    <row r="3689" spans="8:8" x14ac:dyDescent="0.2">
      <c r="H3689" s="11" t="str">
        <f>IFERROR(VLOOKUP(tbl_product_scores[[#This Row],[product_key]],tbl_products[[product_key]:[group_display_key]],2,FALSE),"")</f>
        <v/>
      </c>
    </row>
    <row r="3690" spans="8:8" x14ac:dyDescent="0.2">
      <c r="H3690" s="11" t="str">
        <f>IFERROR(VLOOKUP(tbl_product_scores[[#This Row],[product_key]],tbl_products[[product_key]:[group_display_key]],2,FALSE),"")</f>
        <v/>
      </c>
    </row>
    <row r="3691" spans="8:8" x14ac:dyDescent="0.2">
      <c r="H3691" s="11" t="str">
        <f>IFERROR(VLOOKUP(tbl_product_scores[[#This Row],[product_key]],tbl_products[[product_key]:[group_display_key]],2,FALSE),"")</f>
        <v/>
      </c>
    </row>
    <row r="3692" spans="8:8" x14ac:dyDescent="0.2">
      <c r="H3692" s="11" t="str">
        <f>IFERROR(VLOOKUP(tbl_product_scores[[#This Row],[product_key]],tbl_products[[product_key]:[group_display_key]],2,FALSE),"")</f>
        <v/>
      </c>
    </row>
    <row r="3693" spans="8:8" x14ac:dyDescent="0.2">
      <c r="H3693" s="11" t="str">
        <f>IFERROR(VLOOKUP(tbl_product_scores[[#This Row],[product_key]],tbl_products[[product_key]:[group_display_key]],2,FALSE),"")</f>
        <v/>
      </c>
    </row>
    <row r="3694" spans="8:8" x14ac:dyDescent="0.2">
      <c r="H3694" s="11" t="str">
        <f>IFERROR(VLOOKUP(tbl_product_scores[[#This Row],[product_key]],tbl_products[[product_key]:[group_display_key]],2,FALSE),"")</f>
        <v/>
      </c>
    </row>
    <row r="3695" spans="8:8" x14ac:dyDescent="0.2">
      <c r="H3695" s="11" t="str">
        <f>IFERROR(VLOOKUP(tbl_product_scores[[#This Row],[product_key]],tbl_products[[product_key]:[group_display_key]],2,FALSE),"")</f>
        <v/>
      </c>
    </row>
    <row r="3696" spans="8:8" x14ac:dyDescent="0.2">
      <c r="H3696" s="11" t="str">
        <f>IFERROR(VLOOKUP(tbl_product_scores[[#This Row],[product_key]],tbl_products[[product_key]:[group_display_key]],2,FALSE),"")</f>
        <v/>
      </c>
    </row>
    <row r="3697" spans="8:8" x14ac:dyDescent="0.2">
      <c r="H3697" s="11" t="str">
        <f>IFERROR(VLOOKUP(tbl_product_scores[[#This Row],[product_key]],tbl_products[[product_key]:[group_display_key]],2,FALSE),"")</f>
        <v/>
      </c>
    </row>
    <row r="3698" spans="8:8" x14ac:dyDescent="0.2">
      <c r="H3698" s="11" t="str">
        <f>IFERROR(VLOOKUP(tbl_product_scores[[#This Row],[product_key]],tbl_products[[product_key]:[group_display_key]],2,FALSE),"")</f>
        <v/>
      </c>
    </row>
    <row r="3699" spans="8:8" x14ac:dyDescent="0.2">
      <c r="H3699" s="11" t="str">
        <f>IFERROR(VLOOKUP(tbl_product_scores[[#This Row],[product_key]],tbl_products[[product_key]:[group_display_key]],2,FALSE),"")</f>
        <v/>
      </c>
    </row>
    <row r="3700" spans="8:8" x14ac:dyDescent="0.2">
      <c r="H3700" s="11" t="str">
        <f>IFERROR(VLOOKUP(tbl_product_scores[[#This Row],[product_key]],tbl_products[[product_key]:[group_display_key]],2,FALSE),"")</f>
        <v/>
      </c>
    </row>
    <row r="3701" spans="8:8" x14ac:dyDescent="0.2">
      <c r="H3701" s="11" t="str">
        <f>IFERROR(VLOOKUP(tbl_product_scores[[#This Row],[product_key]],tbl_products[[product_key]:[group_display_key]],2,FALSE),"")</f>
        <v/>
      </c>
    </row>
    <row r="3702" spans="8:8" x14ac:dyDescent="0.2">
      <c r="H3702" s="11" t="str">
        <f>IFERROR(VLOOKUP(tbl_product_scores[[#This Row],[product_key]],tbl_products[[product_key]:[group_display_key]],2,FALSE),"")</f>
        <v/>
      </c>
    </row>
    <row r="3703" spans="8:8" x14ac:dyDescent="0.2">
      <c r="H3703" s="11" t="str">
        <f>IFERROR(VLOOKUP(tbl_product_scores[[#This Row],[product_key]],tbl_products[[product_key]:[group_display_key]],2,FALSE),"")</f>
        <v/>
      </c>
    </row>
    <row r="3704" spans="8:8" x14ac:dyDescent="0.2">
      <c r="H3704" s="11" t="str">
        <f>IFERROR(VLOOKUP(tbl_product_scores[[#This Row],[product_key]],tbl_products[[product_key]:[group_display_key]],2,FALSE),"")</f>
        <v/>
      </c>
    </row>
    <row r="3705" spans="8:8" x14ac:dyDescent="0.2">
      <c r="H3705" s="11" t="str">
        <f>IFERROR(VLOOKUP(tbl_product_scores[[#This Row],[product_key]],tbl_products[[product_key]:[group_display_key]],2,FALSE),"")</f>
        <v/>
      </c>
    </row>
    <row r="3706" spans="8:8" x14ac:dyDescent="0.2">
      <c r="H3706" s="11" t="str">
        <f>IFERROR(VLOOKUP(tbl_product_scores[[#This Row],[product_key]],tbl_products[[product_key]:[group_display_key]],2,FALSE),"")</f>
        <v/>
      </c>
    </row>
    <row r="3707" spans="8:8" x14ac:dyDescent="0.2">
      <c r="H3707" s="11" t="str">
        <f>IFERROR(VLOOKUP(tbl_product_scores[[#This Row],[product_key]],tbl_products[[product_key]:[group_display_key]],2,FALSE),"")</f>
        <v/>
      </c>
    </row>
    <row r="3708" spans="8:8" x14ac:dyDescent="0.2">
      <c r="H3708" s="11" t="str">
        <f>IFERROR(VLOOKUP(tbl_product_scores[[#This Row],[product_key]],tbl_products[[product_key]:[group_display_key]],2,FALSE),"")</f>
        <v/>
      </c>
    </row>
    <row r="3709" spans="8:8" x14ac:dyDescent="0.2">
      <c r="H3709" s="11" t="str">
        <f>IFERROR(VLOOKUP(tbl_product_scores[[#This Row],[product_key]],tbl_products[[product_key]:[group_display_key]],2,FALSE),"")</f>
        <v/>
      </c>
    </row>
    <row r="3710" spans="8:8" x14ac:dyDescent="0.2">
      <c r="H3710" s="11" t="str">
        <f>IFERROR(VLOOKUP(tbl_product_scores[[#This Row],[product_key]],tbl_products[[product_key]:[group_display_key]],2,FALSE),"")</f>
        <v/>
      </c>
    </row>
    <row r="3711" spans="8:8" x14ac:dyDescent="0.2">
      <c r="H3711" s="11" t="str">
        <f>IFERROR(VLOOKUP(tbl_product_scores[[#This Row],[product_key]],tbl_products[[product_key]:[group_display_key]],2,FALSE),"")</f>
        <v/>
      </c>
    </row>
    <row r="3712" spans="8:8" x14ac:dyDescent="0.2">
      <c r="H3712" s="11" t="str">
        <f>IFERROR(VLOOKUP(tbl_product_scores[[#This Row],[product_key]],tbl_products[[product_key]:[group_display_key]],2,FALSE),"")</f>
        <v/>
      </c>
    </row>
    <row r="3713" spans="8:8" x14ac:dyDescent="0.2">
      <c r="H3713" s="11" t="str">
        <f>IFERROR(VLOOKUP(tbl_product_scores[[#This Row],[product_key]],tbl_products[[product_key]:[group_display_key]],2,FALSE),"")</f>
        <v/>
      </c>
    </row>
    <row r="3714" spans="8:8" x14ac:dyDescent="0.2">
      <c r="H3714" s="11" t="str">
        <f>IFERROR(VLOOKUP(tbl_product_scores[[#This Row],[product_key]],tbl_products[[product_key]:[group_display_key]],2,FALSE),"")</f>
        <v/>
      </c>
    </row>
    <row r="3715" spans="8:8" x14ac:dyDescent="0.2">
      <c r="H3715" s="11" t="str">
        <f>IFERROR(VLOOKUP(tbl_product_scores[[#This Row],[product_key]],tbl_products[[product_key]:[group_display_key]],2,FALSE),"")</f>
        <v/>
      </c>
    </row>
    <row r="3716" spans="8:8" x14ac:dyDescent="0.2">
      <c r="H3716" s="11" t="str">
        <f>IFERROR(VLOOKUP(tbl_product_scores[[#This Row],[product_key]],tbl_products[[product_key]:[group_display_key]],2,FALSE),"")</f>
        <v/>
      </c>
    </row>
    <row r="3717" spans="8:8" x14ac:dyDescent="0.2">
      <c r="H3717" s="11" t="str">
        <f>IFERROR(VLOOKUP(tbl_product_scores[[#This Row],[product_key]],tbl_products[[product_key]:[group_display_key]],2,FALSE),"")</f>
        <v/>
      </c>
    </row>
    <row r="3718" spans="8:8" x14ac:dyDescent="0.2">
      <c r="H3718" s="11" t="str">
        <f>IFERROR(VLOOKUP(tbl_product_scores[[#This Row],[product_key]],tbl_products[[product_key]:[group_display_key]],2,FALSE),"")</f>
        <v/>
      </c>
    </row>
    <row r="3719" spans="8:8" x14ac:dyDescent="0.2">
      <c r="H3719" s="11" t="str">
        <f>IFERROR(VLOOKUP(tbl_product_scores[[#This Row],[product_key]],tbl_products[[product_key]:[group_display_key]],2,FALSE),"")</f>
        <v/>
      </c>
    </row>
    <row r="3720" spans="8:8" x14ac:dyDescent="0.2">
      <c r="H3720" s="11" t="str">
        <f>IFERROR(VLOOKUP(tbl_product_scores[[#This Row],[product_key]],tbl_products[[product_key]:[group_display_key]],2,FALSE),"")</f>
        <v/>
      </c>
    </row>
    <row r="3721" spans="8:8" x14ac:dyDescent="0.2">
      <c r="H3721" s="11" t="str">
        <f>IFERROR(VLOOKUP(tbl_product_scores[[#This Row],[product_key]],tbl_products[[product_key]:[group_display_key]],2,FALSE),"")</f>
        <v/>
      </c>
    </row>
    <row r="3722" spans="8:8" x14ac:dyDescent="0.2">
      <c r="H3722" s="11" t="str">
        <f>IFERROR(VLOOKUP(tbl_product_scores[[#This Row],[product_key]],tbl_products[[product_key]:[group_display_key]],2,FALSE),"")</f>
        <v/>
      </c>
    </row>
    <row r="3723" spans="8:8" x14ac:dyDescent="0.2">
      <c r="H3723" s="11" t="str">
        <f>IFERROR(VLOOKUP(tbl_product_scores[[#This Row],[product_key]],tbl_products[[product_key]:[group_display_key]],2,FALSE),"")</f>
        <v/>
      </c>
    </row>
    <row r="3724" spans="8:8" x14ac:dyDescent="0.2">
      <c r="H3724" s="11" t="str">
        <f>IFERROR(VLOOKUP(tbl_product_scores[[#This Row],[product_key]],tbl_products[[product_key]:[group_display_key]],2,FALSE),"")</f>
        <v/>
      </c>
    </row>
    <row r="3725" spans="8:8" x14ac:dyDescent="0.2">
      <c r="H3725" s="11" t="str">
        <f>IFERROR(VLOOKUP(tbl_product_scores[[#This Row],[product_key]],tbl_products[[product_key]:[group_display_key]],2,FALSE),"")</f>
        <v/>
      </c>
    </row>
    <row r="3726" spans="8:8" x14ac:dyDescent="0.2">
      <c r="H3726" s="11" t="str">
        <f>IFERROR(VLOOKUP(tbl_product_scores[[#This Row],[product_key]],tbl_products[[product_key]:[group_display_key]],2,FALSE),"")</f>
        <v/>
      </c>
    </row>
    <row r="3727" spans="8:8" x14ac:dyDescent="0.2">
      <c r="H3727" s="11" t="str">
        <f>IFERROR(VLOOKUP(tbl_product_scores[[#This Row],[product_key]],tbl_products[[product_key]:[group_display_key]],2,FALSE),"")</f>
        <v/>
      </c>
    </row>
    <row r="3728" spans="8:8" x14ac:dyDescent="0.2">
      <c r="H3728" s="11" t="str">
        <f>IFERROR(VLOOKUP(tbl_product_scores[[#This Row],[product_key]],tbl_products[[product_key]:[group_display_key]],2,FALSE),"")</f>
        <v/>
      </c>
    </row>
    <row r="3729" spans="8:8" x14ac:dyDescent="0.2">
      <c r="H3729" s="11" t="str">
        <f>IFERROR(VLOOKUP(tbl_product_scores[[#This Row],[product_key]],tbl_products[[product_key]:[group_display_key]],2,FALSE),"")</f>
        <v/>
      </c>
    </row>
    <row r="3730" spans="8:8" x14ac:dyDescent="0.2">
      <c r="H3730" s="11" t="str">
        <f>IFERROR(VLOOKUP(tbl_product_scores[[#This Row],[product_key]],tbl_products[[product_key]:[group_display_key]],2,FALSE),"")</f>
        <v/>
      </c>
    </row>
    <row r="3731" spans="8:8" x14ac:dyDescent="0.2">
      <c r="H3731" s="11" t="str">
        <f>IFERROR(VLOOKUP(tbl_product_scores[[#This Row],[product_key]],tbl_products[[product_key]:[group_display_key]],2,FALSE),"")</f>
        <v/>
      </c>
    </row>
    <row r="3732" spans="8:8" x14ac:dyDescent="0.2">
      <c r="H3732" s="11" t="str">
        <f>IFERROR(VLOOKUP(tbl_product_scores[[#This Row],[product_key]],tbl_products[[product_key]:[group_display_key]],2,FALSE),"")</f>
        <v/>
      </c>
    </row>
    <row r="3733" spans="8:8" x14ac:dyDescent="0.2">
      <c r="H3733" s="11" t="str">
        <f>IFERROR(VLOOKUP(tbl_product_scores[[#This Row],[product_key]],tbl_products[[product_key]:[group_display_key]],2,FALSE),"")</f>
        <v/>
      </c>
    </row>
    <row r="3734" spans="8:8" x14ac:dyDescent="0.2">
      <c r="H3734" s="11" t="str">
        <f>IFERROR(VLOOKUP(tbl_product_scores[[#This Row],[product_key]],tbl_products[[product_key]:[group_display_key]],2,FALSE),"")</f>
        <v/>
      </c>
    </row>
    <row r="3735" spans="8:8" x14ac:dyDescent="0.2">
      <c r="H3735" s="11" t="str">
        <f>IFERROR(VLOOKUP(tbl_product_scores[[#This Row],[product_key]],tbl_products[[product_key]:[group_display_key]],2,FALSE),"")</f>
        <v/>
      </c>
    </row>
    <row r="3736" spans="8:8" x14ac:dyDescent="0.2">
      <c r="H3736" s="11" t="str">
        <f>IFERROR(VLOOKUP(tbl_product_scores[[#This Row],[product_key]],tbl_products[[product_key]:[group_display_key]],2,FALSE),"")</f>
        <v/>
      </c>
    </row>
    <row r="3737" spans="8:8" x14ac:dyDescent="0.2">
      <c r="H3737" s="11" t="str">
        <f>IFERROR(VLOOKUP(tbl_product_scores[[#This Row],[product_key]],tbl_products[[product_key]:[group_display_key]],2,FALSE),"")</f>
        <v/>
      </c>
    </row>
    <row r="3738" spans="8:8" x14ac:dyDescent="0.2">
      <c r="H3738" s="11" t="str">
        <f>IFERROR(VLOOKUP(tbl_product_scores[[#This Row],[product_key]],tbl_products[[product_key]:[group_display_key]],2,FALSE),"")</f>
        <v/>
      </c>
    </row>
    <row r="3739" spans="8:8" x14ac:dyDescent="0.2">
      <c r="H3739" s="11" t="str">
        <f>IFERROR(VLOOKUP(tbl_product_scores[[#This Row],[product_key]],tbl_products[[product_key]:[group_display_key]],2,FALSE),"")</f>
        <v/>
      </c>
    </row>
    <row r="3740" spans="8:8" x14ac:dyDescent="0.2">
      <c r="H3740" s="11" t="str">
        <f>IFERROR(VLOOKUP(tbl_product_scores[[#This Row],[product_key]],tbl_products[[product_key]:[group_display_key]],2,FALSE),"")</f>
        <v/>
      </c>
    </row>
    <row r="3741" spans="8:8" x14ac:dyDescent="0.2">
      <c r="H3741" s="11" t="str">
        <f>IFERROR(VLOOKUP(tbl_product_scores[[#This Row],[product_key]],tbl_products[[product_key]:[group_display_key]],2,FALSE),"")</f>
        <v/>
      </c>
    </row>
    <row r="3742" spans="8:8" x14ac:dyDescent="0.2">
      <c r="H3742" s="11" t="str">
        <f>IFERROR(VLOOKUP(tbl_product_scores[[#This Row],[product_key]],tbl_products[[product_key]:[group_display_key]],2,FALSE),"")</f>
        <v/>
      </c>
    </row>
    <row r="3743" spans="8:8" x14ac:dyDescent="0.2">
      <c r="H3743" s="11" t="str">
        <f>IFERROR(VLOOKUP(tbl_product_scores[[#This Row],[product_key]],tbl_products[[product_key]:[group_display_key]],2,FALSE),"")</f>
        <v/>
      </c>
    </row>
    <row r="3744" spans="8:8" x14ac:dyDescent="0.2">
      <c r="H3744" s="11" t="str">
        <f>IFERROR(VLOOKUP(tbl_product_scores[[#This Row],[product_key]],tbl_products[[product_key]:[group_display_key]],2,FALSE),"")</f>
        <v/>
      </c>
    </row>
    <row r="3745" spans="8:8" x14ac:dyDescent="0.2">
      <c r="H3745" s="11" t="str">
        <f>IFERROR(VLOOKUP(tbl_product_scores[[#This Row],[product_key]],tbl_products[[product_key]:[group_display_key]],2,FALSE),"")</f>
        <v/>
      </c>
    </row>
    <row r="3746" spans="8:8" x14ac:dyDescent="0.2">
      <c r="H3746" s="11" t="str">
        <f>IFERROR(VLOOKUP(tbl_product_scores[[#This Row],[product_key]],tbl_products[[product_key]:[group_display_key]],2,FALSE),"")</f>
        <v/>
      </c>
    </row>
    <row r="3747" spans="8:8" x14ac:dyDescent="0.2">
      <c r="H3747" s="11" t="str">
        <f>IFERROR(VLOOKUP(tbl_product_scores[[#This Row],[product_key]],tbl_products[[product_key]:[group_display_key]],2,FALSE),"")</f>
        <v/>
      </c>
    </row>
    <row r="3748" spans="8:8" x14ac:dyDescent="0.2">
      <c r="H3748" s="11" t="str">
        <f>IFERROR(VLOOKUP(tbl_product_scores[[#This Row],[product_key]],tbl_products[[product_key]:[group_display_key]],2,FALSE),"")</f>
        <v/>
      </c>
    </row>
    <row r="3749" spans="8:8" x14ac:dyDescent="0.2">
      <c r="H3749" s="11" t="str">
        <f>IFERROR(VLOOKUP(tbl_product_scores[[#This Row],[product_key]],tbl_products[[product_key]:[group_display_key]],2,FALSE),"")</f>
        <v/>
      </c>
    </row>
    <row r="3750" spans="8:8" x14ac:dyDescent="0.2">
      <c r="H3750" s="11" t="str">
        <f>IFERROR(VLOOKUP(tbl_product_scores[[#This Row],[product_key]],tbl_products[[product_key]:[group_display_key]],2,FALSE),"")</f>
        <v/>
      </c>
    </row>
    <row r="3751" spans="8:8" x14ac:dyDescent="0.2">
      <c r="H3751" s="11" t="str">
        <f>IFERROR(VLOOKUP(tbl_product_scores[[#This Row],[product_key]],tbl_products[[product_key]:[group_display_key]],2,FALSE),"")</f>
        <v/>
      </c>
    </row>
    <row r="3752" spans="8:8" x14ac:dyDescent="0.2">
      <c r="H3752" s="11" t="str">
        <f>IFERROR(VLOOKUP(tbl_product_scores[[#This Row],[product_key]],tbl_products[[product_key]:[group_display_key]],2,FALSE),"")</f>
        <v/>
      </c>
    </row>
    <row r="3753" spans="8:8" x14ac:dyDescent="0.2">
      <c r="H3753" s="11" t="str">
        <f>IFERROR(VLOOKUP(tbl_product_scores[[#This Row],[product_key]],tbl_products[[product_key]:[group_display_key]],2,FALSE),"")</f>
        <v/>
      </c>
    </row>
    <row r="3754" spans="8:8" x14ac:dyDescent="0.2">
      <c r="H3754" s="11" t="str">
        <f>IFERROR(VLOOKUP(tbl_product_scores[[#This Row],[product_key]],tbl_products[[product_key]:[group_display_key]],2,FALSE),"")</f>
        <v/>
      </c>
    </row>
    <row r="3755" spans="8:8" x14ac:dyDescent="0.2">
      <c r="H3755" s="11" t="str">
        <f>IFERROR(VLOOKUP(tbl_product_scores[[#This Row],[product_key]],tbl_products[[product_key]:[group_display_key]],2,FALSE),"")</f>
        <v/>
      </c>
    </row>
    <row r="3756" spans="8:8" x14ac:dyDescent="0.2">
      <c r="H3756" s="11" t="str">
        <f>IFERROR(VLOOKUP(tbl_product_scores[[#This Row],[product_key]],tbl_products[[product_key]:[group_display_key]],2,FALSE),"")</f>
        <v/>
      </c>
    </row>
    <row r="3757" spans="8:8" x14ac:dyDescent="0.2">
      <c r="H3757" s="11" t="str">
        <f>IFERROR(VLOOKUP(tbl_product_scores[[#This Row],[product_key]],tbl_products[[product_key]:[group_display_key]],2,FALSE),"")</f>
        <v/>
      </c>
    </row>
    <row r="3758" spans="8:8" x14ac:dyDescent="0.2">
      <c r="H3758" s="11" t="str">
        <f>IFERROR(VLOOKUP(tbl_product_scores[[#This Row],[product_key]],tbl_products[[product_key]:[group_display_key]],2,FALSE),"")</f>
        <v/>
      </c>
    </row>
    <row r="3759" spans="8:8" x14ac:dyDescent="0.2">
      <c r="H3759" s="11" t="str">
        <f>IFERROR(VLOOKUP(tbl_product_scores[[#This Row],[product_key]],tbl_products[[product_key]:[group_display_key]],2,FALSE),"")</f>
        <v/>
      </c>
    </row>
    <row r="3760" spans="8:8" x14ac:dyDescent="0.2">
      <c r="H3760" s="11" t="str">
        <f>IFERROR(VLOOKUP(tbl_product_scores[[#This Row],[product_key]],tbl_products[[product_key]:[group_display_key]],2,FALSE),"")</f>
        <v/>
      </c>
    </row>
    <row r="3761" spans="8:8" x14ac:dyDescent="0.2">
      <c r="H3761" s="11" t="str">
        <f>IFERROR(VLOOKUP(tbl_product_scores[[#This Row],[product_key]],tbl_products[[product_key]:[group_display_key]],2,FALSE),"")</f>
        <v/>
      </c>
    </row>
    <row r="3762" spans="8:8" x14ac:dyDescent="0.2">
      <c r="H3762" s="11" t="str">
        <f>IFERROR(VLOOKUP(tbl_product_scores[[#This Row],[product_key]],tbl_products[[product_key]:[group_display_key]],2,FALSE),"")</f>
        <v/>
      </c>
    </row>
    <row r="3763" spans="8:8" x14ac:dyDescent="0.2">
      <c r="H3763" s="11" t="str">
        <f>IFERROR(VLOOKUP(tbl_product_scores[[#This Row],[product_key]],tbl_products[[product_key]:[group_display_key]],2,FALSE),"")</f>
        <v/>
      </c>
    </row>
    <row r="3764" spans="8:8" x14ac:dyDescent="0.2">
      <c r="H3764" s="11" t="str">
        <f>IFERROR(VLOOKUP(tbl_product_scores[[#This Row],[product_key]],tbl_products[[product_key]:[group_display_key]],2,FALSE),"")</f>
        <v/>
      </c>
    </row>
    <row r="3765" spans="8:8" x14ac:dyDescent="0.2">
      <c r="H3765" s="11" t="str">
        <f>IFERROR(VLOOKUP(tbl_product_scores[[#This Row],[product_key]],tbl_products[[product_key]:[group_display_key]],2,FALSE),"")</f>
        <v/>
      </c>
    </row>
    <row r="3766" spans="8:8" x14ac:dyDescent="0.2">
      <c r="H3766" s="11" t="str">
        <f>IFERROR(VLOOKUP(tbl_product_scores[[#This Row],[product_key]],tbl_products[[product_key]:[group_display_key]],2,FALSE),"")</f>
        <v/>
      </c>
    </row>
    <row r="3767" spans="8:8" x14ac:dyDescent="0.2">
      <c r="H3767" s="11" t="str">
        <f>IFERROR(VLOOKUP(tbl_product_scores[[#This Row],[product_key]],tbl_products[[product_key]:[group_display_key]],2,FALSE),"")</f>
        <v/>
      </c>
    </row>
    <row r="3768" spans="8:8" x14ac:dyDescent="0.2">
      <c r="H3768" s="11" t="str">
        <f>IFERROR(VLOOKUP(tbl_product_scores[[#This Row],[product_key]],tbl_products[[product_key]:[group_display_key]],2,FALSE),"")</f>
        <v/>
      </c>
    </row>
    <row r="3769" spans="8:8" x14ac:dyDescent="0.2">
      <c r="H3769" s="11" t="str">
        <f>IFERROR(VLOOKUP(tbl_product_scores[[#This Row],[product_key]],tbl_products[[product_key]:[group_display_key]],2,FALSE),"")</f>
        <v/>
      </c>
    </row>
    <row r="3770" spans="8:8" x14ac:dyDescent="0.2">
      <c r="H3770" s="11" t="str">
        <f>IFERROR(VLOOKUP(tbl_product_scores[[#This Row],[product_key]],tbl_products[[product_key]:[group_display_key]],2,FALSE),"")</f>
        <v/>
      </c>
    </row>
    <row r="3771" spans="8:8" x14ac:dyDescent="0.2">
      <c r="H3771" s="11" t="str">
        <f>IFERROR(VLOOKUP(tbl_product_scores[[#This Row],[product_key]],tbl_products[[product_key]:[group_display_key]],2,FALSE),"")</f>
        <v/>
      </c>
    </row>
    <row r="3772" spans="8:8" x14ac:dyDescent="0.2">
      <c r="H3772" s="11" t="str">
        <f>IFERROR(VLOOKUP(tbl_product_scores[[#This Row],[product_key]],tbl_products[[product_key]:[group_display_key]],2,FALSE),"")</f>
        <v/>
      </c>
    </row>
    <row r="3773" spans="8:8" x14ac:dyDescent="0.2">
      <c r="H3773" s="11" t="str">
        <f>IFERROR(VLOOKUP(tbl_product_scores[[#This Row],[product_key]],tbl_products[[product_key]:[group_display_key]],2,FALSE),"")</f>
        <v/>
      </c>
    </row>
    <row r="3774" spans="8:8" x14ac:dyDescent="0.2">
      <c r="H3774" s="11" t="str">
        <f>IFERROR(VLOOKUP(tbl_product_scores[[#This Row],[product_key]],tbl_products[[product_key]:[group_display_key]],2,FALSE),"")</f>
        <v/>
      </c>
    </row>
    <row r="3775" spans="8:8" x14ac:dyDescent="0.2">
      <c r="H3775" s="11" t="str">
        <f>IFERROR(VLOOKUP(tbl_product_scores[[#This Row],[product_key]],tbl_products[[product_key]:[group_display_key]],2,FALSE),"")</f>
        <v/>
      </c>
    </row>
    <row r="3776" spans="8:8" x14ac:dyDescent="0.2">
      <c r="H3776" s="11" t="str">
        <f>IFERROR(VLOOKUP(tbl_product_scores[[#This Row],[product_key]],tbl_products[[product_key]:[group_display_key]],2,FALSE),"")</f>
        <v/>
      </c>
    </row>
    <row r="3777" spans="8:8" x14ac:dyDescent="0.2">
      <c r="H3777" s="11" t="str">
        <f>IFERROR(VLOOKUP(tbl_product_scores[[#This Row],[product_key]],tbl_products[[product_key]:[group_display_key]],2,FALSE),"")</f>
        <v/>
      </c>
    </row>
    <row r="3778" spans="8:8" x14ac:dyDescent="0.2">
      <c r="H3778" s="11" t="str">
        <f>IFERROR(VLOOKUP(tbl_product_scores[[#This Row],[product_key]],tbl_products[[product_key]:[group_display_key]],2,FALSE),"")</f>
        <v/>
      </c>
    </row>
    <row r="3779" spans="8:8" x14ac:dyDescent="0.2">
      <c r="H3779" s="11" t="str">
        <f>IFERROR(VLOOKUP(tbl_product_scores[[#This Row],[product_key]],tbl_products[[product_key]:[group_display_key]],2,FALSE),"")</f>
        <v/>
      </c>
    </row>
    <row r="3780" spans="8:8" x14ac:dyDescent="0.2">
      <c r="H3780" s="11" t="str">
        <f>IFERROR(VLOOKUP(tbl_product_scores[[#This Row],[product_key]],tbl_products[[product_key]:[group_display_key]],2,FALSE),"")</f>
        <v/>
      </c>
    </row>
    <row r="3781" spans="8:8" x14ac:dyDescent="0.2">
      <c r="H3781" s="11" t="str">
        <f>IFERROR(VLOOKUP(tbl_product_scores[[#This Row],[product_key]],tbl_products[[product_key]:[group_display_key]],2,FALSE),"")</f>
        <v/>
      </c>
    </row>
    <row r="3782" spans="8:8" x14ac:dyDescent="0.2">
      <c r="H3782" s="11" t="str">
        <f>IFERROR(VLOOKUP(tbl_product_scores[[#This Row],[product_key]],tbl_products[[product_key]:[group_display_key]],2,FALSE),"")</f>
        <v/>
      </c>
    </row>
    <row r="3783" spans="8:8" x14ac:dyDescent="0.2">
      <c r="H3783" s="11" t="str">
        <f>IFERROR(VLOOKUP(tbl_product_scores[[#This Row],[product_key]],tbl_products[[product_key]:[group_display_key]],2,FALSE),"")</f>
        <v/>
      </c>
    </row>
    <row r="3784" spans="8:8" x14ac:dyDescent="0.2">
      <c r="H3784" s="11" t="str">
        <f>IFERROR(VLOOKUP(tbl_product_scores[[#This Row],[product_key]],tbl_products[[product_key]:[group_display_key]],2,FALSE),"")</f>
        <v/>
      </c>
    </row>
    <row r="3785" spans="8:8" x14ac:dyDescent="0.2">
      <c r="H3785" s="11" t="str">
        <f>IFERROR(VLOOKUP(tbl_product_scores[[#This Row],[product_key]],tbl_products[[product_key]:[group_display_key]],2,FALSE),"")</f>
        <v/>
      </c>
    </row>
    <row r="3786" spans="8:8" x14ac:dyDescent="0.2">
      <c r="H3786" s="11" t="str">
        <f>IFERROR(VLOOKUP(tbl_product_scores[[#This Row],[product_key]],tbl_products[[product_key]:[group_display_key]],2,FALSE),"")</f>
        <v/>
      </c>
    </row>
    <row r="3787" spans="8:8" x14ac:dyDescent="0.2">
      <c r="H3787" s="11" t="str">
        <f>IFERROR(VLOOKUP(tbl_product_scores[[#This Row],[product_key]],tbl_products[[product_key]:[group_display_key]],2,FALSE),"")</f>
        <v/>
      </c>
    </row>
    <row r="3788" spans="8:8" x14ac:dyDescent="0.2">
      <c r="H3788" s="11" t="str">
        <f>IFERROR(VLOOKUP(tbl_product_scores[[#This Row],[product_key]],tbl_products[[product_key]:[group_display_key]],2,FALSE),"")</f>
        <v/>
      </c>
    </row>
    <row r="3789" spans="8:8" x14ac:dyDescent="0.2">
      <c r="H3789" s="11" t="str">
        <f>IFERROR(VLOOKUP(tbl_product_scores[[#This Row],[product_key]],tbl_products[[product_key]:[group_display_key]],2,FALSE),"")</f>
        <v/>
      </c>
    </row>
    <row r="3790" spans="8:8" x14ac:dyDescent="0.2">
      <c r="H3790" s="11" t="str">
        <f>IFERROR(VLOOKUP(tbl_product_scores[[#This Row],[product_key]],tbl_products[[product_key]:[group_display_key]],2,FALSE),"")</f>
        <v/>
      </c>
    </row>
    <row r="3791" spans="8:8" x14ac:dyDescent="0.2">
      <c r="H3791" s="11" t="str">
        <f>IFERROR(VLOOKUP(tbl_product_scores[[#This Row],[product_key]],tbl_products[[product_key]:[group_display_key]],2,FALSE),"")</f>
        <v/>
      </c>
    </row>
    <row r="3792" spans="8:8" x14ac:dyDescent="0.2">
      <c r="H3792" s="11" t="str">
        <f>IFERROR(VLOOKUP(tbl_product_scores[[#This Row],[product_key]],tbl_products[[product_key]:[group_display_key]],2,FALSE),"")</f>
        <v/>
      </c>
    </row>
    <row r="3793" spans="8:8" x14ac:dyDescent="0.2">
      <c r="H3793" s="11" t="str">
        <f>IFERROR(VLOOKUP(tbl_product_scores[[#This Row],[product_key]],tbl_products[[product_key]:[group_display_key]],2,FALSE),"")</f>
        <v/>
      </c>
    </row>
    <row r="3794" spans="8:8" x14ac:dyDescent="0.2">
      <c r="H3794" s="11" t="str">
        <f>IFERROR(VLOOKUP(tbl_product_scores[[#This Row],[product_key]],tbl_products[[product_key]:[group_display_key]],2,FALSE),"")</f>
        <v/>
      </c>
    </row>
    <row r="3795" spans="8:8" x14ac:dyDescent="0.2">
      <c r="H3795" s="11" t="str">
        <f>IFERROR(VLOOKUP(tbl_product_scores[[#This Row],[product_key]],tbl_products[[product_key]:[group_display_key]],2,FALSE),"")</f>
        <v/>
      </c>
    </row>
    <row r="3796" spans="8:8" x14ac:dyDescent="0.2">
      <c r="H3796" s="11" t="str">
        <f>IFERROR(VLOOKUP(tbl_product_scores[[#This Row],[product_key]],tbl_products[[product_key]:[group_display_key]],2,FALSE),"")</f>
        <v/>
      </c>
    </row>
    <row r="3797" spans="8:8" x14ac:dyDescent="0.2">
      <c r="H3797" s="11" t="str">
        <f>IFERROR(VLOOKUP(tbl_product_scores[[#This Row],[product_key]],tbl_products[[product_key]:[group_display_key]],2,FALSE),"")</f>
        <v/>
      </c>
    </row>
    <row r="3798" spans="8:8" x14ac:dyDescent="0.2">
      <c r="H3798" s="11" t="str">
        <f>IFERROR(VLOOKUP(tbl_product_scores[[#This Row],[product_key]],tbl_products[[product_key]:[group_display_key]],2,FALSE),"")</f>
        <v/>
      </c>
    </row>
    <row r="3799" spans="8:8" x14ac:dyDescent="0.2">
      <c r="H3799" s="11" t="str">
        <f>IFERROR(VLOOKUP(tbl_product_scores[[#This Row],[product_key]],tbl_products[[product_key]:[group_display_key]],2,FALSE),"")</f>
        <v/>
      </c>
    </row>
    <row r="3800" spans="8:8" x14ac:dyDescent="0.2">
      <c r="H3800" s="11" t="str">
        <f>IFERROR(VLOOKUP(tbl_product_scores[[#This Row],[product_key]],tbl_products[[product_key]:[group_display_key]],2,FALSE),"")</f>
        <v/>
      </c>
    </row>
    <row r="3801" spans="8:8" x14ac:dyDescent="0.2">
      <c r="H3801" s="11" t="str">
        <f>IFERROR(VLOOKUP(tbl_product_scores[[#This Row],[product_key]],tbl_products[[product_key]:[group_display_key]],2,FALSE),"")</f>
        <v/>
      </c>
    </row>
    <row r="3802" spans="8:8" x14ac:dyDescent="0.2">
      <c r="H3802" s="11" t="str">
        <f>IFERROR(VLOOKUP(tbl_product_scores[[#This Row],[product_key]],tbl_products[[product_key]:[group_display_key]],2,FALSE),"")</f>
        <v/>
      </c>
    </row>
    <row r="3803" spans="8:8" x14ac:dyDescent="0.2">
      <c r="H3803" s="11" t="str">
        <f>IFERROR(VLOOKUP(tbl_product_scores[[#This Row],[product_key]],tbl_products[[product_key]:[group_display_key]],2,FALSE),"")</f>
        <v/>
      </c>
    </row>
    <row r="3804" spans="8:8" x14ac:dyDescent="0.2">
      <c r="H3804" s="11" t="str">
        <f>IFERROR(VLOOKUP(tbl_product_scores[[#This Row],[product_key]],tbl_products[[product_key]:[group_display_key]],2,FALSE),"")</f>
        <v/>
      </c>
    </row>
    <row r="3805" spans="8:8" x14ac:dyDescent="0.2">
      <c r="H3805" s="11" t="str">
        <f>IFERROR(VLOOKUP(tbl_product_scores[[#This Row],[product_key]],tbl_products[[product_key]:[group_display_key]],2,FALSE),"")</f>
        <v/>
      </c>
    </row>
    <row r="3806" spans="8:8" x14ac:dyDescent="0.2">
      <c r="H3806" s="11" t="str">
        <f>IFERROR(VLOOKUP(tbl_product_scores[[#This Row],[product_key]],tbl_products[[product_key]:[group_display_key]],2,FALSE),"")</f>
        <v/>
      </c>
    </row>
    <row r="3807" spans="8:8" x14ac:dyDescent="0.2">
      <c r="H3807" s="11" t="str">
        <f>IFERROR(VLOOKUP(tbl_product_scores[[#This Row],[product_key]],tbl_products[[product_key]:[group_display_key]],2,FALSE),"")</f>
        <v/>
      </c>
    </row>
    <row r="3808" spans="8:8" x14ac:dyDescent="0.2">
      <c r="H3808" s="11" t="str">
        <f>IFERROR(VLOOKUP(tbl_product_scores[[#This Row],[product_key]],tbl_products[[product_key]:[group_display_key]],2,FALSE),"")</f>
        <v/>
      </c>
    </row>
    <row r="3809" spans="8:8" x14ac:dyDescent="0.2">
      <c r="H3809" s="11" t="str">
        <f>IFERROR(VLOOKUP(tbl_product_scores[[#This Row],[product_key]],tbl_products[[product_key]:[group_display_key]],2,FALSE),"")</f>
        <v/>
      </c>
    </row>
    <row r="3810" spans="8:8" x14ac:dyDescent="0.2">
      <c r="H3810" s="11" t="str">
        <f>IFERROR(VLOOKUP(tbl_product_scores[[#This Row],[product_key]],tbl_products[[product_key]:[group_display_key]],2,FALSE),"")</f>
        <v/>
      </c>
    </row>
    <row r="3811" spans="8:8" x14ac:dyDescent="0.2">
      <c r="H3811" s="11" t="str">
        <f>IFERROR(VLOOKUP(tbl_product_scores[[#This Row],[product_key]],tbl_products[[product_key]:[group_display_key]],2,FALSE),"")</f>
        <v/>
      </c>
    </row>
    <row r="3812" spans="8:8" x14ac:dyDescent="0.2">
      <c r="H3812" s="11" t="str">
        <f>IFERROR(VLOOKUP(tbl_product_scores[[#This Row],[product_key]],tbl_products[[product_key]:[group_display_key]],2,FALSE),"")</f>
        <v/>
      </c>
    </row>
    <row r="3813" spans="8:8" x14ac:dyDescent="0.2">
      <c r="H3813" s="11" t="str">
        <f>IFERROR(VLOOKUP(tbl_product_scores[[#This Row],[product_key]],tbl_products[[product_key]:[group_display_key]],2,FALSE),"")</f>
        <v/>
      </c>
    </row>
    <row r="3814" spans="8:8" x14ac:dyDescent="0.2">
      <c r="H3814" s="11" t="str">
        <f>IFERROR(VLOOKUP(tbl_product_scores[[#This Row],[product_key]],tbl_products[[product_key]:[group_display_key]],2,FALSE),"")</f>
        <v/>
      </c>
    </row>
    <row r="3815" spans="8:8" x14ac:dyDescent="0.2">
      <c r="H3815" s="11" t="str">
        <f>IFERROR(VLOOKUP(tbl_product_scores[[#This Row],[product_key]],tbl_products[[product_key]:[group_display_key]],2,FALSE),"")</f>
        <v/>
      </c>
    </row>
    <row r="3816" spans="8:8" x14ac:dyDescent="0.2">
      <c r="H3816" s="11" t="str">
        <f>IFERROR(VLOOKUP(tbl_product_scores[[#This Row],[product_key]],tbl_products[[product_key]:[group_display_key]],2,FALSE),"")</f>
        <v/>
      </c>
    </row>
    <row r="3817" spans="8:8" x14ac:dyDescent="0.2">
      <c r="H3817" s="11" t="str">
        <f>IFERROR(VLOOKUP(tbl_product_scores[[#This Row],[product_key]],tbl_products[[product_key]:[group_display_key]],2,FALSE),"")</f>
        <v/>
      </c>
    </row>
    <row r="3818" spans="8:8" x14ac:dyDescent="0.2">
      <c r="H3818" s="11" t="str">
        <f>IFERROR(VLOOKUP(tbl_product_scores[[#This Row],[product_key]],tbl_products[[product_key]:[group_display_key]],2,FALSE),"")</f>
        <v/>
      </c>
    </row>
    <row r="3819" spans="8:8" x14ac:dyDescent="0.2">
      <c r="H3819" s="11" t="str">
        <f>IFERROR(VLOOKUP(tbl_product_scores[[#This Row],[product_key]],tbl_products[[product_key]:[group_display_key]],2,FALSE),"")</f>
        <v/>
      </c>
    </row>
    <row r="3820" spans="8:8" x14ac:dyDescent="0.2">
      <c r="H3820" s="11" t="str">
        <f>IFERROR(VLOOKUP(tbl_product_scores[[#This Row],[product_key]],tbl_products[[product_key]:[group_display_key]],2,FALSE),"")</f>
        <v/>
      </c>
    </row>
    <row r="3821" spans="8:8" x14ac:dyDescent="0.2">
      <c r="H3821" s="11" t="str">
        <f>IFERROR(VLOOKUP(tbl_product_scores[[#This Row],[product_key]],tbl_products[[product_key]:[group_display_key]],2,FALSE),"")</f>
        <v/>
      </c>
    </row>
    <row r="3822" spans="8:8" x14ac:dyDescent="0.2">
      <c r="H3822" s="11" t="str">
        <f>IFERROR(VLOOKUP(tbl_product_scores[[#This Row],[product_key]],tbl_products[[product_key]:[group_display_key]],2,FALSE),"")</f>
        <v/>
      </c>
    </row>
    <row r="3823" spans="8:8" x14ac:dyDescent="0.2">
      <c r="H3823" s="11" t="str">
        <f>IFERROR(VLOOKUP(tbl_product_scores[[#This Row],[product_key]],tbl_products[[product_key]:[group_display_key]],2,FALSE),"")</f>
        <v/>
      </c>
    </row>
    <row r="3824" spans="8:8" x14ac:dyDescent="0.2">
      <c r="H3824" s="11" t="str">
        <f>IFERROR(VLOOKUP(tbl_product_scores[[#This Row],[product_key]],tbl_products[[product_key]:[group_display_key]],2,FALSE),"")</f>
        <v/>
      </c>
    </row>
    <row r="3825" spans="8:8" x14ac:dyDescent="0.2">
      <c r="H3825" s="11" t="str">
        <f>IFERROR(VLOOKUP(tbl_product_scores[[#This Row],[product_key]],tbl_products[[product_key]:[group_display_key]],2,FALSE),"")</f>
        <v/>
      </c>
    </row>
    <row r="3826" spans="8:8" x14ac:dyDescent="0.2">
      <c r="H3826" s="11" t="str">
        <f>IFERROR(VLOOKUP(tbl_product_scores[[#This Row],[product_key]],tbl_products[[product_key]:[group_display_key]],2,FALSE),"")</f>
        <v/>
      </c>
    </row>
    <row r="3827" spans="8:8" x14ac:dyDescent="0.2">
      <c r="H3827" s="11" t="str">
        <f>IFERROR(VLOOKUP(tbl_product_scores[[#This Row],[product_key]],tbl_products[[product_key]:[group_display_key]],2,FALSE),"")</f>
        <v/>
      </c>
    </row>
    <row r="3828" spans="8:8" x14ac:dyDescent="0.2">
      <c r="H3828" s="11" t="str">
        <f>IFERROR(VLOOKUP(tbl_product_scores[[#This Row],[product_key]],tbl_products[[product_key]:[group_display_key]],2,FALSE),"")</f>
        <v/>
      </c>
    </row>
    <row r="3829" spans="8:8" x14ac:dyDescent="0.2">
      <c r="H3829" s="11" t="str">
        <f>IFERROR(VLOOKUP(tbl_product_scores[[#This Row],[product_key]],tbl_products[[product_key]:[group_display_key]],2,FALSE),"")</f>
        <v/>
      </c>
    </row>
    <row r="3830" spans="8:8" x14ac:dyDescent="0.2">
      <c r="H3830" s="11" t="str">
        <f>IFERROR(VLOOKUP(tbl_product_scores[[#This Row],[product_key]],tbl_products[[product_key]:[group_display_key]],2,FALSE),"")</f>
        <v/>
      </c>
    </row>
    <row r="3831" spans="8:8" x14ac:dyDescent="0.2">
      <c r="H3831" s="11" t="str">
        <f>IFERROR(VLOOKUP(tbl_product_scores[[#This Row],[product_key]],tbl_products[[product_key]:[group_display_key]],2,FALSE),"")</f>
        <v/>
      </c>
    </row>
    <row r="3832" spans="8:8" x14ac:dyDescent="0.2">
      <c r="H3832" s="11" t="str">
        <f>IFERROR(VLOOKUP(tbl_product_scores[[#This Row],[product_key]],tbl_products[[product_key]:[group_display_key]],2,FALSE),"")</f>
        <v/>
      </c>
    </row>
    <row r="3833" spans="8:8" x14ac:dyDescent="0.2">
      <c r="H3833" s="11" t="str">
        <f>IFERROR(VLOOKUP(tbl_product_scores[[#This Row],[product_key]],tbl_products[[product_key]:[group_display_key]],2,FALSE),"")</f>
        <v/>
      </c>
    </row>
    <row r="3834" spans="8:8" x14ac:dyDescent="0.2">
      <c r="H3834" s="11" t="str">
        <f>IFERROR(VLOOKUP(tbl_product_scores[[#This Row],[product_key]],tbl_products[[product_key]:[group_display_key]],2,FALSE),"")</f>
        <v/>
      </c>
    </row>
    <row r="3835" spans="8:8" x14ac:dyDescent="0.2">
      <c r="H3835" s="11" t="str">
        <f>IFERROR(VLOOKUP(tbl_product_scores[[#This Row],[product_key]],tbl_products[[product_key]:[group_display_key]],2,FALSE),"")</f>
        <v/>
      </c>
    </row>
    <row r="3836" spans="8:8" x14ac:dyDescent="0.2">
      <c r="H3836" s="11" t="str">
        <f>IFERROR(VLOOKUP(tbl_product_scores[[#This Row],[product_key]],tbl_products[[product_key]:[group_display_key]],2,FALSE),"")</f>
        <v/>
      </c>
    </row>
    <row r="3837" spans="8:8" x14ac:dyDescent="0.2">
      <c r="H3837" s="11" t="str">
        <f>IFERROR(VLOOKUP(tbl_product_scores[[#This Row],[product_key]],tbl_products[[product_key]:[group_display_key]],2,FALSE),"")</f>
        <v/>
      </c>
    </row>
    <row r="3838" spans="8:8" x14ac:dyDescent="0.2">
      <c r="H3838" s="11" t="str">
        <f>IFERROR(VLOOKUP(tbl_product_scores[[#This Row],[product_key]],tbl_products[[product_key]:[group_display_key]],2,FALSE),"")</f>
        <v/>
      </c>
    </row>
    <row r="3839" spans="8:8" x14ac:dyDescent="0.2">
      <c r="H3839" s="11" t="str">
        <f>IFERROR(VLOOKUP(tbl_product_scores[[#This Row],[product_key]],tbl_products[[product_key]:[group_display_key]],2,FALSE),"")</f>
        <v/>
      </c>
    </row>
    <row r="3840" spans="8:8" x14ac:dyDescent="0.2">
      <c r="H3840" s="11" t="str">
        <f>IFERROR(VLOOKUP(tbl_product_scores[[#This Row],[product_key]],tbl_products[[product_key]:[group_display_key]],2,FALSE),"")</f>
        <v/>
      </c>
    </row>
    <row r="3841" spans="8:8" x14ac:dyDescent="0.2">
      <c r="H3841" s="11" t="str">
        <f>IFERROR(VLOOKUP(tbl_product_scores[[#This Row],[product_key]],tbl_products[[product_key]:[group_display_key]],2,FALSE),"")</f>
        <v/>
      </c>
    </row>
    <row r="3842" spans="8:8" x14ac:dyDescent="0.2">
      <c r="H3842" s="11" t="str">
        <f>IFERROR(VLOOKUP(tbl_product_scores[[#This Row],[product_key]],tbl_products[[product_key]:[group_display_key]],2,FALSE),"")</f>
        <v/>
      </c>
    </row>
    <row r="3843" spans="8:8" x14ac:dyDescent="0.2">
      <c r="H3843" s="11" t="str">
        <f>IFERROR(VLOOKUP(tbl_product_scores[[#This Row],[product_key]],tbl_products[[product_key]:[group_display_key]],2,FALSE),"")</f>
        <v/>
      </c>
    </row>
    <row r="3844" spans="8:8" x14ac:dyDescent="0.2">
      <c r="H3844" s="11" t="str">
        <f>IFERROR(VLOOKUP(tbl_product_scores[[#This Row],[product_key]],tbl_products[[product_key]:[group_display_key]],2,FALSE),"")</f>
        <v/>
      </c>
    </row>
    <row r="3845" spans="8:8" x14ac:dyDescent="0.2">
      <c r="H3845" s="11" t="str">
        <f>IFERROR(VLOOKUP(tbl_product_scores[[#This Row],[product_key]],tbl_products[[product_key]:[group_display_key]],2,FALSE),"")</f>
        <v/>
      </c>
    </row>
    <row r="3846" spans="8:8" x14ac:dyDescent="0.2">
      <c r="H3846" s="11" t="str">
        <f>IFERROR(VLOOKUP(tbl_product_scores[[#This Row],[product_key]],tbl_products[[product_key]:[group_display_key]],2,FALSE),"")</f>
        <v/>
      </c>
    </row>
    <row r="3847" spans="8:8" x14ac:dyDescent="0.2">
      <c r="H3847" s="11" t="str">
        <f>IFERROR(VLOOKUP(tbl_product_scores[[#This Row],[product_key]],tbl_products[[product_key]:[group_display_key]],2,FALSE),"")</f>
        <v/>
      </c>
    </row>
    <row r="3848" spans="8:8" x14ac:dyDescent="0.2">
      <c r="H3848" s="11" t="str">
        <f>IFERROR(VLOOKUP(tbl_product_scores[[#This Row],[product_key]],tbl_products[[product_key]:[group_display_key]],2,FALSE),"")</f>
        <v/>
      </c>
    </row>
    <row r="3849" spans="8:8" x14ac:dyDescent="0.2">
      <c r="H3849" s="11" t="str">
        <f>IFERROR(VLOOKUP(tbl_product_scores[[#This Row],[product_key]],tbl_products[[product_key]:[group_display_key]],2,FALSE),"")</f>
        <v/>
      </c>
    </row>
    <row r="3850" spans="8:8" x14ac:dyDescent="0.2">
      <c r="H3850" s="11" t="str">
        <f>IFERROR(VLOOKUP(tbl_product_scores[[#This Row],[product_key]],tbl_products[[product_key]:[group_display_key]],2,FALSE),"")</f>
        <v/>
      </c>
    </row>
    <row r="3851" spans="8:8" x14ac:dyDescent="0.2">
      <c r="H3851" s="11" t="str">
        <f>IFERROR(VLOOKUP(tbl_product_scores[[#This Row],[product_key]],tbl_products[[product_key]:[group_display_key]],2,FALSE),"")</f>
        <v/>
      </c>
    </row>
    <row r="3852" spans="8:8" x14ac:dyDescent="0.2">
      <c r="H3852" s="11" t="str">
        <f>IFERROR(VLOOKUP(tbl_product_scores[[#This Row],[product_key]],tbl_products[[product_key]:[group_display_key]],2,FALSE),"")</f>
        <v/>
      </c>
    </row>
    <row r="3853" spans="8:8" x14ac:dyDescent="0.2">
      <c r="H3853" s="11" t="str">
        <f>IFERROR(VLOOKUP(tbl_product_scores[[#This Row],[product_key]],tbl_products[[product_key]:[group_display_key]],2,FALSE),"")</f>
        <v/>
      </c>
    </row>
    <row r="3854" spans="8:8" x14ac:dyDescent="0.2">
      <c r="H3854" s="11" t="str">
        <f>IFERROR(VLOOKUP(tbl_product_scores[[#This Row],[product_key]],tbl_products[[product_key]:[group_display_key]],2,FALSE),"")</f>
        <v/>
      </c>
    </row>
    <row r="3855" spans="8:8" x14ac:dyDescent="0.2">
      <c r="H3855" s="11" t="str">
        <f>IFERROR(VLOOKUP(tbl_product_scores[[#This Row],[product_key]],tbl_products[[product_key]:[group_display_key]],2,FALSE),"")</f>
        <v/>
      </c>
    </row>
    <row r="3856" spans="8:8" x14ac:dyDescent="0.2">
      <c r="H3856" s="11" t="str">
        <f>IFERROR(VLOOKUP(tbl_product_scores[[#This Row],[product_key]],tbl_products[[product_key]:[group_display_key]],2,FALSE),"")</f>
        <v/>
      </c>
    </row>
    <row r="3857" spans="8:8" x14ac:dyDescent="0.2">
      <c r="H3857" s="11" t="str">
        <f>IFERROR(VLOOKUP(tbl_product_scores[[#This Row],[product_key]],tbl_products[[product_key]:[group_display_key]],2,FALSE),"")</f>
        <v/>
      </c>
    </row>
    <row r="3858" spans="8:8" x14ac:dyDescent="0.2">
      <c r="H3858" s="11" t="str">
        <f>IFERROR(VLOOKUP(tbl_product_scores[[#This Row],[product_key]],tbl_products[[product_key]:[group_display_key]],2,FALSE),"")</f>
        <v/>
      </c>
    </row>
    <row r="3859" spans="8:8" x14ac:dyDescent="0.2">
      <c r="H3859" s="11" t="str">
        <f>IFERROR(VLOOKUP(tbl_product_scores[[#This Row],[product_key]],tbl_products[[product_key]:[group_display_key]],2,FALSE),"")</f>
        <v/>
      </c>
    </row>
    <row r="3860" spans="8:8" x14ac:dyDescent="0.2">
      <c r="H3860" s="11" t="str">
        <f>IFERROR(VLOOKUP(tbl_product_scores[[#This Row],[product_key]],tbl_products[[product_key]:[group_display_key]],2,FALSE),"")</f>
        <v/>
      </c>
    </row>
    <row r="3861" spans="8:8" x14ac:dyDescent="0.2">
      <c r="H3861" s="11" t="str">
        <f>IFERROR(VLOOKUP(tbl_product_scores[[#This Row],[product_key]],tbl_products[[product_key]:[group_display_key]],2,FALSE),"")</f>
        <v/>
      </c>
    </row>
    <row r="3862" spans="8:8" x14ac:dyDescent="0.2">
      <c r="H3862" s="11" t="str">
        <f>IFERROR(VLOOKUP(tbl_product_scores[[#This Row],[product_key]],tbl_products[[product_key]:[group_display_key]],2,FALSE),"")</f>
        <v/>
      </c>
    </row>
    <row r="3863" spans="8:8" x14ac:dyDescent="0.2">
      <c r="H3863" s="11" t="str">
        <f>IFERROR(VLOOKUP(tbl_product_scores[[#This Row],[product_key]],tbl_products[[product_key]:[group_display_key]],2,FALSE),"")</f>
        <v/>
      </c>
    </row>
    <row r="3864" spans="8:8" x14ac:dyDescent="0.2">
      <c r="H3864" s="11" t="str">
        <f>IFERROR(VLOOKUP(tbl_product_scores[[#This Row],[product_key]],tbl_products[[product_key]:[group_display_key]],2,FALSE),"")</f>
        <v/>
      </c>
    </row>
    <row r="3865" spans="8:8" x14ac:dyDescent="0.2">
      <c r="H3865" s="11" t="str">
        <f>IFERROR(VLOOKUP(tbl_product_scores[[#This Row],[product_key]],tbl_products[[product_key]:[group_display_key]],2,FALSE),"")</f>
        <v/>
      </c>
    </row>
    <row r="3866" spans="8:8" x14ac:dyDescent="0.2">
      <c r="H3866" s="11" t="str">
        <f>IFERROR(VLOOKUP(tbl_product_scores[[#This Row],[product_key]],tbl_products[[product_key]:[group_display_key]],2,FALSE),"")</f>
        <v/>
      </c>
    </row>
    <row r="3867" spans="8:8" x14ac:dyDescent="0.2">
      <c r="H3867" s="11" t="str">
        <f>IFERROR(VLOOKUP(tbl_product_scores[[#This Row],[product_key]],tbl_products[[product_key]:[group_display_key]],2,FALSE),"")</f>
        <v/>
      </c>
    </row>
    <row r="3868" spans="8:8" x14ac:dyDescent="0.2">
      <c r="H3868" s="11" t="str">
        <f>IFERROR(VLOOKUP(tbl_product_scores[[#This Row],[product_key]],tbl_products[[product_key]:[group_display_key]],2,FALSE),"")</f>
        <v/>
      </c>
    </row>
    <row r="3869" spans="8:8" x14ac:dyDescent="0.2">
      <c r="H3869" s="11" t="str">
        <f>IFERROR(VLOOKUP(tbl_product_scores[[#This Row],[product_key]],tbl_products[[product_key]:[group_display_key]],2,FALSE),"")</f>
        <v/>
      </c>
    </row>
    <row r="3870" spans="8:8" x14ac:dyDescent="0.2">
      <c r="H3870" s="11" t="str">
        <f>IFERROR(VLOOKUP(tbl_product_scores[[#This Row],[product_key]],tbl_products[[product_key]:[group_display_key]],2,FALSE),"")</f>
        <v/>
      </c>
    </row>
    <row r="3871" spans="8:8" x14ac:dyDescent="0.2">
      <c r="H3871" s="11" t="str">
        <f>IFERROR(VLOOKUP(tbl_product_scores[[#This Row],[product_key]],tbl_products[[product_key]:[group_display_key]],2,FALSE),"")</f>
        <v/>
      </c>
    </row>
    <row r="3872" spans="8:8" x14ac:dyDescent="0.2">
      <c r="H3872" s="11" t="str">
        <f>IFERROR(VLOOKUP(tbl_product_scores[[#This Row],[product_key]],tbl_products[[product_key]:[group_display_key]],2,FALSE),"")</f>
        <v/>
      </c>
    </row>
    <row r="3873" spans="8:8" x14ac:dyDescent="0.2">
      <c r="H3873" s="11" t="str">
        <f>IFERROR(VLOOKUP(tbl_product_scores[[#This Row],[product_key]],tbl_products[[product_key]:[group_display_key]],2,FALSE),"")</f>
        <v/>
      </c>
    </row>
    <row r="3874" spans="8:8" x14ac:dyDescent="0.2">
      <c r="H3874" s="11" t="str">
        <f>IFERROR(VLOOKUP(tbl_product_scores[[#This Row],[product_key]],tbl_products[[product_key]:[group_display_key]],2,FALSE),"")</f>
        <v/>
      </c>
    </row>
    <row r="3875" spans="8:8" x14ac:dyDescent="0.2">
      <c r="H3875" s="11" t="str">
        <f>IFERROR(VLOOKUP(tbl_product_scores[[#This Row],[product_key]],tbl_products[[product_key]:[group_display_key]],2,FALSE),"")</f>
        <v/>
      </c>
    </row>
    <row r="3876" spans="8:8" x14ac:dyDescent="0.2">
      <c r="H3876" s="11" t="str">
        <f>IFERROR(VLOOKUP(tbl_product_scores[[#This Row],[product_key]],tbl_products[[product_key]:[group_display_key]],2,FALSE),"")</f>
        <v/>
      </c>
    </row>
    <row r="3877" spans="8:8" x14ac:dyDescent="0.2">
      <c r="H3877" s="11" t="str">
        <f>IFERROR(VLOOKUP(tbl_product_scores[[#This Row],[product_key]],tbl_products[[product_key]:[group_display_key]],2,FALSE),"")</f>
        <v/>
      </c>
    </row>
    <row r="3878" spans="8:8" x14ac:dyDescent="0.2">
      <c r="H3878" s="11" t="str">
        <f>IFERROR(VLOOKUP(tbl_product_scores[[#This Row],[product_key]],tbl_products[[product_key]:[group_display_key]],2,FALSE),"")</f>
        <v/>
      </c>
    </row>
    <row r="3879" spans="8:8" x14ac:dyDescent="0.2">
      <c r="H3879" s="11" t="str">
        <f>IFERROR(VLOOKUP(tbl_product_scores[[#This Row],[product_key]],tbl_products[[product_key]:[group_display_key]],2,FALSE),"")</f>
        <v/>
      </c>
    </row>
    <row r="3880" spans="8:8" x14ac:dyDescent="0.2">
      <c r="H3880" s="11" t="str">
        <f>IFERROR(VLOOKUP(tbl_product_scores[[#This Row],[product_key]],tbl_products[[product_key]:[group_display_key]],2,FALSE),"")</f>
        <v/>
      </c>
    </row>
    <row r="3881" spans="8:8" x14ac:dyDescent="0.2">
      <c r="H3881" s="11" t="str">
        <f>IFERROR(VLOOKUP(tbl_product_scores[[#This Row],[product_key]],tbl_products[[product_key]:[group_display_key]],2,FALSE),"")</f>
        <v/>
      </c>
    </row>
    <row r="3882" spans="8:8" x14ac:dyDescent="0.2">
      <c r="H3882" s="11" t="str">
        <f>IFERROR(VLOOKUP(tbl_product_scores[[#This Row],[product_key]],tbl_products[[product_key]:[group_display_key]],2,FALSE),"")</f>
        <v/>
      </c>
    </row>
    <row r="3883" spans="8:8" x14ac:dyDescent="0.2">
      <c r="H3883" s="11" t="str">
        <f>IFERROR(VLOOKUP(tbl_product_scores[[#This Row],[product_key]],tbl_products[[product_key]:[group_display_key]],2,FALSE),"")</f>
        <v/>
      </c>
    </row>
    <row r="3884" spans="8:8" x14ac:dyDescent="0.2">
      <c r="H3884" s="11" t="str">
        <f>IFERROR(VLOOKUP(tbl_product_scores[[#This Row],[product_key]],tbl_products[[product_key]:[group_display_key]],2,FALSE),"")</f>
        <v/>
      </c>
    </row>
    <row r="3885" spans="8:8" x14ac:dyDescent="0.2">
      <c r="H3885" s="11" t="str">
        <f>IFERROR(VLOOKUP(tbl_product_scores[[#This Row],[product_key]],tbl_products[[product_key]:[group_display_key]],2,FALSE),"")</f>
        <v/>
      </c>
    </row>
    <row r="3886" spans="8:8" x14ac:dyDescent="0.2">
      <c r="H3886" s="11" t="str">
        <f>IFERROR(VLOOKUP(tbl_product_scores[[#This Row],[product_key]],tbl_products[[product_key]:[group_display_key]],2,FALSE),"")</f>
        <v/>
      </c>
    </row>
    <row r="3887" spans="8:8" x14ac:dyDescent="0.2">
      <c r="H3887" s="11" t="str">
        <f>IFERROR(VLOOKUP(tbl_product_scores[[#This Row],[product_key]],tbl_products[[product_key]:[group_display_key]],2,FALSE),"")</f>
        <v/>
      </c>
    </row>
    <row r="3888" spans="8:8" x14ac:dyDescent="0.2">
      <c r="H3888" s="11" t="str">
        <f>IFERROR(VLOOKUP(tbl_product_scores[[#This Row],[product_key]],tbl_products[[product_key]:[group_display_key]],2,FALSE),"")</f>
        <v/>
      </c>
    </row>
    <row r="3889" spans="8:8" x14ac:dyDescent="0.2">
      <c r="H3889" s="11" t="str">
        <f>IFERROR(VLOOKUP(tbl_product_scores[[#This Row],[product_key]],tbl_products[[product_key]:[group_display_key]],2,FALSE),"")</f>
        <v/>
      </c>
    </row>
    <row r="3890" spans="8:8" x14ac:dyDescent="0.2">
      <c r="H3890" s="11" t="str">
        <f>IFERROR(VLOOKUP(tbl_product_scores[[#This Row],[product_key]],tbl_products[[product_key]:[group_display_key]],2,FALSE),"")</f>
        <v/>
      </c>
    </row>
    <row r="3891" spans="8:8" x14ac:dyDescent="0.2">
      <c r="H3891" s="11" t="str">
        <f>IFERROR(VLOOKUP(tbl_product_scores[[#This Row],[product_key]],tbl_products[[product_key]:[group_display_key]],2,FALSE),"")</f>
        <v/>
      </c>
    </row>
    <row r="3892" spans="8:8" x14ac:dyDescent="0.2">
      <c r="H3892" s="11" t="str">
        <f>IFERROR(VLOOKUP(tbl_product_scores[[#This Row],[product_key]],tbl_products[[product_key]:[group_display_key]],2,FALSE),"")</f>
        <v/>
      </c>
    </row>
    <row r="3893" spans="8:8" x14ac:dyDescent="0.2">
      <c r="H3893" s="11" t="str">
        <f>IFERROR(VLOOKUP(tbl_product_scores[[#This Row],[product_key]],tbl_products[[product_key]:[group_display_key]],2,FALSE),"")</f>
        <v/>
      </c>
    </row>
    <row r="3894" spans="8:8" x14ac:dyDescent="0.2">
      <c r="H3894" s="11" t="str">
        <f>IFERROR(VLOOKUP(tbl_product_scores[[#This Row],[product_key]],tbl_products[[product_key]:[group_display_key]],2,FALSE),"")</f>
        <v/>
      </c>
    </row>
    <row r="3895" spans="8:8" x14ac:dyDescent="0.2">
      <c r="H3895" s="11" t="str">
        <f>IFERROR(VLOOKUP(tbl_product_scores[[#This Row],[product_key]],tbl_products[[product_key]:[group_display_key]],2,FALSE),"")</f>
        <v/>
      </c>
    </row>
    <row r="3896" spans="8:8" x14ac:dyDescent="0.2">
      <c r="H3896" s="11" t="str">
        <f>IFERROR(VLOOKUP(tbl_product_scores[[#This Row],[product_key]],tbl_products[[product_key]:[group_display_key]],2,FALSE),"")</f>
        <v/>
      </c>
    </row>
    <row r="3897" spans="8:8" x14ac:dyDescent="0.2">
      <c r="H3897" s="11" t="str">
        <f>IFERROR(VLOOKUP(tbl_product_scores[[#This Row],[product_key]],tbl_products[[product_key]:[group_display_key]],2,FALSE),"")</f>
        <v/>
      </c>
    </row>
    <row r="3898" spans="8:8" x14ac:dyDescent="0.2">
      <c r="H3898" s="11" t="str">
        <f>IFERROR(VLOOKUP(tbl_product_scores[[#This Row],[product_key]],tbl_products[[product_key]:[group_display_key]],2,FALSE),"")</f>
        <v/>
      </c>
    </row>
    <row r="3899" spans="8:8" x14ac:dyDescent="0.2">
      <c r="H3899" s="11" t="str">
        <f>IFERROR(VLOOKUP(tbl_product_scores[[#This Row],[product_key]],tbl_products[[product_key]:[group_display_key]],2,FALSE),"")</f>
        <v/>
      </c>
    </row>
    <row r="3900" spans="8:8" x14ac:dyDescent="0.2">
      <c r="H3900" s="11" t="str">
        <f>IFERROR(VLOOKUP(tbl_product_scores[[#This Row],[product_key]],tbl_products[[product_key]:[group_display_key]],2,FALSE),"")</f>
        <v/>
      </c>
    </row>
    <row r="3901" spans="8:8" x14ac:dyDescent="0.2">
      <c r="H3901" s="11" t="str">
        <f>IFERROR(VLOOKUP(tbl_product_scores[[#This Row],[product_key]],tbl_products[[product_key]:[group_display_key]],2,FALSE),"")</f>
        <v/>
      </c>
    </row>
    <row r="3902" spans="8:8" x14ac:dyDescent="0.2">
      <c r="H3902" s="11" t="str">
        <f>IFERROR(VLOOKUP(tbl_product_scores[[#This Row],[product_key]],tbl_products[[product_key]:[group_display_key]],2,FALSE),"")</f>
        <v/>
      </c>
    </row>
    <row r="3903" spans="8:8" x14ac:dyDescent="0.2">
      <c r="H3903" s="11" t="str">
        <f>IFERROR(VLOOKUP(tbl_product_scores[[#This Row],[product_key]],tbl_products[[product_key]:[group_display_key]],2,FALSE),"")</f>
        <v/>
      </c>
    </row>
    <row r="3904" spans="8:8" x14ac:dyDescent="0.2">
      <c r="H3904" s="11" t="str">
        <f>IFERROR(VLOOKUP(tbl_product_scores[[#This Row],[product_key]],tbl_products[[product_key]:[group_display_key]],2,FALSE),"")</f>
        <v/>
      </c>
    </row>
    <row r="3905" spans="8:8" x14ac:dyDescent="0.2">
      <c r="H3905" s="11" t="str">
        <f>IFERROR(VLOOKUP(tbl_product_scores[[#This Row],[product_key]],tbl_products[[product_key]:[group_display_key]],2,FALSE),"")</f>
        <v/>
      </c>
    </row>
    <row r="3906" spans="8:8" x14ac:dyDescent="0.2">
      <c r="H3906" s="11" t="str">
        <f>IFERROR(VLOOKUP(tbl_product_scores[[#This Row],[product_key]],tbl_products[[product_key]:[group_display_key]],2,FALSE),"")</f>
        <v/>
      </c>
    </row>
    <row r="3907" spans="8:8" x14ac:dyDescent="0.2">
      <c r="H3907" s="11" t="str">
        <f>IFERROR(VLOOKUP(tbl_product_scores[[#This Row],[product_key]],tbl_products[[product_key]:[group_display_key]],2,FALSE),"")</f>
        <v/>
      </c>
    </row>
    <row r="3908" spans="8:8" x14ac:dyDescent="0.2">
      <c r="H3908" s="11" t="str">
        <f>IFERROR(VLOOKUP(tbl_product_scores[[#This Row],[product_key]],tbl_products[[product_key]:[group_display_key]],2,FALSE),"")</f>
        <v/>
      </c>
    </row>
    <row r="3909" spans="8:8" x14ac:dyDescent="0.2">
      <c r="H3909" s="11" t="str">
        <f>IFERROR(VLOOKUP(tbl_product_scores[[#This Row],[product_key]],tbl_products[[product_key]:[group_display_key]],2,FALSE),"")</f>
        <v/>
      </c>
    </row>
    <row r="3910" spans="8:8" x14ac:dyDescent="0.2">
      <c r="H3910" s="11" t="str">
        <f>IFERROR(VLOOKUP(tbl_product_scores[[#This Row],[product_key]],tbl_products[[product_key]:[group_display_key]],2,FALSE),"")</f>
        <v/>
      </c>
    </row>
    <row r="3911" spans="8:8" x14ac:dyDescent="0.2">
      <c r="H3911" s="11" t="str">
        <f>IFERROR(VLOOKUP(tbl_product_scores[[#This Row],[product_key]],tbl_products[[product_key]:[group_display_key]],2,FALSE),"")</f>
        <v/>
      </c>
    </row>
    <row r="3912" spans="8:8" x14ac:dyDescent="0.2">
      <c r="H3912" s="11" t="str">
        <f>IFERROR(VLOOKUP(tbl_product_scores[[#This Row],[product_key]],tbl_products[[product_key]:[group_display_key]],2,FALSE),"")</f>
        <v/>
      </c>
    </row>
    <row r="3913" spans="8:8" x14ac:dyDescent="0.2">
      <c r="H3913" s="11" t="str">
        <f>IFERROR(VLOOKUP(tbl_product_scores[[#This Row],[product_key]],tbl_products[[product_key]:[group_display_key]],2,FALSE),"")</f>
        <v/>
      </c>
    </row>
    <row r="3914" spans="8:8" x14ac:dyDescent="0.2">
      <c r="H3914" s="11" t="str">
        <f>IFERROR(VLOOKUP(tbl_product_scores[[#This Row],[product_key]],tbl_products[[product_key]:[group_display_key]],2,FALSE),"")</f>
        <v/>
      </c>
    </row>
    <row r="3915" spans="8:8" x14ac:dyDescent="0.2">
      <c r="H3915" s="11" t="str">
        <f>IFERROR(VLOOKUP(tbl_product_scores[[#This Row],[product_key]],tbl_products[[product_key]:[group_display_key]],2,FALSE),"")</f>
        <v/>
      </c>
    </row>
    <row r="3916" spans="8:8" x14ac:dyDescent="0.2">
      <c r="H3916" s="11" t="str">
        <f>IFERROR(VLOOKUP(tbl_product_scores[[#This Row],[product_key]],tbl_products[[product_key]:[group_display_key]],2,FALSE),"")</f>
        <v/>
      </c>
    </row>
    <row r="3917" spans="8:8" x14ac:dyDescent="0.2">
      <c r="H3917" s="11" t="str">
        <f>IFERROR(VLOOKUP(tbl_product_scores[[#This Row],[product_key]],tbl_products[[product_key]:[group_display_key]],2,FALSE),"")</f>
        <v/>
      </c>
    </row>
    <row r="3918" spans="8:8" x14ac:dyDescent="0.2">
      <c r="H3918" s="11" t="str">
        <f>IFERROR(VLOOKUP(tbl_product_scores[[#This Row],[product_key]],tbl_products[[product_key]:[group_display_key]],2,FALSE),"")</f>
        <v/>
      </c>
    </row>
    <row r="3919" spans="8:8" x14ac:dyDescent="0.2">
      <c r="H3919" s="11" t="str">
        <f>IFERROR(VLOOKUP(tbl_product_scores[[#This Row],[product_key]],tbl_products[[product_key]:[group_display_key]],2,FALSE),"")</f>
        <v/>
      </c>
    </row>
    <row r="3920" spans="8:8" x14ac:dyDescent="0.2">
      <c r="H3920" s="11" t="str">
        <f>IFERROR(VLOOKUP(tbl_product_scores[[#This Row],[product_key]],tbl_products[[product_key]:[group_display_key]],2,FALSE),"")</f>
        <v/>
      </c>
    </row>
    <row r="3921" spans="8:8" x14ac:dyDescent="0.2">
      <c r="H3921" s="11" t="str">
        <f>IFERROR(VLOOKUP(tbl_product_scores[[#This Row],[product_key]],tbl_products[[product_key]:[group_display_key]],2,FALSE),"")</f>
        <v/>
      </c>
    </row>
    <row r="3922" spans="8:8" x14ac:dyDescent="0.2">
      <c r="H3922" s="11" t="str">
        <f>IFERROR(VLOOKUP(tbl_product_scores[[#This Row],[product_key]],tbl_products[[product_key]:[group_display_key]],2,FALSE),"")</f>
        <v/>
      </c>
    </row>
    <row r="3923" spans="8:8" x14ac:dyDescent="0.2">
      <c r="H3923" s="11" t="str">
        <f>IFERROR(VLOOKUP(tbl_product_scores[[#This Row],[product_key]],tbl_products[[product_key]:[group_display_key]],2,FALSE),"")</f>
        <v/>
      </c>
    </row>
    <row r="3924" spans="8:8" x14ac:dyDescent="0.2">
      <c r="H3924" s="11" t="str">
        <f>IFERROR(VLOOKUP(tbl_product_scores[[#This Row],[product_key]],tbl_products[[product_key]:[group_display_key]],2,FALSE),"")</f>
        <v/>
      </c>
    </row>
    <row r="3925" spans="8:8" x14ac:dyDescent="0.2">
      <c r="H3925" s="11" t="str">
        <f>IFERROR(VLOOKUP(tbl_product_scores[[#This Row],[product_key]],tbl_products[[product_key]:[group_display_key]],2,FALSE),"")</f>
        <v/>
      </c>
    </row>
    <row r="3926" spans="8:8" x14ac:dyDescent="0.2">
      <c r="H3926" s="11" t="str">
        <f>IFERROR(VLOOKUP(tbl_product_scores[[#This Row],[product_key]],tbl_products[[product_key]:[group_display_key]],2,FALSE),"")</f>
        <v/>
      </c>
    </row>
    <row r="3927" spans="8:8" x14ac:dyDescent="0.2">
      <c r="H3927" s="11" t="str">
        <f>IFERROR(VLOOKUP(tbl_product_scores[[#This Row],[product_key]],tbl_products[[product_key]:[group_display_key]],2,FALSE),"")</f>
        <v/>
      </c>
    </row>
    <row r="3928" spans="8:8" x14ac:dyDescent="0.2">
      <c r="H3928" s="11" t="str">
        <f>IFERROR(VLOOKUP(tbl_product_scores[[#This Row],[product_key]],tbl_products[[product_key]:[group_display_key]],2,FALSE),"")</f>
        <v/>
      </c>
    </row>
    <row r="3929" spans="8:8" x14ac:dyDescent="0.2">
      <c r="H3929" s="11" t="str">
        <f>IFERROR(VLOOKUP(tbl_product_scores[[#This Row],[product_key]],tbl_products[[product_key]:[group_display_key]],2,FALSE),"")</f>
        <v/>
      </c>
    </row>
    <row r="3930" spans="8:8" x14ac:dyDescent="0.2">
      <c r="H3930" s="11" t="str">
        <f>IFERROR(VLOOKUP(tbl_product_scores[[#This Row],[product_key]],tbl_products[[product_key]:[group_display_key]],2,FALSE),"")</f>
        <v/>
      </c>
    </row>
    <row r="3931" spans="8:8" x14ac:dyDescent="0.2">
      <c r="H3931" s="11" t="str">
        <f>IFERROR(VLOOKUP(tbl_product_scores[[#This Row],[product_key]],tbl_products[[product_key]:[group_display_key]],2,FALSE),"")</f>
        <v/>
      </c>
    </row>
    <row r="3932" spans="8:8" x14ac:dyDescent="0.2">
      <c r="H3932" s="11" t="str">
        <f>IFERROR(VLOOKUP(tbl_product_scores[[#This Row],[product_key]],tbl_products[[product_key]:[group_display_key]],2,FALSE),"")</f>
        <v/>
      </c>
    </row>
    <row r="3933" spans="8:8" x14ac:dyDescent="0.2">
      <c r="H3933" s="11" t="str">
        <f>IFERROR(VLOOKUP(tbl_product_scores[[#This Row],[product_key]],tbl_products[[product_key]:[group_display_key]],2,FALSE),"")</f>
        <v/>
      </c>
    </row>
    <row r="3934" spans="8:8" x14ac:dyDescent="0.2">
      <c r="H3934" s="11" t="str">
        <f>IFERROR(VLOOKUP(tbl_product_scores[[#This Row],[product_key]],tbl_products[[product_key]:[group_display_key]],2,FALSE),"")</f>
        <v/>
      </c>
    </row>
    <row r="3935" spans="8:8" x14ac:dyDescent="0.2">
      <c r="H3935" s="11" t="str">
        <f>IFERROR(VLOOKUP(tbl_product_scores[[#This Row],[product_key]],tbl_products[[product_key]:[group_display_key]],2,FALSE),"")</f>
        <v/>
      </c>
    </row>
    <row r="3936" spans="8:8" x14ac:dyDescent="0.2">
      <c r="H3936" s="11" t="str">
        <f>IFERROR(VLOOKUP(tbl_product_scores[[#This Row],[product_key]],tbl_products[[product_key]:[group_display_key]],2,FALSE),"")</f>
        <v/>
      </c>
    </row>
    <row r="3937" spans="8:8" x14ac:dyDescent="0.2">
      <c r="H3937" s="11" t="str">
        <f>IFERROR(VLOOKUP(tbl_product_scores[[#This Row],[product_key]],tbl_products[[product_key]:[group_display_key]],2,FALSE),"")</f>
        <v/>
      </c>
    </row>
    <row r="3938" spans="8:8" x14ac:dyDescent="0.2">
      <c r="H3938" s="11" t="str">
        <f>IFERROR(VLOOKUP(tbl_product_scores[[#This Row],[product_key]],tbl_products[[product_key]:[group_display_key]],2,FALSE),"")</f>
        <v/>
      </c>
    </row>
    <row r="3939" spans="8:8" x14ac:dyDescent="0.2">
      <c r="H3939" s="11" t="str">
        <f>IFERROR(VLOOKUP(tbl_product_scores[[#This Row],[product_key]],tbl_products[[product_key]:[group_display_key]],2,FALSE),"")</f>
        <v/>
      </c>
    </row>
    <row r="3940" spans="8:8" x14ac:dyDescent="0.2">
      <c r="H3940" s="11" t="str">
        <f>IFERROR(VLOOKUP(tbl_product_scores[[#This Row],[product_key]],tbl_products[[product_key]:[group_display_key]],2,FALSE),"")</f>
        <v/>
      </c>
    </row>
    <row r="3941" spans="8:8" x14ac:dyDescent="0.2">
      <c r="H3941" s="11" t="str">
        <f>IFERROR(VLOOKUP(tbl_product_scores[[#This Row],[product_key]],tbl_products[[product_key]:[group_display_key]],2,FALSE),"")</f>
        <v/>
      </c>
    </row>
    <row r="3942" spans="8:8" x14ac:dyDescent="0.2">
      <c r="H3942" s="11" t="str">
        <f>IFERROR(VLOOKUP(tbl_product_scores[[#This Row],[product_key]],tbl_products[[product_key]:[group_display_key]],2,FALSE),"")</f>
        <v/>
      </c>
    </row>
    <row r="3943" spans="8:8" x14ac:dyDescent="0.2">
      <c r="H3943" s="11" t="str">
        <f>IFERROR(VLOOKUP(tbl_product_scores[[#This Row],[product_key]],tbl_products[[product_key]:[group_display_key]],2,FALSE),"")</f>
        <v/>
      </c>
    </row>
    <row r="3944" spans="8:8" x14ac:dyDescent="0.2">
      <c r="H3944" s="11" t="str">
        <f>IFERROR(VLOOKUP(tbl_product_scores[[#This Row],[product_key]],tbl_products[[product_key]:[group_display_key]],2,FALSE),"")</f>
        <v/>
      </c>
    </row>
    <row r="3945" spans="8:8" x14ac:dyDescent="0.2">
      <c r="H3945" s="11" t="str">
        <f>IFERROR(VLOOKUP(tbl_product_scores[[#This Row],[product_key]],tbl_products[[product_key]:[group_display_key]],2,FALSE),"")</f>
        <v/>
      </c>
    </row>
    <row r="3946" spans="8:8" x14ac:dyDescent="0.2">
      <c r="H3946" s="11" t="str">
        <f>IFERROR(VLOOKUP(tbl_product_scores[[#This Row],[product_key]],tbl_products[[product_key]:[group_display_key]],2,FALSE),"")</f>
        <v/>
      </c>
    </row>
    <row r="3947" spans="8:8" x14ac:dyDescent="0.2">
      <c r="H3947" s="11" t="str">
        <f>IFERROR(VLOOKUP(tbl_product_scores[[#This Row],[product_key]],tbl_products[[product_key]:[group_display_key]],2,FALSE),"")</f>
        <v/>
      </c>
    </row>
    <row r="3948" spans="8:8" x14ac:dyDescent="0.2">
      <c r="H3948" s="11" t="str">
        <f>IFERROR(VLOOKUP(tbl_product_scores[[#This Row],[product_key]],tbl_products[[product_key]:[group_display_key]],2,FALSE),"")</f>
        <v/>
      </c>
    </row>
    <row r="3949" spans="8:8" x14ac:dyDescent="0.2">
      <c r="H3949" s="11" t="str">
        <f>IFERROR(VLOOKUP(tbl_product_scores[[#This Row],[product_key]],tbl_products[[product_key]:[group_display_key]],2,FALSE),"")</f>
        <v/>
      </c>
    </row>
    <row r="3950" spans="8:8" x14ac:dyDescent="0.2">
      <c r="H3950" s="11" t="str">
        <f>IFERROR(VLOOKUP(tbl_product_scores[[#This Row],[product_key]],tbl_products[[product_key]:[group_display_key]],2,FALSE),"")</f>
        <v/>
      </c>
    </row>
    <row r="3951" spans="8:8" x14ac:dyDescent="0.2">
      <c r="H3951" s="11" t="str">
        <f>IFERROR(VLOOKUP(tbl_product_scores[[#This Row],[product_key]],tbl_products[[product_key]:[group_display_key]],2,FALSE),"")</f>
        <v/>
      </c>
    </row>
    <row r="3952" spans="8:8" x14ac:dyDescent="0.2">
      <c r="H3952" s="11" t="str">
        <f>IFERROR(VLOOKUP(tbl_product_scores[[#This Row],[product_key]],tbl_products[[product_key]:[group_display_key]],2,FALSE),"")</f>
        <v/>
      </c>
    </row>
    <row r="3953" spans="8:8" x14ac:dyDescent="0.2">
      <c r="H3953" s="11" t="str">
        <f>IFERROR(VLOOKUP(tbl_product_scores[[#This Row],[product_key]],tbl_products[[product_key]:[group_display_key]],2,FALSE),"")</f>
        <v/>
      </c>
    </row>
    <row r="3954" spans="8:8" x14ac:dyDescent="0.2">
      <c r="H3954" s="11" t="str">
        <f>IFERROR(VLOOKUP(tbl_product_scores[[#This Row],[product_key]],tbl_products[[product_key]:[group_display_key]],2,FALSE),"")</f>
        <v/>
      </c>
    </row>
    <row r="3955" spans="8:8" x14ac:dyDescent="0.2">
      <c r="H3955" s="11" t="str">
        <f>IFERROR(VLOOKUP(tbl_product_scores[[#This Row],[product_key]],tbl_products[[product_key]:[group_display_key]],2,FALSE),"")</f>
        <v/>
      </c>
    </row>
    <row r="3956" spans="8:8" x14ac:dyDescent="0.2">
      <c r="H3956" s="11" t="str">
        <f>IFERROR(VLOOKUP(tbl_product_scores[[#This Row],[product_key]],tbl_products[[product_key]:[group_display_key]],2,FALSE),"")</f>
        <v/>
      </c>
    </row>
    <row r="3957" spans="8:8" x14ac:dyDescent="0.2">
      <c r="H3957" s="11" t="str">
        <f>IFERROR(VLOOKUP(tbl_product_scores[[#This Row],[product_key]],tbl_products[[product_key]:[group_display_key]],2,FALSE),"")</f>
        <v/>
      </c>
    </row>
    <row r="3958" spans="8:8" x14ac:dyDescent="0.2">
      <c r="H3958" s="11" t="str">
        <f>IFERROR(VLOOKUP(tbl_product_scores[[#This Row],[product_key]],tbl_products[[product_key]:[group_display_key]],2,FALSE),"")</f>
        <v/>
      </c>
    </row>
    <row r="3959" spans="8:8" x14ac:dyDescent="0.2">
      <c r="H3959" s="11" t="str">
        <f>IFERROR(VLOOKUP(tbl_product_scores[[#This Row],[product_key]],tbl_products[[product_key]:[group_display_key]],2,FALSE),"")</f>
        <v/>
      </c>
    </row>
    <row r="3960" spans="8:8" x14ac:dyDescent="0.2">
      <c r="H3960" s="11" t="str">
        <f>IFERROR(VLOOKUP(tbl_product_scores[[#This Row],[product_key]],tbl_products[[product_key]:[group_display_key]],2,FALSE),"")</f>
        <v/>
      </c>
    </row>
    <row r="3961" spans="8:8" x14ac:dyDescent="0.2">
      <c r="H3961" s="11" t="str">
        <f>IFERROR(VLOOKUP(tbl_product_scores[[#This Row],[product_key]],tbl_products[[product_key]:[group_display_key]],2,FALSE),"")</f>
        <v/>
      </c>
    </row>
    <row r="3962" spans="8:8" x14ac:dyDescent="0.2">
      <c r="H3962" s="11" t="str">
        <f>IFERROR(VLOOKUP(tbl_product_scores[[#This Row],[product_key]],tbl_products[[product_key]:[group_display_key]],2,FALSE),"")</f>
        <v/>
      </c>
    </row>
    <row r="3963" spans="8:8" x14ac:dyDescent="0.2">
      <c r="H3963" s="11" t="str">
        <f>IFERROR(VLOOKUP(tbl_product_scores[[#This Row],[product_key]],tbl_products[[product_key]:[group_display_key]],2,FALSE),"")</f>
        <v/>
      </c>
    </row>
    <row r="3964" spans="8:8" x14ac:dyDescent="0.2">
      <c r="H3964" s="11" t="str">
        <f>IFERROR(VLOOKUP(tbl_product_scores[[#This Row],[product_key]],tbl_products[[product_key]:[group_display_key]],2,FALSE),"")</f>
        <v/>
      </c>
    </row>
    <row r="3965" spans="8:8" x14ac:dyDescent="0.2">
      <c r="H3965" s="11" t="str">
        <f>IFERROR(VLOOKUP(tbl_product_scores[[#This Row],[product_key]],tbl_products[[product_key]:[group_display_key]],2,FALSE),"")</f>
        <v/>
      </c>
    </row>
    <row r="3966" spans="8:8" x14ac:dyDescent="0.2">
      <c r="H3966" s="11" t="str">
        <f>IFERROR(VLOOKUP(tbl_product_scores[[#This Row],[product_key]],tbl_products[[product_key]:[group_display_key]],2,FALSE),"")</f>
        <v/>
      </c>
    </row>
    <row r="3967" spans="8:8" x14ac:dyDescent="0.2">
      <c r="H3967" s="11" t="str">
        <f>IFERROR(VLOOKUP(tbl_product_scores[[#This Row],[product_key]],tbl_products[[product_key]:[group_display_key]],2,FALSE),"")</f>
        <v/>
      </c>
    </row>
    <row r="3968" spans="8:8" x14ac:dyDescent="0.2">
      <c r="H3968" s="11" t="str">
        <f>IFERROR(VLOOKUP(tbl_product_scores[[#This Row],[product_key]],tbl_products[[product_key]:[group_display_key]],2,FALSE),"")</f>
        <v/>
      </c>
    </row>
    <row r="3969" spans="8:8" x14ac:dyDescent="0.2">
      <c r="H3969" s="11" t="str">
        <f>IFERROR(VLOOKUP(tbl_product_scores[[#This Row],[product_key]],tbl_products[[product_key]:[group_display_key]],2,FALSE),"")</f>
        <v/>
      </c>
    </row>
    <row r="3970" spans="8:8" x14ac:dyDescent="0.2">
      <c r="H3970" s="11" t="str">
        <f>IFERROR(VLOOKUP(tbl_product_scores[[#This Row],[product_key]],tbl_products[[product_key]:[group_display_key]],2,FALSE),"")</f>
        <v/>
      </c>
    </row>
    <row r="3971" spans="8:8" x14ac:dyDescent="0.2">
      <c r="H3971" s="11" t="str">
        <f>IFERROR(VLOOKUP(tbl_product_scores[[#This Row],[product_key]],tbl_products[[product_key]:[group_display_key]],2,FALSE),"")</f>
        <v/>
      </c>
    </row>
    <row r="3972" spans="8:8" x14ac:dyDescent="0.2">
      <c r="H3972" s="11" t="str">
        <f>IFERROR(VLOOKUP(tbl_product_scores[[#This Row],[product_key]],tbl_products[[product_key]:[group_display_key]],2,FALSE),"")</f>
        <v/>
      </c>
    </row>
    <row r="3973" spans="8:8" x14ac:dyDescent="0.2">
      <c r="H3973" s="11" t="str">
        <f>IFERROR(VLOOKUP(tbl_product_scores[[#This Row],[product_key]],tbl_products[[product_key]:[group_display_key]],2,FALSE),"")</f>
        <v/>
      </c>
    </row>
    <row r="3974" spans="8:8" x14ac:dyDescent="0.2">
      <c r="H3974" s="11" t="str">
        <f>IFERROR(VLOOKUP(tbl_product_scores[[#This Row],[product_key]],tbl_products[[product_key]:[group_display_key]],2,FALSE),"")</f>
        <v/>
      </c>
    </row>
    <row r="3975" spans="8:8" x14ac:dyDescent="0.2">
      <c r="H3975" s="11" t="str">
        <f>IFERROR(VLOOKUP(tbl_product_scores[[#This Row],[product_key]],tbl_products[[product_key]:[group_display_key]],2,FALSE),"")</f>
        <v/>
      </c>
    </row>
    <row r="3976" spans="8:8" x14ac:dyDescent="0.2">
      <c r="H3976" s="11" t="str">
        <f>IFERROR(VLOOKUP(tbl_product_scores[[#This Row],[product_key]],tbl_products[[product_key]:[group_display_key]],2,FALSE),"")</f>
        <v/>
      </c>
    </row>
    <row r="3977" spans="8:8" x14ac:dyDescent="0.2">
      <c r="H3977" s="11" t="str">
        <f>IFERROR(VLOOKUP(tbl_product_scores[[#This Row],[product_key]],tbl_products[[product_key]:[group_display_key]],2,FALSE),"")</f>
        <v/>
      </c>
    </row>
    <row r="3978" spans="8:8" x14ac:dyDescent="0.2">
      <c r="H3978" s="11" t="str">
        <f>IFERROR(VLOOKUP(tbl_product_scores[[#This Row],[product_key]],tbl_products[[product_key]:[group_display_key]],2,FALSE),"")</f>
        <v/>
      </c>
    </row>
    <row r="3979" spans="8:8" x14ac:dyDescent="0.2">
      <c r="H3979" s="11" t="str">
        <f>IFERROR(VLOOKUP(tbl_product_scores[[#This Row],[product_key]],tbl_products[[product_key]:[group_display_key]],2,FALSE),"")</f>
        <v/>
      </c>
    </row>
    <row r="3980" spans="8:8" x14ac:dyDescent="0.2">
      <c r="H3980" s="11" t="str">
        <f>IFERROR(VLOOKUP(tbl_product_scores[[#This Row],[product_key]],tbl_products[[product_key]:[group_display_key]],2,FALSE),"")</f>
        <v/>
      </c>
    </row>
    <row r="3981" spans="8:8" x14ac:dyDescent="0.2">
      <c r="H3981" s="11" t="str">
        <f>IFERROR(VLOOKUP(tbl_product_scores[[#This Row],[product_key]],tbl_products[[product_key]:[group_display_key]],2,FALSE),"")</f>
        <v/>
      </c>
    </row>
    <row r="3982" spans="8:8" x14ac:dyDescent="0.2">
      <c r="H3982" s="11" t="str">
        <f>IFERROR(VLOOKUP(tbl_product_scores[[#This Row],[product_key]],tbl_products[[product_key]:[group_display_key]],2,FALSE),"")</f>
        <v/>
      </c>
    </row>
    <row r="3983" spans="8:8" x14ac:dyDescent="0.2">
      <c r="H3983" s="11" t="str">
        <f>IFERROR(VLOOKUP(tbl_product_scores[[#This Row],[product_key]],tbl_products[[product_key]:[group_display_key]],2,FALSE),"")</f>
        <v/>
      </c>
    </row>
    <row r="3984" spans="8:8" x14ac:dyDescent="0.2">
      <c r="H3984" s="11" t="str">
        <f>IFERROR(VLOOKUP(tbl_product_scores[[#This Row],[product_key]],tbl_products[[product_key]:[group_display_key]],2,FALSE),"")</f>
        <v/>
      </c>
    </row>
    <row r="3985" spans="8:8" x14ac:dyDescent="0.2">
      <c r="H3985" s="11" t="str">
        <f>IFERROR(VLOOKUP(tbl_product_scores[[#This Row],[product_key]],tbl_products[[product_key]:[group_display_key]],2,FALSE),"")</f>
        <v/>
      </c>
    </row>
    <row r="3986" spans="8:8" x14ac:dyDescent="0.2">
      <c r="H3986" s="11" t="str">
        <f>IFERROR(VLOOKUP(tbl_product_scores[[#This Row],[product_key]],tbl_products[[product_key]:[group_display_key]],2,FALSE),"")</f>
        <v/>
      </c>
    </row>
    <row r="3987" spans="8:8" x14ac:dyDescent="0.2">
      <c r="H3987" s="11" t="str">
        <f>IFERROR(VLOOKUP(tbl_product_scores[[#This Row],[product_key]],tbl_products[[product_key]:[group_display_key]],2,FALSE),"")</f>
        <v/>
      </c>
    </row>
    <row r="3988" spans="8:8" x14ac:dyDescent="0.2">
      <c r="H3988" s="11" t="str">
        <f>IFERROR(VLOOKUP(tbl_product_scores[[#This Row],[product_key]],tbl_products[[product_key]:[group_display_key]],2,FALSE),"")</f>
        <v/>
      </c>
    </row>
    <row r="3989" spans="8:8" x14ac:dyDescent="0.2">
      <c r="H3989" s="11" t="str">
        <f>IFERROR(VLOOKUP(tbl_product_scores[[#This Row],[product_key]],tbl_products[[product_key]:[group_display_key]],2,FALSE),"")</f>
        <v/>
      </c>
    </row>
    <row r="3990" spans="8:8" x14ac:dyDescent="0.2">
      <c r="H3990" s="11" t="str">
        <f>IFERROR(VLOOKUP(tbl_product_scores[[#This Row],[product_key]],tbl_products[[product_key]:[group_display_key]],2,FALSE),"")</f>
        <v/>
      </c>
    </row>
    <row r="3991" spans="8:8" x14ac:dyDescent="0.2">
      <c r="H3991" s="11" t="str">
        <f>IFERROR(VLOOKUP(tbl_product_scores[[#This Row],[product_key]],tbl_products[[product_key]:[group_display_key]],2,FALSE),"")</f>
        <v/>
      </c>
    </row>
    <row r="3992" spans="8:8" x14ac:dyDescent="0.2">
      <c r="H3992" s="11" t="str">
        <f>IFERROR(VLOOKUP(tbl_product_scores[[#This Row],[product_key]],tbl_products[[product_key]:[group_display_key]],2,FALSE),"")</f>
        <v/>
      </c>
    </row>
    <row r="3993" spans="8:8" x14ac:dyDescent="0.2">
      <c r="H3993" s="11" t="str">
        <f>IFERROR(VLOOKUP(tbl_product_scores[[#This Row],[product_key]],tbl_products[[product_key]:[group_display_key]],2,FALSE),"")</f>
        <v/>
      </c>
    </row>
    <row r="3994" spans="8:8" x14ac:dyDescent="0.2">
      <c r="H3994" s="11" t="str">
        <f>IFERROR(VLOOKUP(tbl_product_scores[[#This Row],[product_key]],tbl_products[[product_key]:[group_display_key]],2,FALSE),"")</f>
        <v/>
      </c>
    </row>
    <row r="3995" spans="8:8" x14ac:dyDescent="0.2">
      <c r="H3995" s="11" t="str">
        <f>IFERROR(VLOOKUP(tbl_product_scores[[#This Row],[product_key]],tbl_products[[product_key]:[group_display_key]],2,FALSE),"")</f>
        <v/>
      </c>
    </row>
    <row r="3996" spans="8:8" x14ac:dyDescent="0.2">
      <c r="H3996" s="11" t="str">
        <f>IFERROR(VLOOKUP(tbl_product_scores[[#This Row],[product_key]],tbl_products[[product_key]:[group_display_key]],2,FALSE),"")</f>
        <v/>
      </c>
    </row>
    <row r="3997" spans="8:8" x14ac:dyDescent="0.2">
      <c r="H3997" s="11" t="str">
        <f>IFERROR(VLOOKUP(tbl_product_scores[[#This Row],[product_key]],tbl_products[[product_key]:[group_display_key]],2,FALSE),"")</f>
        <v/>
      </c>
    </row>
    <row r="3998" spans="8:8" x14ac:dyDescent="0.2">
      <c r="H3998" s="11" t="str">
        <f>IFERROR(VLOOKUP(tbl_product_scores[[#This Row],[product_key]],tbl_products[[product_key]:[group_display_key]],2,FALSE),"")</f>
        <v/>
      </c>
    </row>
    <row r="3999" spans="8:8" x14ac:dyDescent="0.2">
      <c r="H3999" s="11" t="str">
        <f>IFERROR(VLOOKUP(tbl_product_scores[[#This Row],[product_key]],tbl_products[[product_key]:[group_display_key]],2,FALSE),"")</f>
        <v/>
      </c>
    </row>
    <row r="4000" spans="8:8" x14ac:dyDescent="0.2">
      <c r="H4000" s="11" t="str">
        <f>IFERROR(VLOOKUP(tbl_product_scores[[#This Row],[product_key]],tbl_products[[product_key]:[group_display_key]],2,FALSE),"")</f>
        <v/>
      </c>
    </row>
    <row r="4001" spans="8:8" x14ac:dyDescent="0.2">
      <c r="H4001" s="11" t="str">
        <f>IFERROR(VLOOKUP(tbl_product_scores[[#This Row],[product_key]],tbl_products[[product_key]:[group_display_key]],2,FALSE),"")</f>
        <v/>
      </c>
    </row>
    <row r="4002" spans="8:8" x14ac:dyDescent="0.2">
      <c r="H4002" s="11" t="str">
        <f>IFERROR(VLOOKUP(tbl_product_scores[[#This Row],[product_key]],tbl_products[[product_key]:[group_display_key]],2,FALSE),"")</f>
        <v/>
      </c>
    </row>
    <row r="4003" spans="8:8" x14ac:dyDescent="0.2">
      <c r="H4003" s="11" t="str">
        <f>IFERROR(VLOOKUP(tbl_product_scores[[#This Row],[product_key]],tbl_products[[product_key]:[group_display_key]],2,FALSE),"")</f>
        <v/>
      </c>
    </row>
    <row r="4004" spans="8:8" x14ac:dyDescent="0.2">
      <c r="H4004" s="11" t="str">
        <f>IFERROR(VLOOKUP(tbl_product_scores[[#This Row],[product_key]],tbl_products[[product_key]:[group_display_key]],2,FALSE),"")</f>
        <v/>
      </c>
    </row>
    <row r="4005" spans="8:8" x14ac:dyDescent="0.2">
      <c r="H4005" s="11" t="str">
        <f>IFERROR(VLOOKUP(tbl_product_scores[[#This Row],[product_key]],tbl_products[[product_key]:[group_display_key]],2,FALSE),"")</f>
        <v/>
      </c>
    </row>
    <row r="4006" spans="8:8" x14ac:dyDescent="0.2">
      <c r="H4006" s="11" t="str">
        <f>IFERROR(VLOOKUP(tbl_product_scores[[#This Row],[product_key]],tbl_products[[product_key]:[group_display_key]],2,FALSE),"")</f>
        <v/>
      </c>
    </row>
    <row r="4007" spans="8:8" x14ac:dyDescent="0.2">
      <c r="H4007" s="11" t="str">
        <f>IFERROR(VLOOKUP(tbl_product_scores[[#This Row],[product_key]],tbl_products[[product_key]:[group_display_key]],2,FALSE),"")</f>
        <v/>
      </c>
    </row>
    <row r="4008" spans="8:8" x14ac:dyDescent="0.2">
      <c r="H4008" s="11" t="str">
        <f>IFERROR(VLOOKUP(tbl_product_scores[[#This Row],[product_key]],tbl_products[[product_key]:[group_display_key]],2,FALSE),"")</f>
        <v/>
      </c>
    </row>
    <row r="4009" spans="8:8" x14ac:dyDescent="0.2">
      <c r="H4009" s="11" t="str">
        <f>IFERROR(VLOOKUP(tbl_product_scores[[#This Row],[product_key]],tbl_products[[product_key]:[group_display_key]],2,FALSE),"")</f>
        <v/>
      </c>
    </row>
    <row r="4010" spans="8:8" x14ac:dyDescent="0.2">
      <c r="H4010" s="11" t="str">
        <f>IFERROR(VLOOKUP(tbl_product_scores[[#This Row],[product_key]],tbl_products[[product_key]:[group_display_key]],2,FALSE),"")</f>
        <v/>
      </c>
    </row>
    <row r="4011" spans="8:8" x14ac:dyDescent="0.2">
      <c r="H4011" s="11" t="str">
        <f>IFERROR(VLOOKUP(tbl_product_scores[[#This Row],[product_key]],tbl_products[[product_key]:[group_display_key]],2,FALSE),"")</f>
        <v/>
      </c>
    </row>
    <row r="4012" spans="8:8" x14ac:dyDescent="0.2">
      <c r="H4012" s="11" t="str">
        <f>IFERROR(VLOOKUP(tbl_product_scores[[#This Row],[product_key]],tbl_products[[product_key]:[group_display_key]],2,FALSE),"")</f>
        <v/>
      </c>
    </row>
    <row r="4013" spans="8:8" x14ac:dyDescent="0.2">
      <c r="H4013" s="11" t="str">
        <f>IFERROR(VLOOKUP(tbl_product_scores[[#This Row],[product_key]],tbl_products[[product_key]:[group_display_key]],2,FALSE),"")</f>
        <v/>
      </c>
    </row>
    <row r="4014" spans="8:8" x14ac:dyDescent="0.2">
      <c r="H4014" s="11" t="str">
        <f>IFERROR(VLOOKUP(tbl_product_scores[[#This Row],[product_key]],tbl_products[[product_key]:[group_display_key]],2,FALSE),"")</f>
        <v/>
      </c>
    </row>
    <row r="4015" spans="8:8" x14ac:dyDescent="0.2">
      <c r="H4015" s="11" t="str">
        <f>IFERROR(VLOOKUP(tbl_product_scores[[#This Row],[product_key]],tbl_products[[product_key]:[group_display_key]],2,FALSE),"")</f>
        <v/>
      </c>
    </row>
    <row r="4016" spans="8:8" x14ac:dyDescent="0.2">
      <c r="H4016" s="11" t="str">
        <f>IFERROR(VLOOKUP(tbl_product_scores[[#This Row],[product_key]],tbl_products[[product_key]:[group_display_key]],2,FALSE),"")</f>
        <v/>
      </c>
    </row>
    <row r="4017" spans="8:8" x14ac:dyDescent="0.2">
      <c r="H4017" s="11" t="str">
        <f>IFERROR(VLOOKUP(tbl_product_scores[[#This Row],[product_key]],tbl_products[[product_key]:[group_display_key]],2,FALSE),"")</f>
        <v/>
      </c>
    </row>
    <row r="4018" spans="8:8" x14ac:dyDescent="0.2">
      <c r="H4018" s="11" t="str">
        <f>IFERROR(VLOOKUP(tbl_product_scores[[#This Row],[product_key]],tbl_products[[product_key]:[group_display_key]],2,FALSE),"")</f>
        <v/>
      </c>
    </row>
    <row r="4019" spans="8:8" x14ac:dyDescent="0.2">
      <c r="H4019" s="11" t="str">
        <f>IFERROR(VLOOKUP(tbl_product_scores[[#This Row],[product_key]],tbl_products[[product_key]:[group_display_key]],2,FALSE),"")</f>
        <v/>
      </c>
    </row>
    <row r="4020" spans="8:8" x14ac:dyDescent="0.2">
      <c r="H4020" s="11" t="str">
        <f>IFERROR(VLOOKUP(tbl_product_scores[[#This Row],[product_key]],tbl_products[[product_key]:[group_display_key]],2,FALSE),"")</f>
        <v/>
      </c>
    </row>
    <row r="4021" spans="8:8" x14ac:dyDescent="0.2">
      <c r="H4021" s="11" t="str">
        <f>IFERROR(VLOOKUP(tbl_product_scores[[#This Row],[product_key]],tbl_products[[product_key]:[group_display_key]],2,FALSE),"")</f>
        <v/>
      </c>
    </row>
    <row r="4022" spans="8:8" x14ac:dyDescent="0.2">
      <c r="H4022" s="11" t="str">
        <f>IFERROR(VLOOKUP(tbl_product_scores[[#This Row],[product_key]],tbl_products[[product_key]:[group_display_key]],2,FALSE),"")</f>
        <v/>
      </c>
    </row>
    <row r="4023" spans="8:8" x14ac:dyDescent="0.2">
      <c r="H4023" s="11" t="str">
        <f>IFERROR(VLOOKUP(tbl_product_scores[[#This Row],[product_key]],tbl_products[[product_key]:[group_display_key]],2,FALSE),"")</f>
        <v/>
      </c>
    </row>
    <row r="4024" spans="8:8" x14ac:dyDescent="0.2">
      <c r="H4024" s="11" t="str">
        <f>IFERROR(VLOOKUP(tbl_product_scores[[#This Row],[product_key]],tbl_products[[product_key]:[group_display_key]],2,FALSE),"")</f>
        <v/>
      </c>
    </row>
    <row r="4025" spans="8:8" x14ac:dyDescent="0.2">
      <c r="H4025" s="11" t="str">
        <f>IFERROR(VLOOKUP(tbl_product_scores[[#This Row],[product_key]],tbl_products[[product_key]:[group_display_key]],2,FALSE),"")</f>
        <v/>
      </c>
    </row>
    <row r="4026" spans="8:8" x14ac:dyDescent="0.2">
      <c r="H4026" s="11" t="str">
        <f>IFERROR(VLOOKUP(tbl_product_scores[[#This Row],[product_key]],tbl_products[[product_key]:[group_display_key]],2,FALSE),"")</f>
        <v/>
      </c>
    </row>
    <row r="4027" spans="8:8" x14ac:dyDescent="0.2">
      <c r="H4027" s="11" t="str">
        <f>IFERROR(VLOOKUP(tbl_product_scores[[#This Row],[product_key]],tbl_products[[product_key]:[group_display_key]],2,FALSE),"")</f>
        <v/>
      </c>
    </row>
    <row r="4028" spans="8:8" x14ac:dyDescent="0.2">
      <c r="H4028" s="11" t="str">
        <f>IFERROR(VLOOKUP(tbl_product_scores[[#This Row],[product_key]],tbl_products[[product_key]:[group_display_key]],2,FALSE),"")</f>
        <v/>
      </c>
    </row>
    <row r="4029" spans="8:8" x14ac:dyDescent="0.2">
      <c r="H4029" s="11" t="str">
        <f>IFERROR(VLOOKUP(tbl_product_scores[[#This Row],[product_key]],tbl_products[[product_key]:[group_display_key]],2,FALSE),"")</f>
        <v/>
      </c>
    </row>
    <row r="4030" spans="8:8" x14ac:dyDescent="0.2">
      <c r="H4030" s="11" t="str">
        <f>IFERROR(VLOOKUP(tbl_product_scores[[#This Row],[product_key]],tbl_products[[product_key]:[group_display_key]],2,FALSE),"")</f>
        <v/>
      </c>
    </row>
    <row r="4031" spans="8:8" x14ac:dyDescent="0.2">
      <c r="H4031" s="11" t="str">
        <f>IFERROR(VLOOKUP(tbl_product_scores[[#This Row],[product_key]],tbl_products[[product_key]:[group_display_key]],2,FALSE),"")</f>
        <v/>
      </c>
    </row>
    <row r="4032" spans="8:8" x14ac:dyDescent="0.2">
      <c r="H4032" s="11" t="str">
        <f>IFERROR(VLOOKUP(tbl_product_scores[[#This Row],[product_key]],tbl_products[[product_key]:[group_display_key]],2,FALSE),"")</f>
        <v/>
      </c>
    </row>
    <row r="4033" spans="8:8" x14ac:dyDescent="0.2">
      <c r="H4033" s="11" t="str">
        <f>IFERROR(VLOOKUP(tbl_product_scores[[#This Row],[product_key]],tbl_products[[product_key]:[group_display_key]],2,FALSE),"")</f>
        <v/>
      </c>
    </row>
    <row r="4034" spans="8:8" x14ac:dyDescent="0.2">
      <c r="H4034" s="11" t="str">
        <f>IFERROR(VLOOKUP(tbl_product_scores[[#This Row],[product_key]],tbl_products[[product_key]:[group_display_key]],2,FALSE),"")</f>
        <v/>
      </c>
    </row>
    <row r="4035" spans="8:8" x14ac:dyDescent="0.2">
      <c r="H4035" s="11" t="str">
        <f>IFERROR(VLOOKUP(tbl_product_scores[[#This Row],[product_key]],tbl_products[[product_key]:[group_display_key]],2,FALSE),"")</f>
        <v/>
      </c>
    </row>
    <row r="4036" spans="8:8" x14ac:dyDescent="0.2">
      <c r="H4036" s="11" t="str">
        <f>IFERROR(VLOOKUP(tbl_product_scores[[#This Row],[product_key]],tbl_products[[product_key]:[group_display_key]],2,FALSE),"")</f>
        <v/>
      </c>
    </row>
    <row r="4037" spans="8:8" x14ac:dyDescent="0.2">
      <c r="H4037" s="11" t="str">
        <f>IFERROR(VLOOKUP(tbl_product_scores[[#This Row],[product_key]],tbl_products[[product_key]:[group_display_key]],2,FALSE),"")</f>
        <v/>
      </c>
    </row>
    <row r="4038" spans="8:8" x14ac:dyDescent="0.2">
      <c r="H4038" s="11" t="str">
        <f>IFERROR(VLOOKUP(tbl_product_scores[[#This Row],[product_key]],tbl_products[[product_key]:[group_display_key]],2,FALSE),"")</f>
        <v/>
      </c>
    </row>
    <row r="4039" spans="8:8" x14ac:dyDescent="0.2">
      <c r="H4039" s="11" t="str">
        <f>IFERROR(VLOOKUP(tbl_product_scores[[#This Row],[product_key]],tbl_products[[product_key]:[group_display_key]],2,FALSE),"")</f>
        <v/>
      </c>
    </row>
    <row r="4040" spans="8:8" x14ac:dyDescent="0.2">
      <c r="H4040" s="11" t="str">
        <f>IFERROR(VLOOKUP(tbl_product_scores[[#This Row],[product_key]],tbl_products[[product_key]:[group_display_key]],2,FALSE),"")</f>
        <v/>
      </c>
    </row>
    <row r="4041" spans="8:8" x14ac:dyDescent="0.2">
      <c r="H4041" s="11" t="str">
        <f>IFERROR(VLOOKUP(tbl_product_scores[[#This Row],[product_key]],tbl_products[[product_key]:[group_display_key]],2,FALSE),"")</f>
        <v/>
      </c>
    </row>
    <row r="4042" spans="8:8" x14ac:dyDescent="0.2">
      <c r="H4042" s="11" t="str">
        <f>IFERROR(VLOOKUP(tbl_product_scores[[#This Row],[product_key]],tbl_products[[product_key]:[group_display_key]],2,FALSE),"")</f>
        <v/>
      </c>
    </row>
    <row r="4043" spans="8:8" x14ac:dyDescent="0.2">
      <c r="H4043" s="11" t="str">
        <f>IFERROR(VLOOKUP(tbl_product_scores[[#This Row],[product_key]],tbl_products[[product_key]:[group_display_key]],2,FALSE),"")</f>
        <v/>
      </c>
    </row>
    <row r="4044" spans="8:8" x14ac:dyDescent="0.2">
      <c r="H4044" s="11" t="str">
        <f>IFERROR(VLOOKUP(tbl_product_scores[[#This Row],[product_key]],tbl_products[[product_key]:[group_display_key]],2,FALSE),"")</f>
        <v/>
      </c>
    </row>
    <row r="4045" spans="8:8" x14ac:dyDescent="0.2">
      <c r="H4045" s="11" t="str">
        <f>IFERROR(VLOOKUP(tbl_product_scores[[#This Row],[product_key]],tbl_products[[product_key]:[group_display_key]],2,FALSE),"")</f>
        <v/>
      </c>
    </row>
    <row r="4046" spans="8:8" x14ac:dyDescent="0.2">
      <c r="H4046" s="11" t="str">
        <f>IFERROR(VLOOKUP(tbl_product_scores[[#This Row],[product_key]],tbl_products[[product_key]:[group_display_key]],2,FALSE),"")</f>
        <v/>
      </c>
    </row>
    <row r="4047" spans="8:8" x14ac:dyDescent="0.2">
      <c r="H4047" s="11" t="str">
        <f>IFERROR(VLOOKUP(tbl_product_scores[[#This Row],[product_key]],tbl_products[[product_key]:[group_display_key]],2,FALSE),"")</f>
        <v/>
      </c>
    </row>
    <row r="4048" spans="8:8" x14ac:dyDescent="0.2">
      <c r="H4048" s="11" t="str">
        <f>IFERROR(VLOOKUP(tbl_product_scores[[#This Row],[product_key]],tbl_products[[product_key]:[group_display_key]],2,FALSE),"")</f>
        <v/>
      </c>
    </row>
    <row r="4049" spans="8:8" x14ac:dyDescent="0.2">
      <c r="H4049" s="11" t="str">
        <f>IFERROR(VLOOKUP(tbl_product_scores[[#This Row],[product_key]],tbl_products[[product_key]:[group_display_key]],2,FALSE),"")</f>
        <v/>
      </c>
    </row>
    <row r="4050" spans="8:8" x14ac:dyDescent="0.2">
      <c r="H4050" s="11" t="str">
        <f>IFERROR(VLOOKUP(tbl_product_scores[[#This Row],[product_key]],tbl_products[[product_key]:[group_display_key]],2,FALSE),"")</f>
        <v/>
      </c>
    </row>
    <row r="4051" spans="8:8" x14ac:dyDescent="0.2">
      <c r="H4051" s="11" t="str">
        <f>IFERROR(VLOOKUP(tbl_product_scores[[#This Row],[product_key]],tbl_products[[product_key]:[group_display_key]],2,FALSE),"")</f>
        <v/>
      </c>
    </row>
    <row r="4052" spans="8:8" x14ac:dyDescent="0.2">
      <c r="H4052" s="11" t="str">
        <f>IFERROR(VLOOKUP(tbl_product_scores[[#This Row],[product_key]],tbl_products[[product_key]:[group_display_key]],2,FALSE),"")</f>
        <v/>
      </c>
    </row>
    <row r="4053" spans="8:8" x14ac:dyDescent="0.2">
      <c r="H4053" s="11" t="str">
        <f>IFERROR(VLOOKUP(tbl_product_scores[[#This Row],[product_key]],tbl_products[[product_key]:[group_display_key]],2,FALSE),"")</f>
        <v/>
      </c>
    </row>
    <row r="4054" spans="8:8" x14ac:dyDescent="0.2">
      <c r="H4054" s="11" t="str">
        <f>IFERROR(VLOOKUP(tbl_product_scores[[#This Row],[product_key]],tbl_products[[product_key]:[group_display_key]],2,FALSE),"")</f>
        <v/>
      </c>
    </row>
    <row r="4055" spans="8:8" x14ac:dyDescent="0.2">
      <c r="H4055" s="11" t="str">
        <f>IFERROR(VLOOKUP(tbl_product_scores[[#This Row],[product_key]],tbl_products[[product_key]:[group_display_key]],2,FALSE),"")</f>
        <v/>
      </c>
    </row>
    <row r="4056" spans="8:8" x14ac:dyDescent="0.2">
      <c r="H4056" s="11" t="str">
        <f>IFERROR(VLOOKUP(tbl_product_scores[[#This Row],[product_key]],tbl_products[[product_key]:[group_display_key]],2,FALSE),"")</f>
        <v/>
      </c>
    </row>
    <row r="4057" spans="8:8" x14ac:dyDescent="0.2">
      <c r="H4057" s="11" t="str">
        <f>IFERROR(VLOOKUP(tbl_product_scores[[#This Row],[product_key]],tbl_products[[product_key]:[group_display_key]],2,FALSE),"")</f>
        <v/>
      </c>
    </row>
    <row r="4058" spans="8:8" x14ac:dyDescent="0.2">
      <c r="H4058" s="11" t="str">
        <f>IFERROR(VLOOKUP(tbl_product_scores[[#This Row],[product_key]],tbl_products[[product_key]:[group_display_key]],2,FALSE),"")</f>
        <v/>
      </c>
    </row>
    <row r="4059" spans="8:8" x14ac:dyDescent="0.2">
      <c r="H4059" s="11" t="str">
        <f>IFERROR(VLOOKUP(tbl_product_scores[[#This Row],[product_key]],tbl_products[[product_key]:[group_display_key]],2,FALSE),"")</f>
        <v/>
      </c>
    </row>
    <row r="4060" spans="8:8" x14ac:dyDescent="0.2">
      <c r="H4060" s="11" t="str">
        <f>IFERROR(VLOOKUP(tbl_product_scores[[#This Row],[product_key]],tbl_products[[product_key]:[group_display_key]],2,FALSE),"")</f>
        <v/>
      </c>
    </row>
    <row r="4061" spans="8:8" x14ac:dyDescent="0.2">
      <c r="H4061" s="11" t="str">
        <f>IFERROR(VLOOKUP(tbl_product_scores[[#This Row],[product_key]],tbl_products[[product_key]:[group_display_key]],2,FALSE),"")</f>
        <v/>
      </c>
    </row>
    <row r="4062" spans="8:8" x14ac:dyDescent="0.2">
      <c r="H4062" s="11" t="str">
        <f>IFERROR(VLOOKUP(tbl_product_scores[[#This Row],[product_key]],tbl_products[[product_key]:[group_display_key]],2,FALSE),"")</f>
        <v/>
      </c>
    </row>
    <row r="4063" spans="8:8" x14ac:dyDescent="0.2">
      <c r="H4063" s="11" t="str">
        <f>IFERROR(VLOOKUP(tbl_product_scores[[#This Row],[product_key]],tbl_products[[product_key]:[group_display_key]],2,FALSE),"")</f>
        <v/>
      </c>
    </row>
    <row r="4064" spans="8:8" x14ac:dyDescent="0.2">
      <c r="H4064" s="11" t="str">
        <f>IFERROR(VLOOKUP(tbl_product_scores[[#This Row],[product_key]],tbl_products[[product_key]:[group_display_key]],2,FALSE),"")</f>
        <v/>
      </c>
    </row>
    <row r="4065" spans="8:8" x14ac:dyDescent="0.2">
      <c r="H4065" s="11" t="str">
        <f>IFERROR(VLOOKUP(tbl_product_scores[[#This Row],[product_key]],tbl_products[[product_key]:[group_display_key]],2,FALSE),"")</f>
        <v/>
      </c>
    </row>
    <row r="4066" spans="8:8" x14ac:dyDescent="0.2">
      <c r="H4066" s="11" t="str">
        <f>IFERROR(VLOOKUP(tbl_product_scores[[#This Row],[product_key]],tbl_products[[product_key]:[group_display_key]],2,FALSE),"")</f>
        <v/>
      </c>
    </row>
    <row r="4067" spans="8:8" x14ac:dyDescent="0.2">
      <c r="H4067" s="11" t="str">
        <f>IFERROR(VLOOKUP(tbl_product_scores[[#This Row],[product_key]],tbl_products[[product_key]:[group_display_key]],2,FALSE),"")</f>
        <v/>
      </c>
    </row>
    <row r="4068" spans="8:8" x14ac:dyDescent="0.2">
      <c r="H4068" s="11" t="str">
        <f>IFERROR(VLOOKUP(tbl_product_scores[[#This Row],[product_key]],tbl_products[[product_key]:[group_display_key]],2,FALSE),"")</f>
        <v/>
      </c>
    </row>
    <row r="4069" spans="8:8" x14ac:dyDescent="0.2">
      <c r="H4069" s="11" t="str">
        <f>IFERROR(VLOOKUP(tbl_product_scores[[#This Row],[product_key]],tbl_products[[product_key]:[group_display_key]],2,FALSE),"")</f>
        <v/>
      </c>
    </row>
    <row r="4070" spans="8:8" x14ac:dyDescent="0.2">
      <c r="H4070" s="11" t="str">
        <f>IFERROR(VLOOKUP(tbl_product_scores[[#This Row],[product_key]],tbl_products[[product_key]:[group_display_key]],2,FALSE),"")</f>
        <v/>
      </c>
    </row>
    <row r="4071" spans="8:8" x14ac:dyDescent="0.2">
      <c r="H4071" s="11" t="str">
        <f>IFERROR(VLOOKUP(tbl_product_scores[[#This Row],[product_key]],tbl_products[[product_key]:[group_display_key]],2,FALSE),"")</f>
        <v/>
      </c>
    </row>
    <row r="4072" spans="8:8" x14ac:dyDescent="0.2">
      <c r="H4072" s="11" t="str">
        <f>IFERROR(VLOOKUP(tbl_product_scores[[#This Row],[product_key]],tbl_products[[product_key]:[group_display_key]],2,FALSE),"")</f>
        <v/>
      </c>
    </row>
    <row r="4073" spans="8:8" x14ac:dyDescent="0.2">
      <c r="H4073" s="11" t="str">
        <f>IFERROR(VLOOKUP(tbl_product_scores[[#This Row],[product_key]],tbl_products[[product_key]:[group_display_key]],2,FALSE),"")</f>
        <v/>
      </c>
    </row>
    <row r="4074" spans="8:8" x14ac:dyDescent="0.2">
      <c r="H4074" s="11" t="str">
        <f>IFERROR(VLOOKUP(tbl_product_scores[[#This Row],[product_key]],tbl_products[[product_key]:[group_display_key]],2,FALSE),"")</f>
        <v/>
      </c>
    </row>
    <row r="4075" spans="8:8" x14ac:dyDescent="0.2">
      <c r="H4075" s="11" t="str">
        <f>IFERROR(VLOOKUP(tbl_product_scores[[#This Row],[product_key]],tbl_products[[product_key]:[group_display_key]],2,FALSE),"")</f>
        <v/>
      </c>
    </row>
    <row r="4076" spans="8:8" x14ac:dyDescent="0.2">
      <c r="H4076" s="11" t="str">
        <f>IFERROR(VLOOKUP(tbl_product_scores[[#This Row],[product_key]],tbl_products[[product_key]:[group_display_key]],2,FALSE),"")</f>
        <v/>
      </c>
    </row>
    <row r="4077" spans="8:8" x14ac:dyDescent="0.2">
      <c r="H4077" s="11" t="str">
        <f>IFERROR(VLOOKUP(tbl_product_scores[[#This Row],[product_key]],tbl_products[[product_key]:[group_display_key]],2,FALSE),"")</f>
        <v/>
      </c>
    </row>
    <row r="4078" spans="8:8" x14ac:dyDescent="0.2">
      <c r="H4078" s="11" t="str">
        <f>IFERROR(VLOOKUP(tbl_product_scores[[#This Row],[product_key]],tbl_products[[product_key]:[group_display_key]],2,FALSE),"")</f>
        <v/>
      </c>
    </row>
    <row r="4079" spans="8:8" x14ac:dyDescent="0.2">
      <c r="H4079" s="11" t="str">
        <f>IFERROR(VLOOKUP(tbl_product_scores[[#This Row],[product_key]],tbl_products[[product_key]:[group_display_key]],2,FALSE),"")</f>
        <v/>
      </c>
    </row>
    <row r="4080" spans="8:8" x14ac:dyDescent="0.2">
      <c r="H4080" s="11" t="str">
        <f>IFERROR(VLOOKUP(tbl_product_scores[[#This Row],[product_key]],tbl_products[[product_key]:[group_display_key]],2,FALSE),"")</f>
        <v/>
      </c>
    </row>
    <row r="4081" spans="8:8" x14ac:dyDescent="0.2">
      <c r="H4081" s="11" t="str">
        <f>IFERROR(VLOOKUP(tbl_product_scores[[#This Row],[product_key]],tbl_products[[product_key]:[group_display_key]],2,FALSE),"")</f>
        <v/>
      </c>
    </row>
    <row r="4082" spans="8:8" x14ac:dyDescent="0.2">
      <c r="H4082" s="11" t="str">
        <f>IFERROR(VLOOKUP(tbl_product_scores[[#This Row],[product_key]],tbl_products[[product_key]:[group_display_key]],2,FALSE),"")</f>
        <v/>
      </c>
    </row>
    <row r="4083" spans="8:8" x14ac:dyDescent="0.2">
      <c r="H4083" s="11" t="str">
        <f>IFERROR(VLOOKUP(tbl_product_scores[[#This Row],[product_key]],tbl_products[[product_key]:[group_display_key]],2,FALSE),"")</f>
        <v/>
      </c>
    </row>
    <row r="4084" spans="8:8" x14ac:dyDescent="0.2">
      <c r="H4084" s="11" t="str">
        <f>IFERROR(VLOOKUP(tbl_product_scores[[#This Row],[product_key]],tbl_products[[product_key]:[group_display_key]],2,FALSE),"")</f>
        <v/>
      </c>
    </row>
    <row r="4085" spans="8:8" x14ac:dyDescent="0.2">
      <c r="H4085" s="11" t="str">
        <f>IFERROR(VLOOKUP(tbl_product_scores[[#This Row],[product_key]],tbl_products[[product_key]:[group_display_key]],2,FALSE),"")</f>
        <v/>
      </c>
    </row>
    <row r="4086" spans="8:8" x14ac:dyDescent="0.2">
      <c r="H4086" s="11" t="str">
        <f>IFERROR(VLOOKUP(tbl_product_scores[[#This Row],[product_key]],tbl_products[[product_key]:[group_display_key]],2,FALSE),"")</f>
        <v/>
      </c>
    </row>
    <row r="4087" spans="8:8" x14ac:dyDescent="0.2">
      <c r="H4087" s="11" t="str">
        <f>IFERROR(VLOOKUP(tbl_product_scores[[#This Row],[product_key]],tbl_products[[product_key]:[group_display_key]],2,FALSE),"")</f>
        <v/>
      </c>
    </row>
    <row r="4088" spans="8:8" x14ac:dyDescent="0.2">
      <c r="H4088" s="11" t="str">
        <f>IFERROR(VLOOKUP(tbl_product_scores[[#This Row],[product_key]],tbl_products[[product_key]:[group_display_key]],2,FALSE),"")</f>
        <v/>
      </c>
    </row>
    <row r="4089" spans="8:8" x14ac:dyDescent="0.2">
      <c r="H4089" s="11" t="str">
        <f>IFERROR(VLOOKUP(tbl_product_scores[[#This Row],[product_key]],tbl_products[[product_key]:[group_display_key]],2,FALSE),"")</f>
        <v/>
      </c>
    </row>
    <row r="4090" spans="8:8" x14ac:dyDescent="0.2">
      <c r="H4090" s="11" t="str">
        <f>IFERROR(VLOOKUP(tbl_product_scores[[#This Row],[product_key]],tbl_products[[product_key]:[group_display_key]],2,FALSE),"")</f>
        <v/>
      </c>
    </row>
    <row r="4091" spans="8:8" x14ac:dyDescent="0.2">
      <c r="H4091" s="11" t="str">
        <f>IFERROR(VLOOKUP(tbl_product_scores[[#This Row],[product_key]],tbl_products[[product_key]:[group_display_key]],2,FALSE),"")</f>
        <v/>
      </c>
    </row>
    <row r="4092" spans="8:8" x14ac:dyDescent="0.2">
      <c r="H4092" s="11" t="str">
        <f>IFERROR(VLOOKUP(tbl_product_scores[[#This Row],[product_key]],tbl_products[[product_key]:[group_display_key]],2,FALSE),"")</f>
        <v/>
      </c>
    </row>
    <row r="4093" spans="8:8" x14ac:dyDescent="0.2">
      <c r="H4093" s="11" t="str">
        <f>IFERROR(VLOOKUP(tbl_product_scores[[#This Row],[product_key]],tbl_products[[product_key]:[group_display_key]],2,FALSE),"")</f>
        <v/>
      </c>
    </row>
    <row r="4094" spans="8:8" x14ac:dyDescent="0.2">
      <c r="H4094" s="11" t="str">
        <f>IFERROR(VLOOKUP(tbl_product_scores[[#This Row],[product_key]],tbl_products[[product_key]:[group_display_key]],2,FALSE),"")</f>
        <v/>
      </c>
    </row>
    <row r="4095" spans="8:8" x14ac:dyDescent="0.2">
      <c r="H4095" s="11" t="str">
        <f>IFERROR(VLOOKUP(tbl_product_scores[[#This Row],[product_key]],tbl_products[[product_key]:[group_display_key]],2,FALSE),"")</f>
        <v/>
      </c>
    </row>
    <row r="4096" spans="8:8" x14ac:dyDescent="0.2">
      <c r="H4096" s="11" t="str">
        <f>IFERROR(VLOOKUP(tbl_product_scores[[#This Row],[product_key]],tbl_products[[product_key]:[group_display_key]],2,FALSE),"")</f>
        <v/>
      </c>
    </row>
    <row r="4097" spans="8:8" x14ac:dyDescent="0.2">
      <c r="H4097" s="11" t="str">
        <f>IFERROR(VLOOKUP(tbl_product_scores[[#This Row],[product_key]],tbl_products[[product_key]:[group_display_key]],2,FALSE),"")</f>
        <v/>
      </c>
    </row>
    <row r="4098" spans="8:8" x14ac:dyDescent="0.2">
      <c r="H4098" s="11" t="str">
        <f>IFERROR(VLOOKUP(tbl_product_scores[[#This Row],[product_key]],tbl_products[[product_key]:[group_display_key]],2,FALSE),"")</f>
        <v/>
      </c>
    </row>
    <row r="4099" spans="8:8" x14ac:dyDescent="0.2">
      <c r="H4099" s="11" t="str">
        <f>IFERROR(VLOOKUP(tbl_product_scores[[#This Row],[product_key]],tbl_products[[product_key]:[group_display_key]],2,FALSE),"")</f>
        <v/>
      </c>
    </row>
    <row r="4100" spans="8:8" x14ac:dyDescent="0.2">
      <c r="H4100" s="11" t="str">
        <f>IFERROR(VLOOKUP(tbl_product_scores[[#This Row],[product_key]],tbl_products[[product_key]:[group_display_key]],2,FALSE),"")</f>
        <v/>
      </c>
    </row>
    <row r="4101" spans="8:8" x14ac:dyDescent="0.2">
      <c r="H4101" s="11" t="str">
        <f>IFERROR(VLOOKUP(tbl_product_scores[[#This Row],[product_key]],tbl_products[[product_key]:[group_display_key]],2,FALSE),"")</f>
        <v/>
      </c>
    </row>
    <row r="4102" spans="8:8" x14ac:dyDescent="0.2">
      <c r="H4102" s="11" t="str">
        <f>IFERROR(VLOOKUP(tbl_product_scores[[#This Row],[product_key]],tbl_products[[product_key]:[group_display_key]],2,FALSE),"")</f>
        <v/>
      </c>
    </row>
    <row r="4103" spans="8:8" x14ac:dyDescent="0.2">
      <c r="H4103" s="11" t="str">
        <f>IFERROR(VLOOKUP(tbl_product_scores[[#This Row],[product_key]],tbl_products[[product_key]:[group_display_key]],2,FALSE),"")</f>
        <v/>
      </c>
    </row>
    <row r="4104" spans="8:8" x14ac:dyDescent="0.2">
      <c r="H4104" s="11" t="str">
        <f>IFERROR(VLOOKUP(tbl_product_scores[[#This Row],[product_key]],tbl_products[[product_key]:[group_display_key]],2,FALSE),"")</f>
        <v/>
      </c>
    </row>
    <row r="4105" spans="8:8" x14ac:dyDescent="0.2">
      <c r="H4105" s="11" t="str">
        <f>IFERROR(VLOOKUP(tbl_product_scores[[#This Row],[product_key]],tbl_products[[product_key]:[group_display_key]],2,FALSE),"")</f>
        <v/>
      </c>
    </row>
    <row r="4106" spans="8:8" x14ac:dyDescent="0.2">
      <c r="H4106" s="11" t="str">
        <f>IFERROR(VLOOKUP(tbl_product_scores[[#This Row],[product_key]],tbl_products[[product_key]:[group_display_key]],2,FALSE),"")</f>
        <v/>
      </c>
    </row>
    <row r="4107" spans="8:8" x14ac:dyDescent="0.2">
      <c r="H4107" s="11" t="str">
        <f>IFERROR(VLOOKUP(tbl_product_scores[[#This Row],[product_key]],tbl_products[[product_key]:[group_display_key]],2,FALSE),"")</f>
        <v/>
      </c>
    </row>
    <row r="4108" spans="8:8" x14ac:dyDescent="0.2">
      <c r="H4108" s="11" t="str">
        <f>IFERROR(VLOOKUP(tbl_product_scores[[#This Row],[product_key]],tbl_products[[product_key]:[group_display_key]],2,FALSE),"")</f>
        <v/>
      </c>
    </row>
    <row r="4109" spans="8:8" x14ac:dyDescent="0.2">
      <c r="H4109" s="11" t="str">
        <f>IFERROR(VLOOKUP(tbl_product_scores[[#This Row],[product_key]],tbl_products[[product_key]:[group_display_key]],2,FALSE),"")</f>
        <v/>
      </c>
    </row>
    <row r="4110" spans="8:8" x14ac:dyDescent="0.2">
      <c r="H4110" s="11" t="str">
        <f>IFERROR(VLOOKUP(tbl_product_scores[[#This Row],[product_key]],tbl_products[[product_key]:[group_display_key]],2,FALSE),"")</f>
        <v/>
      </c>
    </row>
    <row r="4111" spans="8:8" x14ac:dyDescent="0.2">
      <c r="H4111" s="11" t="str">
        <f>IFERROR(VLOOKUP(tbl_product_scores[[#This Row],[product_key]],tbl_products[[product_key]:[group_display_key]],2,FALSE),"")</f>
        <v/>
      </c>
    </row>
    <row r="4112" spans="8:8" x14ac:dyDescent="0.2">
      <c r="H4112" s="11" t="str">
        <f>IFERROR(VLOOKUP(tbl_product_scores[[#This Row],[product_key]],tbl_products[[product_key]:[group_display_key]],2,FALSE),"")</f>
        <v/>
      </c>
    </row>
    <row r="4113" spans="8:8" x14ac:dyDescent="0.2">
      <c r="H4113" s="11" t="str">
        <f>IFERROR(VLOOKUP(tbl_product_scores[[#This Row],[product_key]],tbl_products[[product_key]:[group_display_key]],2,FALSE),"")</f>
        <v/>
      </c>
    </row>
    <row r="4114" spans="8:8" x14ac:dyDescent="0.2">
      <c r="H4114" s="11" t="str">
        <f>IFERROR(VLOOKUP(tbl_product_scores[[#This Row],[product_key]],tbl_products[[product_key]:[group_display_key]],2,FALSE),"")</f>
        <v/>
      </c>
    </row>
    <row r="4115" spans="8:8" x14ac:dyDescent="0.2">
      <c r="H4115" s="11" t="str">
        <f>IFERROR(VLOOKUP(tbl_product_scores[[#This Row],[product_key]],tbl_products[[product_key]:[group_display_key]],2,FALSE),"")</f>
        <v/>
      </c>
    </row>
    <row r="4116" spans="8:8" x14ac:dyDescent="0.2">
      <c r="H4116" s="11" t="str">
        <f>IFERROR(VLOOKUP(tbl_product_scores[[#This Row],[product_key]],tbl_products[[product_key]:[group_display_key]],2,FALSE),"")</f>
        <v/>
      </c>
    </row>
    <row r="4117" spans="8:8" x14ac:dyDescent="0.2">
      <c r="H4117" s="11" t="str">
        <f>IFERROR(VLOOKUP(tbl_product_scores[[#This Row],[product_key]],tbl_products[[product_key]:[group_display_key]],2,FALSE),"")</f>
        <v/>
      </c>
    </row>
    <row r="4118" spans="8:8" x14ac:dyDescent="0.2">
      <c r="H4118" s="11" t="str">
        <f>IFERROR(VLOOKUP(tbl_product_scores[[#This Row],[product_key]],tbl_products[[product_key]:[group_display_key]],2,FALSE),"")</f>
        <v/>
      </c>
    </row>
    <row r="4119" spans="8:8" x14ac:dyDescent="0.2">
      <c r="H4119" s="11" t="str">
        <f>IFERROR(VLOOKUP(tbl_product_scores[[#This Row],[product_key]],tbl_products[[product_key]:[group_display_key]],2,FALSE),"")</f>
        <v/>
      </c>
    </row>
    <row r="4120" spans="8:8" x14ac:dyDescent="0.2">
      <c r="H4120" s="11" t="str">
        <f>IFERROR(VLOOKUP(tbl_product_scores[[#This Row],[product_key]],tbl_products[[product_key]:[group_display_key]],2,FALSE),"")</f>
        <v/>
      </c>
    </row>
    <row r="4121" spans="8:8" x14ac:dyDescent="0.2">
      <c r="H4121" s="11" t="str">
        <f>IFERROR(VLOOKUP(tbl_product_scores[[#This Row],[product_key]],tbl_products[[product_key]:[group_display_key]],2,FALSE),"")</f>
        <v/>
      </c>
    </row>
    <row r="4122" spans="8:8" x14ac:dyDescent="0.2">
      <c r="H4122" s="11" t="str">
        <f>IFERROR(VLOOKUP(tbl_product_scores[[#This Row],[product_key]],tbl_products[[product_key]:[group_display_key]],2,FALSE),"")</f>
        <v/>
      </c>
    </row>
    <row r="4123" spans="8:8" x14ac:dyDescent="0.2">
      <c r="H4123" s="11" t="str">
        <f>IFERROR(VLOOKUP(tbl_product_scores[[#This Row],[product_key]],tbl_products[[product_key]:[group_display_key]],2,FALSE),"")</f>
        <v/>
      </c>
    </row>
    <row r="4124" spans="8:8" x14ac:dyDescent="0.2">
      <c r="H4124" s="11" t="str">
        <f>IFERROR(VLOOKUP(tbl_product_scores[[#This Row],[product_key]],tbl_products[[product_key]:[group_display_key]],2,FALSE),"")</f>
        <v/>
      </c>
    </row>
    <row r="4125" spans="8:8" x14ac:dyDescent="0.2">
      <c r="H4125" s="11" t="str">
        <f>IFERROR(VLOOKUP(tbl_product_scores[[#This Row],[product_key]],tbl_products[[product_key]:[group_display_key]],2,FALSE),"")</f>
        <v/>
      </c>
    </row>
    <row r="4126" spans="8:8" x14ac:dyDescent="0.2">
      <c r="H4126" s="11" t="str">
        <f>IFERROR(VLOOKUP(tbl_product_scores[[#This Row],[product_key]],tbl_products[[product_key]:[group_display_key]],2,FALSE),"")</f>
        <v/>
      </c>
    </row>
    <row r="4127" spans="8:8" x14ac:dyDescent="0.2">
      <c r="H4127" s="11" t="str">
        <f>IFERROR(VLOOKUP(tbl_product_scores[[#This Row],[product_key]],tbl_products[[product_key]:[group_display_key]],2,FALSE),"")</f>
        <v/>
      </c>
    </row>
    <row r="4128" spans="8:8" x14ac:dyDescent="0.2">
      <c r="H4128" s="11" t="str">
        <f>IFERROR(VLOOKUP(tbl_product_scores[[#This Row],[product_key]],tbl_products[[product_key]:[group_display_key]],2,FALSE),"")</f>
        <v/>
      </c>
    </row>
    <row r="4129" spans="8:8" x14ac:dyDescent="0.2">
      <c r="H4129" s="11" t="str">
        <f>IFERROR(VLOOKUP(tbl_product_scores[[#This Row],[product_key]],tbl_products[[product_key]:[group_display_key]],2,FALSE),"")</f>
        <v/>
      </c>
    </row>
    <row r="4130" spans="8:8" x14ac:dyDescent="0.2">
      <c r="H4130" s="11" t="str">
        <f>IFERROR(VLOOKUP(tbl_product_scores[[#This Row],[product_key]],tbl_products[[product_key]:[group_display_key]],2,FALSE),"")</f>
        <v/>
      </c>
    </row>
    <row r="4131" spans="8:8" x14ac:dyDescent="0.2">
      <c r="H4131" s="11" t="str">
        <f>IFERROR(VLOOKUP(tbl_product_scores[[#This Row],[product_key]],tbl_products[[product_key]:[group_display_key]],2,FALSE),"")</f>
        <v/>
      </c>
    </row>
    <row r="4132" spans="8:8" x14ac:dyDescent="0.2">
      <c r="H4132" s="11" t="str">
        <f>IFERROR(VLOOKUP(tbl_product_scores[[#This Row],[product_key]],tbl_products[[product_key]:[group_display_key]],2,FALSE),"")</f>
        <v/>
      </c>
    </row>
    <row r="4133" spans="8:8" x14ac:dyDescent="0.2">
      <c r="H4133" s="11" t="str">
        <f>IFERROR(VLOOKUP(tbl_product_scores[[#This Row],[product_key]],tbl_products[[product_key]:[group_display_key]],2,FALSE),"")</f>
        <v/>
      </c>
    </row>
    <row r="4134" spans="8:8" x14ac:dyDescent="0.2">
      <c r="H4134" s="11" t="str">
        <f>IFERROR(VLOOKUP(tbl_product_scores[[#This Row],[product_key]],tbl_products[[product_key]:[group_display_key]],2,FALSE),"")</f>
        <v/>
      </c>
    </row>
    <row r="4135" spans="8:8" x14ac:dyDescent="0.2">
      <c r="H4135" s="11" t="str">
        <f>IFERROR(VLOOKUP(tbl_product_scores[[#This Row],[product_key]],tbl_products[[product_key]:[group_display_key]],2,FALSE),"")</f>
        <v/>
      </c>
    </row>
    <row r="4136" spans="8:8" x14ac:dyDescent="0.2">
      <c r="H4136" s="11" t="str">
        <f>IFERROR(VLOOKUP(tbl_product_scores[[#This Row],[product_key]],tbl_products[[product_key]:[group_display_key]],2,FALSE),"")</f>
        <v/>
      </c>
    </row>
    <row r="4137" spans="8:8" x14ac:dyDescent="0.2">
      <c r="H4137" s="11" t="str">
        <f>IFERROR(VLOOKUP(tbl_product_scores[[#This Row],[product_key]],tbl_products[[product_key]:[group_display_key]],2,FALSE),"")</f>
        <v/>
      </c>
    </row>
    <row r="4138" spans="8:8" x14ac:dyDescent="0.2">
      <c r="H4138" s="11" t="str">
        <f>IFERROR(VLOOKUP(tbl_product_scores[[#This Row],[product_key]],tbl_products[[product_key]:[group_display_key]],2,FALSE),"")</f>
        <v/>
      </c>
    </row>
    <row r="4139" spans="8:8" x14ac:dyDescent="0.2">
      <c r="H4139" s="11" t="str">
        <f>IFERROR(VLOOKUP(tbl_product_scores[[#This Row],[product_key]],tbl_products[[product_key]:[group_display_key]],2,FALSE),"")</f>
        <v/>
      </c>
    </row>
    <row r="4140" spans="8:8" x14ac:dyDescent="0.2">
      <c r="H4140" s="11" t="str">
        <f>IFERROR(VLOOKUP(tbl_product_scores[[#This Row],[product_key]],tbl_products[[product_key]:[group_display_key]],2,FALSE),"")</f>
        <v/>
      </c>
    </row>
    <row r="4141" spans="8:8" x14ac:dyDescent="0.2">
      <c r="H4141" s="11" t="str">
        <f>IFERROR(VLOOKUP(tbl_product_scores[[#This Row],[product_key]],tbl_products[[product_key]:[group_display_key]],2,FALSE),"")</f>
        <v/>
      </c>
    </row>
    <row r="4142" spans="8:8" x14ac:dyDescent="0.2">
      <c r="H4142" s="11" t="str">
        <f>IFERROR(VLOOKUP(tbl_product_scores[[#This Row],[product_key]],tbl_products[[product_key]:[group_display_key]],2,FALSE),"")</f>
        <v/>
      </c>
    </row>
    <row r="4143" spans="8:8" x14ac:dyDescent="0.2">
      <c r="H4143" s="11" t="str">
        <f>IFERROR(VLOOKUP(tbl_product_scores[[#This Row],[product_key]],tbl_products[[product_key]:[group_display_key]],2,FALSE),"")</f>
        <v/>
      </c>
    </row>
    <row r="4144" spans="8:8" x14ac:dyDescent="0.2">
      <c r="H4144" s="11" t="str">
        <f>IFERROR(VLOOKUP(tbl_product_scores[[#This Row],[product_key]],tbl_products[[product_key]:[group_display_key]],2,FALSE),"")</f>
        <v/>
      </c>
    </row>
    <row r="4145" spans="8:8" x14ac:dyDescent="0.2">
      <c r="H4145" s="11" t="str">
        <f>IFERROR(VLOOKUP(tbl_product_scores[[#This Row],[product_key]],tbl_products[[product_key]:[group_display_key]],2,FALSE),"")</f>
        <v/>
      </c>
    </row>
    <row r="4146" spans="8:8" x14ac:dyDescent="0.2">
      <c r="H4146" s="11" t="str">
        <f>IFERROR(VLOOKUP(tbl_product_scores[[#This Row],[product_key]],tbl_products[[product_key]:[group_display_key]],2,FALSE),"")</f>
        <v/>
      </c>
    </row>
    <row r="4147" spans="8:8" x14ac:dyDescent="0.2">
      <c r="H4147" s="11" t="str">
        <f>IFERROR(VLOOKUP(tbl_product_scores[[#This Row],[product_key]],tbl_products[[product_key]:[group_display_key]],2,FALSE),"")</f>
        <v/>
      </c>
    </row>
    <row r="4148" spans="8:8" x14ac:dyDescent="0.2">
      <c r="H4148" s="11" t="str">
        <f>IFERROR(VLOOKUP(tbl_product_scores[[#This Row],[product_key]],tbl_products[[product_key]:[group_display_key]],2,FALSE),"")</f>
        <v/>
      </c>
    </row>
    <row r="4149" spans="8:8" x14ac:dyDescent="0.2">
      <c r="H4149" s="11" t="str">
        <f>IFERROR(VLOOKUP(tbl_product_scores[[#This Row],[product_key]],tbl_products[[product_key]:[group_display_key]],2,FALSE),"")</f>
        <v/>
      </c>
    </row>
    <row r="4150" spans="8:8" x14ac:dyDescent="0.2">
      <c r="H4150" s="11" t="str">
        <f>IFERROR(VLOOKUP(tbl_product_scores[[#This Row],[product_key]],tbl_products[[product_key]:[group_display_key]],2,FALSE),"")</f>
        <v/>
      </c>
    </row>
    <row r="4151" spans="8:8" x14ac:dyDescent="0.2">
      <c r="H4151" s="11" t="str">
        <f>IFERROR(VLOOKUP(tbl_product_scores[[#This Row],[product_key]],tbl_products[[product_key]:[group_display_key]],2,FALSE),"")</f>
        <v/>
      </c>
    </row>
    <row r="4152" spans="8:8" x14ac:dyDescent="0.2">
      <c r="H4152" s="11" t="str">
        <f>IFERROR(VLOOKUP(tbl_product_scores[[#This Row],[product_key]],tbl_products[[product_key]:[group_display_key]],2,FALSE),"")</f>
        <v/>
      </c>
    </row>
    <row r="4153" spans="8:8" x14ac:dyDescent="0.2">
      <c r="H4153" s="11" t="str">
        <f>IFERROR(VLOOKUP(tbl_product_scores[[#This Row],[product_key]],tbl_products[[product_key]:[group_display_key]],2,FALSE),"")</f>
        <v/>
      </c>
    </row>
    <row r="4154" spans="8:8" x14ac:dyDescent="0.2">
      <c r="H4154" s="11" t="str">
        <f>IFERROR(VLOOKUP(tbl_product_scores[[#This Row],[product_key]],tbl_products[[product_key]:[group_display_key]],2,FALSE),"")</f>
        <v/>
      </c>
    </row>
    <row r="4155" spans="8:8" x14ac:dyDescent="0.2">
      <c r="H4155" s="11" t="str">
        <f>IFERROR(VLOOKUP(tbl_product_scores[[#This Row],[product_key]],tbl_products[[product_key]:[group_display_key]],2,FALSE),"")</f>
        <v/>
      </c>
    </row>
    <row r="4156" spans="8:8" x14ac:dyDescent="0.2">
      <c r="H4156" s="11" t="str">
        <f>IFERROR(VLOOKUP(tbl_product_scores[[#This Row],[product_key]],tbl_products[[product_key]:[group_display_key]],2,FALSE),"")</f>
        <v/>
      </c>
    </row>
    <row r="4157" spans="8:8" x14ac:dyDescent="0.2">
      <c r="H4157" s="11" t="str">
        <f>IFERROR(VLOOKUP(tbl_product_scores[[#This Row],[product_key]],tbl_products[[product_key]:[group_display_key]],2,FALSE),"")</f>
        <v/>
      </c>
    </row>
    <row r="4158" spans="8:8" x14ac:dyDescent="0.2">
      <c r="H4158" s="11" t="str">
        <f>IFERROR(VLOOKUP(tbl_product_scores[[#This Row],[product_key]],tbl_products[[product_key]:[group_display_key]],2,FALSE),"")</f>
        <v/>
      </c>
    </row>
    <row r="4159" spans="8:8" x14ac:dyDescent="0.2">
      <c r="H4159" s="11" t="str">
        <f>IFERROR(VLOOKUP(tbl_product_scores[[#This Row],[product_key]],tbl_products[[product_key]:[group_display_key]],2,FALSE),"")</f>
        <v/>
      </c>
    </row>
    <row r="4160" spans="8:8" x14ac:dyDescent="0.2">
      <c r="H4160" s="11" t="str">
        <f>IFERROR(VLOOKUP(tbl_product_scores[[#This Row],[product_key]],tbl_products[[product_key]:[group_display_key]],2,FALSE),"")</f>
        <v/>
      </c>
    </row>
    <row r="4161" spans="8:8" x14ac:dyDescent="0.2">
      <c r="H4161" s="11" t="str">
        <f>IFERROR(VLOOKUP(tbl_product_scores[[#This Row],[product_key]],tbl_products[[product_key]:[group_display_key]],2,FALSE),"")</f>
        <v/>
      </c>
    </row>
    <row r="4162" spans="8:8" x14ac:dyDescent="0.2">
      <c r="H4162" s="11" t="str">
        <f>IFERROR(VLOOKUP(tbl_product_scores[[#This Row],[product_key]],tbl_products[[product_key]:[group_display_key]],2,FALSE),"")</f>
        <v/>
      </c>
    </row>
    <row r="4163" spans="8:8" x14ac:dyDescent="0.2">
      <c r="H4163" s="11" t="str">
        <f>IFERROR(VLOOKUP(tbl_product_scores[[#This Row],[product_key]],tbl_products[[product_key]:[group_display_key]],2,FALSE),"")</f>
        <v/>
      </c>
    </row>
    <row r="4164" spans="8:8" x14ac:dyDescent="0.2">
      <c r="H4164" s="11" t="str">
        <f>IFERROR(VLOOKUP(tbl_product_scores[[#This Row],[product_key]],tbl_products[[product_key]:[group_display_key]],2,FALSE),"")</f>
        <v/>
      </c>
    </row>
    <row r="4165" spans="8:8" x14ac:dyDescent="0.2">
      <c r="H4165" s="11" t="str">
        <f>IFERROR(VLOOKUP(tbl_product_scores[[#This Row],[product_key]],tbl_products[[product_key]:[group_display_key]],2,FALSE),"")</f>
        <v/>
      </c>
    </row>
    <row r="4166" spans="8:8" x14ac:dyDescent="0.2">
      <c r="H4166" s="11" t="str">
        <f>IFERROR(VLOOKUP(tbl_product_scores[[#This Row],[product_key]],tbl_products[[product_key]:[group_display_key]],2,FALSE),"")</f>
        <v/>
      </c>
    </row>
    <row r="4167" spans="8:8" x14ac:dyDescent="0.2">
      <c r="H4167" s="11" t="str">
        <f>IFERROR(VLOOKUP(tbl_product_scores[[#This Row],[product_key]],tbl_products[[product_key]:[group_display_key]],2,FALSE),"")</f>
        <v/>
      </c>
    </row>
    <row r="4168" spans="8:8" x14ac:dyDescent="0.2">
      <c r="H4168" s="11" t="str">
        <f>IFERROR(VLOOKUP(tbl_product_scores[[#This Row],[product_key]],tbl_products[[product_key]:[group_display_key]],2,FALSE),"")</f>
        <v/>
      </c>
    </row>
    <row r="4169" spans="8:8" x14ac:dyDescent="0.2">
      <c r="H4169" s="11" t="str">
        <f>IFERROR(VLOOKUP(tbl_product_scores[[#This Row],[product_key]],tbl_products[[product_key]:[group_display_key]],2,FALSE),"")</f>
        <v/>
      </c>
    </row>
    <row r="4170" spans="8:8" x14ac:dyDescent="0.2">
      <c r="H4170" s="11" t="str">
        <f>IFERROR(VLOOKUP(tbl_product_scores[[#This Row],[product_key]],tbl_products[[product_key]:[group_display_key]],2,FALSE),"")</f>
        <v/>
      </c>
    </row>
    <row r="4171" spans="8:8" x14ac:dyDescent="0.2">
      <c r="H4171" s="11" t="str">
        <f>IFERROR(VLOOKUP(tbl_product_scores[[#This Row],[product_key]],tbl_products[[product_key]:[group_display_key]],2,FALSE),"")</f>
        <v/>
      </c>
    </row>
    <row r="4172" spans="8:8" x14ac:dyDescent="0.2">
      <c r="H4172" s="11" t="str">
        <f>IFERROR(VLOOKUP(tbl_product_scores[[#This Row],[product_key]],tbl_products[[product_key]:[group_display_key]],2,FALSE),"")</f>
        <v/>
      </c>
    </row>
    <row r="4173" spans="8:8" x14ac:dyDescent="0.2">
      <c r="H4173" s="11" t="str">
        <f>IFERROR(VLOOKUP(tbl_product_scores[[#This Row],[product_key]],tbl_products[[product_key]:[group_display_key]],2,FALSE),"")</f>
        <v/>
      </c>
    </row>
    <row r="4174" spans="8:8" x14ac:dyDescent="0.2">
      <c r="H4174" s="11" t="str">
        <f>IFERROR(VLOOKUP(tbl_product_scores[[#This Row],[product_key]],tbl_products[[product_key]:[group_display_key]],2,FALSE),"")</f>
        <v/>
      </c>
    </row>
    <row r="4175" spans="8:8" x14ac:dyDescent="0.2">
      <c r="H4175" s="11" t="str">
        <f>IFERROR(VLOOKUP(tbl_product_scores[[#This Row],[product_key]],tbl_products[[product_key]:[group_display_key]],2,FALSE),"")</f>
        <v/>
      </c>
    </row>
    <row r="4176" spans="8:8" x14ac:dyDescent="0.2">
      <c r="H4176" s="11" t="str">
        <f>IFERROR(VLOOKUP(tbl_product_scores[[#This Row],[product_key]],tbl_products[[product_key]:[group_display_key]],2,FALSE),"")</f>
        <v/>
      </c>
    </row>
    <row r="4177" spans="8:8" x14ac:dyDescent="0.2">
      <c r="H4177" s="11" t="str">
        <f>IFERROR(VLOOKUP(tbl_product_scores[[#This Row],[product_key]],tbl_products[[product_key]:[group_display_key]],2,FALSE),"")</f>
        <v/>
      </c>
    </row>
    <row r="4178" spans="8:8" x14ac:dyDescent="0.2">
      <c r="H4178" s="11" t="str">
        <f>IFERROR(VLOOKUP(tbl_product_scores[[#This Row],[product_key]],tbl_products[[product_key]:[group_display_key]],2,FALSE),"")</f>
        <v/>
      </c>
    </row>
    <row r="4179" spans="8:8" x14ac:dyDescent="0.2">
      <c r="H4179" s="11" t="str">
        <f>IFERROR(VLOOKUP(tbl_product_scores[[#This Row],[product_key]],tbl_products[[product_key]:[group_display_key]],2,FALSE),"")</f>
        <v/>
      </c>
    </row>
    <row r="4180" spans="8:8" x14ac:dyDescent="0.2">
      <c r="H4180" s="11" t="str">
        <f>IFERROR(VLOOKUP(tbl_product_scores[[#This Row],[product_key]],tbl_products[[product_key]:[group_display_key]],2,FALSE),"")</f>
        <v/>
      </c>
    </row>
    <row r="4181" spans="8:8" x14ac:dyDescent="0.2">
      <c r="H4181" s="11" t="str">
        <f>IFERROR(VLOOKUP(tbl_product_scores[[#This Row],[product_key]],tbl_products[[product_key]:[group_display_key]],2,FALSE),"")</f>
        <v/>
      </c>
    </row>
    <row r="4182" spans="8:8" x14ac:dyDescent="0.2">
      <c r="H4182" s="11" t="str">
        <f>IFERROR(VLOOKUP(tbl_product_scores[[#This Row],[product_key]],tbl_products[[product_key]:[group_display_key]],2,FALSE),"")</f>
        <v/>
      </c>
    </row>
    <row r="4183" spans="8:8" x14ac:dyDescent="0.2">
      <c r="H4183" s="11" t="str">
        <f>IFERROR(VLOOKUP(tbl_product_scores[[#This Row],[product_key]],tbl_products[[product_key]:[group_display_key]],2,FALSE),"")</f>
        <v/>
      </c>
    </row>
    <row r="4184" spans="8:8" x14ac:dyDescent="0.2">
      <c r="H4184" s="11" t="str">
        <f>IFERROR(VLOOKUP(tbl_product_scores[[#This Row],[product_key]],tbl_products[[product_key]:[group_display_key]],2,FALSE),"")</f>
        <v/>
      </c>
    </row>
    <row r="4185" spans="8:8" x14ac:dyDescent="0.2">
      <c r="H4185" s="11" t="str">
        <f>IFERROR(VLOOKUP(tbl_product_scores[[#This Row],[product_key]],tbl_products[[product_key]:[group_display_key]],2,FALSE),"")</f>
        <v/>
      </c>
    </row>
    <row r="4186" spans="8:8" x14ac:dyDescent="0.2">
      <c r="H4186" s="11" t="str">
        <f>IFERROR(VLOOKUP(tbl_product_scores[[#This Row],[product_key]],tbl_products[[product_key]:[group_display_key]],2,FALSE),"")</f>
        <v/>
      </c>
    </row>
    <row r="4187" spans="8:8" x14ac:dyDescent="0.2">
      <c r="H4187" s="11" t="str">
        <f>IFERROR(VLOOKUP(tbl_product_scores[[#This Row],[product_key]],tbl_products[[product_key]:[group_display_key]],2,FALSE),"")</f>
        <v/>
      </c>
    </row>
    <row r="4188" spans="8:8" x14ac:dyDescent="0.2">
      <c r="H4188" s="11" t="str">
        <f>IFERROR(VLOOKUP(tbl_product_scores[[#This Row],[product_key]],tbl_products[[product_key]:[group_display_key]],2,FALSE),"")</f>
        <v/>
      </c>
    </row>
    <row r="4189" spans="8:8" x14ac:dyDescent="0.2">
      <c r="H4189" s="11" t="str">
        <f>IFERROR(VLOOKUP(tbl_product_scores[[#This Row],[product_key]],tbl_products[[product_key]:[group_display_key]],2,FALSE),"")</f>
        <v/>
      </c>
    </row>
    <row r="4190" spans="8:8" x14ac:dyDescent="0.2">
      <c r="H4190" s="11" t="str">
        <f>IFERROR(VLOOKUP(tbl_product_scores[[#This Row],[product_key]],tbl_products[[product_key]:[group_display_key]],2,FALSE),"")</f>
        <v/>
      </c>
    </row>
    <row r="4191" spans="8:8" x14ac:dyDescent="0.2">
      <c r="H4191" s="11" t="str">
        <f>IFERROR(VLOOKUP(tbl_product_scores[[#This Row],[product_key]],tbl_products[[product_key]:[group_display_key]],2,FALSE),"")</f>
        <v/>
      </c>
    </row>
    <row r="4192" spans="8:8" x14ac:dyDescent="0.2">
      <c r="H4192" s="11" t="str">
        <f>IFERROR(VLOOKUP(tbl_product_scores[[#This Row],[product_key]],tbl_products[[product_key]:[group_display_key]],2,FALSE),"")</f>
        <v/>
      </c>
    </row>
    <row r="4193" spans="8:8" x14ac:dyDescent="0.2">
      <c r="H4193" s="11" t="str">
        <f>IFERROR(VLOOKUP(tbl_product_scores[[#This Row],[product_key]],tbl_products[[product_key]:[group_display_key]],2,FALSE),"")</f>
        <v/>
      </c>
    </row>
    <row r="4194" spans="8:8" x14ac:dyDescent="0.2">
      <c r="H4194" s="11" t="str">
        <f>IFERROR(VLOOKUP(tbl_product_scores[[#This Row],[product_key]],tbl_products[[product_key]:[group_display_key]],2,FALSE),"")</f>
        <v/>
      </c>
    </row>
    <row r="4195" spans="8:8" x14ac:dyDescent="0.2">
      <c r="H4195" s="11" t="str">
        <f>IFERROR(VLOOKUP(tbl_product_scores[[#This Row],[product_key]],tbl_products[[product_key]:[group_display_key]],2,FALSE),"")</f>
        <v/>
      </c>
    </row>
    <row r="4196" spans="8:8" x14ac:dyDescent="0.2">
      <c r="H4196" s="11" t="str">
        <f>IFERROR(VLOOKUP(tbl_product_scores[[#This Row],[product_key]],tbl_products[[product_key]:[group_display_key]],2,FALSE),"")</f>
        <v/>
      </c>
    </row>
    <row r="4197" spans="8:8" x14ac:dyDescent="0.2">
      <c r="H4197" s="11" t="str">
        <f>IFERROR(VLOOKUP(tbl_product_scores[[#This Row],[product_key]],tbl_products[[product_key]:[group_display_key]],2,FALSE),"")</f>
        <v/>
      </c>
    </row>
    <row r="4198" spans="8:8" x14ac:dyDescent="0.2">
      <c r="H4198" s="11" t="str">
        <f>IFERROR(VLOOKUP(tbl_product_scores[[#This Row],[product_key]],tbl_products[[product_key]:[group_display_key]],2,FALSE),"")</f>
        <v/>
      </c>
    </row>
    <row r="4199" spans="8:8" x14ac:dyDescent="0.2">
      <c r="H4199" s="11" t="str">
        <f>IFERROR(VLOOKUP(tbl_product_scores[[#This Row],[product_key]],tbl_products[[product_key]:[group_display_key]],2,FALSE),"")</f>
        <v/>
      </c>
    </row>
    <row r="4200" spans="8:8" x14ac:dyDescent="0.2">
      <c r="H4200" s="11" t="str">
        <f>IFERROR(VLOOKUP(tbl_product_scores[[#This Row],[product_key]],tbl_products[[product_key]:[group_display_key]],2,FALSE),"")</f>
        <v/>
      </c>
    </row>
    <row r="4201" spans="8:8" x14ac:dyDescent="0.2">
      <c r="H4201" s="11" t="str">
        <f>IFERROR(VLOOKUP(tbl_product_scores[[#This Row],[product_key]],tbl_products[[product_key]:[group_display_key]],2,FALSE),"")</f>
        <v/>
      </c>
    </row>
    <row r="4202" spans="8:8" x14ac:dyDescent="0.2">
      <c r="H4202" s="11" t="str">
        <f>IFERROR(VLOOKUP(tbl_product_scores[[#This Row],[product_key]],tbl_products[[product_key]:[group_display_key]],2,FALSE),"")</f>
        <v/>
      </c>
    </row>
    <row r="4203" spans="8:8" x14ac:dyDescent="0.2">
      <c r="H4203" s="11" t="str">
        <f>IFERROR(VLOOKUP(tbl_product_scores[[#This Row],[product_key]],tbl_products[[product_key]:[group_display_key]],2,FALSE),"")</f>
        <v/>
      </c>
    </row>
    <row r="4204" spans="8:8" x14ac:dyDescent="0.2">
      <c r="H4204" s="11" t="str">
        <f>IFERROR(VLOOKUP(tbl_product_scores[[#This Row],[product_key]],tbl_products[[product_key]:[group_display_key]],2,FALSE),"")</f>
        <v/>
      </c>
    </row>
    <row r="4205" spans="8:8" x14ac:dyDescent="0.2">
      <c r="H4205" s="11" t="str">
        <f>IFERROR(VLOOKUP(tbl_product_scores[[#This Row],[product_key]],tbl_products[[product_key]:[group_display_key]],2,FALSE),"")</f>
        <v/>
      </c>
    </row>
    <row r="4206" spans="8:8" x14ac:dyDescent="0.2">
      <c r="H4206" s="11" t="str">
        <f>IFERROR(VLOOKUP(tbl_product_scores[[#This Row],[product_key]],tbl_products[[product_key]:[group_display_key]],2,FALSE),"")</f>
        <v/>
      </c>
    </row>
    <row r="4207" spans="8:8" x14ac:dyDescent="0.2">
      <c r="H4207" s="11" t="str">
        <f>IFERROR(VLOOKUP(tbl_product_scores[[#This Row],[product_key]],tbl_products[[product_key]:[group_display_key]],2,FALSE),"")</f>
        <v/>
      </c>
    </row>
    <row r="4208" spans="8:8" x14ac:dyDescent="0.2">
      <c r="H4208" s="11" t="str">
        <f>IFERROR(VLOOKUP(tbl_product_scores[[#This Row],[product_key]],tbl_products[[product_key]:[group_display_key]],2,FALSE),"")</f>
        <v/>
      </c>
    </row>
    <row r="4209" spans="8:8" x14ac:dyDescent="0.2">
      <c r="H4209" s="11" t="str">
        <f>IFERROR(VLOOKUP(tbl_product_scores[[#This Row],[product_key]],tbl_products[[product_key]:[group_display_key]],2,FALSE),"")</f>
        <v/>
      </c>
    </row>
    <row r="4210" spans="8:8" x14ac:dyDescent="0.2">
      <c r="H4210" s="11" t="str">
        <f>IFERROR(VLOOKUP(tbl_product_scores[[#This Row],[product_key]],tbl_products[[product_key]:[group_display_key]],2,FALSE),"")</f>
        <v/>
      </c>
    </row>
    <row r="4211" spans="8:8" x14ac:dyDescent="0.2">
      <c r="H4211" s="11" t="str">
        <f>IFERROR(VLOOKUP(tbl_product_scores[[#This Row],[product_key]],tbl_products[[product_key]:[group_display_key]],2,FALSE),"")</f>
        <v/>
      </c>
    </row>
    <row r="4212" spans="8:8" x14ac:dyDescent="0.2">
      <c r="H4212" s="11" t="str">
        <f>IFERROR(VLOOKUP(tbl_product_scores[[#This Row],[product_key]],tbl_products[[product_key]:[group_display_key]],2,FALSE),"")</f>
        <v/>
      </c>
    </row>
    <row r="4213" spans="8:8" x14ac:dyDescent="0.2">
      <c r="H4213" s="11" t="str">
        <f>IFERROR(VLOOKUP(tbl_product_scores[[#This Row],[product_key]],tbl_products[[product_key]:[group_display_key]],2,FALSE),"")</f>
        <v/>
      </c>
    </row>
    <row r="4214" spans="8:8" x14ac:dyDescent="0.2">
      <c r="H4214" s="11" t="str">
        <f>IFERROR(VLOOKUP(tbl_product_scores[[#This Row],[product_key]],tbl_products[[product_key]:[group_display_key]],2,FALSE),"")</f>
        <v/>
      </c>
    </row>
    <row r="4215" spans="8:8" x14ac:dyDescent="0.2">
      <c r="H4215" s="11" t="str">
        <f>IFERROR(VLOOKUP(tbl_product_scores[[#This Row],[product_key]],tbl_products[[product_key]:[group_display_key]],2,FALSE),"")</f>
        <v/>
      </c>
    </row>
    <row r="4216" spans="8:8" x14ac:dyDescent="0.2">
      <c r="H4216" s="11" t="str">
        <f>IFERROR(VLOOKUP(tbl_product_scores[[#This Row],[product_key]],tbl_products[[product_key]:[group_display_key]],2,FALSE),"")</f>
        <v/>
      </c>
    </row>
    <row r="4217" spans="8:8" x14ac:dyDescent="0.2">
      <c r="H4217" s="11" t="str">
        <f>IFERROR(VLOOKUP(tbl_product_scores[[#This Row],[product_key]],tbl_products[[product_key]:[group_display_key]],2,FALSE),"")</f>
        <v/>
      </c>
    </row>
    <row r="4218" spans="8:8" x14ac:dyDescent="0.2">
      <c r="H4218" s="11" t="str">
        <f>IFERROR(VLOOKUP(tbl_product_scores[[#This Row],[product_key]],tbl_products[[product_key]:[group_display_key]],2,FALSE),"")</f>
        <v/>
      </c>
    </row>
    <row r="4219" spans="8:8" x14ac:dyDescent="0.2">
      <c r="H4219" s="11" t="str">
        <f>IFERROR(VLOOKUP(tbl_product_scores[[#This Row],[product_key]],tbl_products[[product_key]:[group_display_key]],2,FALSE),"")</f>
        <v/>
      </c>
    </row>
    <row r="4220" spans="8:8" x14ac:dyDescent="0.2">
      <c r="H4220" s="11" t="str">
        <f>IFERROR(VLOOKUP(tbl_product_scores[[#This Row],[product_key]],tbl_products[[product_key]:[group_display_key]],2,FALSE),"")</f>
        <v/>
      </c>
    </row>
    <row r="4221" spans="8:8" x14ac:dyDescent="0.2">
      <c r="H4221" s="11" t="str">
        <f>IFERROR(VLOOKUP(tbl_product_scores[[#This Row],[product_key]],tbl_products[[product_key]:[group_display_key]],2,FALSE),"")</f>
        <v/>
      </c>
    </row>
    <row r="4222" spans="8:8" x14ac:dyDescent="0.2">
      <c r="H4222" s="11" t="str">
        <f>IFERROR(VLOOKUP(tbl_product_scores[[#This Row],[product_key]],tbl_products[[product_key]:[group_display_key]],2,FALSE),"")</f>
        <v/>
      </c>
    </row>
    <row r="4223" spans="8:8" x14ac:dyDescent="0.2">
      <c r="H4223" s="11" t="str">
        <f>IFERROR(VLOOKUP(tbl_product_scores[[#This Row],[product_key]],tbl_products[[product_key]:[group_display_key]],2,FALSE),"")</f>
        <v/>
      </c>
    </row>
    <row r="4224" spans="8:8" x14ac:dyDescent="0.2">
      <c r="H4224" s="11" t="str">
        <f>IFERROR(VLOOKUP(tbl_product_scores[[#This Row],[product_key]],tbl_products[[product_key]:[group_display_key]],2,FALSE),"")</f>
        <v/>
      </c>
    </row>
    <row r="4225" spans="8:8" x14ac:dyDescent="0.2">
      <c r="H4225" s="11" t="str">
        <f>IFERROR(VLOOKUP(tbl_product_scores[[#This Row],[product_key]],tbl_products[[product_key]:[group_display_key]],2,FALSE),"")</f>
        <v/>
      </c>
    </row>
    <row r="4226" spans="8:8" x14ac:dyDescent="0.2">
      <c r="H4226" s="11" t="str">
        <f>IFERROR(VLOOKUP(tbl_product_scores[[#This Row],[product_key]],tbl_products[[product_key]:[group_display_key]],2,FALSE),"")</f>
        <v/>
      </c>
    </row>
    <row r="4227" spans="8:8" x14ac:dyDescent="0.2">
      <c r="H4227" s="11" t="str">
        <f>IFERROR(VLOOKUP(tbl_product_scores[[#This Row],[product_key]],tbl_products[[product_key]:[group_display_key]],2,FALSE),"")</f>
        <v/>
      </c>
    </row>
    <row r="4228" spans="8:8" x14ac:dyDescent="0.2">
      <c r="H4228" s="11" t="str">
        <f>IFERROR(VLOOKUP(tbl_product_scores[[#This Row],[product_key]],tbl_products[[product_key]:[group_display_key]],2,FALSE),"")</f>
        <v/>
      </c>
    </row>
    <row r="4229" spans="8:8" x14ac:dyDescent="0.2">
      <c r="H4229" s="11" t="str">
        <f>IFERROR(VLOOKUP(tbl_product_scores[[#This Row],[product_key]],tbl_products[[product_key]:[group_display_key]],2,FALSE),"")</f>
        <v/>
      </c>
    </row>
    <row r="4230" spans="8:8" x14ac:dyDescent="0.2">
      <c r="H4230" s="11" t="str">
        <f>IFERROR(VLOOKUP(tbl_product_scores[[#This Row],[product_key]],tbl_products[[product_key]:[group_display_key]],2,FALSE),"")</f>
        <v/>
      </c>
    </row>
    <row r="4231" spans="8:8" x14ac:dyDescent="0.2">
      <c r="H4231" s="11" t="str">
        <f>IFERROR(VLOOKUP(tbl_product_scores[[#This Row],[product_key]],tbl_products[[product_key]:[group_display_key]],2,FALSE),"")</f>
        <v/>
      </c>
    </row>
    <row r="4232" spans="8:8" x14ac:dyDescent="0.2">
      <c r="H4232" s="11" t="str">
        <f>IFERROR(VLOOKUP(tbl_product_scores[[#This Row],[product_key]],tbl_products[[product_key]:[group_display_key]],2,FALSE),"")</f>
        <v/>
      </c>
    </row>
    <row r="4233" spans="8:8" x14ac:dyDescent="0.2">
      <c r="H4233" s="11" t="str">
        <f>IFERROR(VLOOKUP(tbl_product_scores[[#This Row],[product_key]],tbl_products[[product_key]:[group_display_key]],2,FALSE),"")</f>
        <v/>
      </c>
    </row>
    <row r="4234" spans="8:8" x14ac:dyDescent="0.2">
      <c r="H4234" s="11" t="str">
        <f>IFERROR(VLOOKUP(tbl_product_scores[[#This Row],[product_key]],tbl_products[[product_key]:[group_display_key]],2,FALSE),"")</f>
        <v/>
      </c>
    </row>
    <row r="4235" spans="8:8" x14ac:dyDescent="0.2">
      <c r="H4235" s="11" t="str">
        <f>IFERROR(VLOOKUP(tbl_product_scores[[#This Row],[product_key]],tbl_products[[product_key]:[group_display_key]],2,FALSE),"")</f>
        <v/>
      </c>
    </row>
    <row r="4236" spans="8:8" x14ac:dyDescent="0.2">
      <c r="H4236" s="11" t="str">
        <f>IFERROR(VLOOKUP(tbl_product_scores[[#This Row],[product_key]],tbl_products[[product_key]:[group_display_key]],2,FALSE),"")</f>
        <v/>
      </c>
    </row>
    <row r="4237" spans="8:8" x14ac:dyDescent="0.2">
      <c r="H4237" s="11" t="str">
        <f>IFERROR(VLOOKUP(tbl_product_scores[[#This Row],[product_key]],tbl_products[[product_key]:[group_display_key]],2,FALSE),"")</f>
        <v/>
      </c>
    </row>
    <row r="4238" spans="8:8" x14ac:dyDescent="0.2">
      <c r="H4238" s="11" t="str">
        <f>IFERROR(VLOOKUP(tbl_product_scores[[#This Row],[product_key]],tbl_products[[product_key]:[group_display_key]],2,FALSE),"")</f>
        <v/>
      </c>
    </row>
    <row r="4239" spans="8:8" x14ac:dyDescent="0.2">
      <c r="H4239" s="11" t="str">
        <f>IFERROR(VLOOKUP(tbl_product_scores[[#This Row],[product_key]],tbl_products[[product_key]:[group_display_key]],2,FALSE),"")</f>
        <v/>
      </c>
    </row>
    <row r="4240" spans="8:8" x14ac:dyDescent="0.2">
      <c r="H4240" s="11" t="str">
        <f>IFERROR(VLOOKUP(tbl_product_scores[[#This Row],[product_key]],tbl_products[[product_key]:[group_display_key]],2,FALSE),"")</f>
        <v/>
      </c>
    </row>
    <row r="4241" spans="8:8" x14ac:dyDescent="0.2">
      <c r="H4241" s="11" t="str">
        <f>IFERROR(VLOOKUP(tbl_product_scores[[#This Row],[product_key]],tbl_products[[product_key]:[group_display_key]],2,FALSE),"")</f>
        <v/>
      </c>
    </row>
    <row r="4242" spans="8:8" x14ac:dyDescent="0.2">
      <c r="H4242" s="11" t="str">
        <f>IFERROR(VLOOKUP(tbl_product_scores[[#This Row],[product_key]],tbl_products[[product_key]:[group_display_key]],2,FALSE),"")</f>
        <v/>
      </c>
    </row>
    <row r="4243" spans="8:8" x14ac:dyDescent="0.2">
      <c r="H4243" s="11" t="str">
        <f>IFERROR(VLOOKUP(tbl_product_scores[[#This Row],[product_key]],tbl_products[[product_key]:[group_display_key]],2,FALSE),"")</f>
        <v/>
      </c>
    </row>
    <row r="4244" spans="8:8" x14ac:dyDescent="0.2">
      <c r="H4244" s="11" t="str">
        <f>IFERROR(VLOOKUP(tbl_product_scores[[#This Row],[product_key]],tbl_products[[product_key]:[group_display_key]],2,FALSE),"")</f>
        <v/>
      </c>
    </row>
    <row r="4245" spans="8:8" x14ac:dyDescent="0.2">
      <c r="H4245" s="11" t="str">
        <f>IFERROR(VLOOKUP(tbl_product_scores[[#This Row],[product_key]],tbl_products[[product_key]:[group_display_key]],2,FALSE),"")</f>
        <v/>
      </c>
    </row>
    <row r="4246" spans="8:8" x14ac:dyDescent="0.2">
      <c r="H4246" s="11" t="str">
        <f>IFERROR(VLOOKUP(tbl_product_scores[[#This Row],[product_key]],tbl_products[[product_key]:[group_display_key]],2,FALSE),"")</f>
        <v/>
      </c>
    </row>
    <row r="4247" spans="8:8" x14ac:dyDescent="0.2">
      <c r="H4247" s="11" t="str">
        <f>IFERROR(VLOOKUP(tbl_product_scores[[#This Row],[product_key]],tbl_products[[product_key]:[group_display_key]],2,FALSE),"")</f>
        <v/>
      </c>
    </row>
    <row r="4248" spans="8:8" x14ac:dyDescent="0.2">
      <c r="H4248" s="11" t="str">
        <f>IFERROR(VLOOKUP(tbl_product_scores[[#This Row],[product_key]],tbl_products[[product_key]:[group_display_key]],2,FALSE),"")</f>
        <v/>
      </c>
    </row>
    <row r="4249" spans="8:8" x14ac:dyDescent="0.2">
      <c r="H4249" s="11" t="str">
        <f>IFERROR(VLOOKUP(tbl_product_scores[[#This Row],[product_key]],tbl_products[[product_key]:[group_display_key]],2,FALSE),"")</f>
        <v/>
      </c>
    </row>
    <row r="4250" spans="8:8" x14ac:dyDescent="0.2">
      <c r="H4250" s="11" t="str">
        <f>IFERROR(VLOOKUP(tbl_product_scores[[#This Row],[product_key]],tbl_products[[product_key]:[group_display_key]],2,FALSE),"")</f>
        <v/>
      </c>
    </row>
    <row r="4251" spans="8:8" x14ac:dyDescent="0.2">
      <c r="H4251" s="11" t="str">
        <f>IFERROR(VLOOKUP(tbl_product_scores[[#This Row],[product_key]],tbl_products[[product_key]:[group_display_key]],2,FALSE),"")</f>
        <v/>
      </c>
    </row>
    <row r="4252" spans="8:8" x14ac:dyDescent="0.2">
      <c r="H4252" s="11" t="str">
        <f>IFERROR(VLOOKUP(tbl_product_scores[[#This Row],[product_key]],tbl_products[[product_key]:[group_display_key]],2,FALSE),"")</f>
        <v/>
      </c>
    </row>
    <row r="4253" spans="8:8" x14ac:dyDescent="0.2">
      <c r="H4253" s="11" t="str">
        <f>IFERROR(VLOOKUP(tbl_product_scores[[#This Row],[product_key]],tbl_products[[product_key]:[group_display_key]],2,FALSE),"")</f>
        <v/>
      </c>
    </row>
    <row r="4254" spans="8:8" x14ac:dyDescent="0.2">
      <c r="H4254" s="11" t="str">
        <f>IFERROR(VLOOKUP(tbl_product_scores[[#This Row],[product_key]],tbl_products[[product_key]:[group_display_key]],2,FALSE),"")</f>
        <v/>
      </c>
    </row>
    <row r="4255" spans="8:8" x14ac:dyDescent="0.2">
      <c r="H4255" s="11" t="str">
        <f>IFERROR(VLOOKUP(tbl_product_scores[[#This Row],[product_key]],tbl_products[[product_key]:[group_display_key]],2,FALSE),"")</f>
        <v/>
      </c>
    </row>
    <row r="4256" spans="8:8" x14ac:dyDescent="0.2">
      <c r="H4256" s="11" t="str">
        <f>IFERROR(VLOOKUP(tbl_product_scores[[#This Row],[product_key]],tbl_products[[product_key]:[group_display_key]],2,FALSE),"")</f>
        <v/>
      </c>
    </row>
    <row r="4257" spans="8:8" x14ac:dyDescent="0.2">
      <c r="H4257" s="11" t="str">
        <f>IFERROR(VLOOKUP(tbl_product_scores[[#This Row],[product_key]],tbl_products[[product_key]:[group_display_key]],2,FALSE),"")</f>
        <v/>
      </c>
    </row>
    <row r="4258" spans="8:8" x14ac:dyDescent="0.2">
      <c r="H4258" s="11" t="str">
        <f>IFERROR(VLOOKUP(tbl_product_scores[[#This Row],[product_key]],tbl_products[[product_key]:[group_display_key]],2,FALSE),"")</f>
        <v/>
      </c>
    </row>
    <row r="4259" spans="8:8" x14ac:dyDescent="0.2">
      <c r="H4259" s="11" t="str">
        <f>IFERROR(VLOOKUP(tbl_product_scores[[#This Row],[product_key]],tbl_products[[product_key]:[group_display_key]],2,FALSE),"")</f>
        <v/>
      </c>
    </row>
    <row r="4260" spans="8:8" x14ac:dyDescent="0.2">
      <c r="H4260" s="11" t="str">
        <f>IFERROR(VLOOKUP(tbl_product_scores[[#This Row],[product_key]],tbl_products[[product_key]:[group_display_key]],2,FALSE),"")</f>
        <v/>
      </c>
    </row>
    <row r="4261" spans="8:8" x14ac:dyDescent="0.2">
      <c r="H4261" s="11" t="str">
        <f>IFERROR(VLOOKUP(tbl_product_scores[[#This Row],[product_key]],tbl_products[[product_key]:[group_display_key]],2,FALSE),"")</f>
        <v/>
      </c>
    </row>
    <row r="4262" spans="8:8" x14ac:dyDescent="0.2">
      <c r="H4262" s="11" t="str">
        <f>IFERROR(VLOOKUP(tbl_product_scores[[#This Row],[product_key]],tbl_products[[product_key]:[group_display_key]],2,FALSE),"")</f>
        <v/>
      </c>
    </row>
    <row r="4263" spans="8:8" x14ac:dyDescent="0.2">
      <c r="H4263" s="11" t="str">
        <f>IFERROR(VLOOKUP(tbl_product_scores[[#This Row],[product_key]],tbl_products[[product_key]:[group_display_key]],2,FALSE),"")</f>
        <v/>
      </c>
    </row>
    <row r="4264" spans="8:8" x14ac:dyDescent="0.2">
      <c r="H4264" s="11" t="str">
        <f>IFERROR(VLOOKUP(tbl_product_scores[[#This Row],[product_key]],tbl_products[[product_key]:[group_display_key]],2,FALSE),"")</f>
        <v/>
      </c>
    </row>
    <row r="4265" spans="8:8" x14ac:dyDescent="0.2">
      <c r="H4265" s="11" t="str">
        <f>IFERROR(VLOOKUP(tbl_product_scores[[#This Row],[product_key]],tbl_products[[product_key]:[group_display_key]],2,FALSE),"")</f>
        <v/>
      </c>
    </row>
    <row r="4266" spans="8:8" x14ac:dyDescent="0.2">
      <c r="H4266" s="11" t="str">
        <f>IFERROR(VLOOKUP(tbl_product_scores[[#This Row],[product_key]],tbl_products[[product_key]:[group_display_key]],2,FALSE),"")</f>
        <v/>
      </c>
    </row>
    <row r="4267" spans="8:8" x14ac:dyDescent="0.2">
      <c r="H4267" s="11" t="str">
        <f>IFERROR(VLOOKUP(tbl_product_scores[[#This Row],[product_key]],tbl_products[[product_key]:[group_display_key]],2,FALSE),"")</f>
        <v/>
      </c>
    </row>
    <row r="4268" spans="8:8" x14ac:dyDescent="0.2">
      <c r="H4268" s="11" t="str">
        <f>IFERROR(VLOOKUP(tbl_product_scores[[#This Row],[product_key]],tbl_products[[product_key]:[group_display_key]],2,FALSE),"")</f>
        <v/>
      </c>
    </row>
    <row r="4269" spans="8:8" x14ac:dyDescent="0.2">
      <c r="H4269" s="11" t="str">
        <f>IFERROR(VLOOKUP(tbl_product_scores[[#This Row],[product_key]],tbl_products[[product_key]:[group_display_key]],2,FALSE),"")</f>
        <v/>
      </c>
    </row>
    <row r="4270" spans="8:8" x14ac:dyDescent="0.2">
      <c r="H4270" s="11" t="str">
        <f>IFERROR(VLOOKUP(tbl_product_scores[[#This Row],[product_key]],tbl_products[[product_key]:[group_display_key]],2,FALSE),"")</f>
        <v/>
      </c>
    </row>
    <row r="4271" spans="8:8" x14ac:dyDescent="0.2">
      <c r="H4271" s="11" t="str">
        <f>IFERROR(VLOOKUP(tbl_product_scores[[#This Row],[product_key]],tbl_products[[product_key]:[group_display_key]],2,FALSE),"")</f>
        <v/>
      </c>
    </row>
    <row r="4272" spans="8:8" x14ac:dyDescent="0.2">
      <c r="H4272" s="11" t="str">
        <f>IFERROR(VLOOKUP(tbl_product_scores[[#This Row],[product_key]],tbl_products[[product_key]:[group_display_key]],2,FALSE),"")</f>
        <v/>
      </c>
    </row>
    <row r="4273" spans="8:8" x14ac:dyDescent="0.2">
      <c r="H4273" s="11" t="str">
        <f>IFERROR(VLOOKUP(tbl_product_scores[[#This Row],[product_key]],tbl_products[[product_key]:[group_display_key]],2,FALSE),"")</f>
        <v/>
      </c>
    </row>
    <row r="4274" spans="8:8" x14ac:dyDescent="0.2">
      <c r="H4274" s="11" t="str">
        <f>IFERROR(VLOOKUP(tbl_product_scores[[#This Row],[product_key]],tbl_products[[product_key]:[group_display_key]],2,FALSE),"")</f>
        <v/>
      </c>
    </row>
    <row r="4275" spans="8:8" x14ac:dyDescent="0.2">
      <c r="H4275" s="11" t="str">
        <f>IFERROR(VLOOKUP(tbl_product_scores[[#This Row],[product_key]],tbl_products[[product_key]:[group_display_key]],2,FALSE),"")</f>
        <v/>
      </c>
    </row>
    <row r="4276" spans="8:8" x14ac:dyDescent="0.2">
      <c r="H4276" s="11" t="str">
        <f>IFERROR(VLOOKUP(tbl_product_scores[[#This Row],[product_key]],tbl_products[[product_key]:[group_display_key]],2,FALSE),"")</f>
        <v/>
      </c>
    </row>
    <row r="4277" spans="8:8" x14ac:dyDescent="0.2">
      <c r="H4277" s="11" t="str">
        <f>IFERROR(VLOOKUP(tbl_product_scores[[#This Row],[product_key]],tbl_products[[product_key]:[group_display_key]],2,FALSE),"")</f>
        <v/>
      </c>
    </row>
    <row r="4278" spans="8:8" x14ac:dyDescent="0.2">
      <c r="H4278" s="11" t="str">
        <f>IFERROR(VLOOKUP(tbl_product_scores[[#This Row],[product_key]],tbl_products[[product_key]:[group_display_key]],2,FALSE),"")</f>
        <v/>
      </c>
    </row>
    <row r="4279" spans="8:8" x14ac:dyDescent="0.2">
      <c r="H4279" s="11" t="str">
        <f>IFERROR(VLOOKUP(tbl_product_scores[[#This Row],[product_key]],tbl_products[[product_key]:[group_display_key]],2,FALSE),"")</f>
        <v/>
      </c>
    </row>
    <row r="4280" spans="8:8" x14ac:dyDescent="0.2">
      <c r="H4280" s="11" t="str">
        <f>IFERROR(VLOOKUP(tbl_product_scores[[#This Row],[product_key]],tbl_products[[product_key]:[group_display_key]],2,FALSE),"")</f>
        <v/>
      </c>
    </row>
    <row r="4281" spans="8:8" x14ac:dyDescent="0.2">
      <c r="H4281" s="11" t="str">
        <f>IFERROR(VLOOKUP(tbl_product_scores[[#This Row],[product_key]],tbl_products[[product_key]:[group_display_key]],2,FALSE),"")</f>
        <v/>
      </c>
    </row>
    <row r="4282" spans="8:8" x14ac:dyDescent="0.2">
      <c r="H4282" s="11" t="str">
        <f>IFERROR(VLOOKUP(tbl_product_scores[[#This Row],[product_key]],tbl_products[[product_key]:[group_display_key]],2,FALSE),"")</f>
        <v/>
      </c>
    </row>
    <row r="4283" spans="8:8" x14ac:dyDescent="0.2">
      <c r="H4283" s="11" t="str">
        <f>IFERROR(VLOOKUP(tbl_product_scores[[#This Row],[product_key]],tbl_products[[product_key]:[group_display_key]],2,FALSE),"")</f>
        <v/>
      </c>
    </row>
    <row r="4284" spans="8:8" x14ac:dyDescent="0.2">
      <c r="H4284" s="11" t="str">
        <f>IFERROR(VLOOKUP(tbl_product_scores[[#This Row],[product_key]],tbl_products[[product_key]:[group_display_key]],2,FALSE),"")</f>
        <v/>
      </c>
    </row>
    <row r="4285" spans="8:8" x14ac:dyDescent="0.2">
      <c r="H4285" s="11" t="str">
        <f>IFERROR(VLOOKUP(tbl_product_scores[[#This Row],[product_key]],tbl_products[[product_key]:[group_display_key]],2,FALSE),"")</f>
        <v/>
      </c>
    </row>
    <row r="4286" spans="8:8" x14ac:dyDescent="0.2">
      <c r="H4286" s="11" t="str">
        <f>IFERROR(VLOOKUP(tbl_product_scores[[#This Row],[product_key]],tbl_products[[product_key]:[group_display_key]],2,FALSE),"")</f>
        <v/>
      </c>
    </row>
    <row r="4287" spans="8:8" x14ac:dyDescent="0.2">
      <c r="H4287" s="11" t="str">
        <f>IFERROR(VLOOKUP(tbl_product_scores[[#This Row],[product_key]],tbl_products[[product_key]:[group_display_key]],2,FALSE),"")</f>
        <v/>
      </c>
    </row>
    <row r="4288" spans="8:8" x14ac:dyDescent="0.2">
      <c r="H4288" s="11" t="str">
        <f>IFERROR(VLOOKUP(tbl_product_scores[[#This Row],[product_key]],tbl_products[[product_key]:[group_display_key]],2,FALSE),"")</f>
        <v/>
      </c>
    </row>
    <row r="4289" spans="8:8" x14ac:dyDescent="0.2">
      <c r="H4289" s="11" t="str">
        <f>IFERROR(VLOOKUP(tbl_product_scores[[#This Row],[product_key]],tbl_products[[product_key]:[group_display_key]],2,FALSE),"")</f>
        <v/>
      </c>
    </row>
    <row r="4290" spans="8:8" x14ac:dyDescent="0.2">
      <c r="H4290" s="11" t="str">
        <f>IFERROR(VLOOKUP(tbl_product_scores[[#This Row],[product_key]],tbl_products[[product_key]:[group_display_key]],2,FALSE),"")</f>
        <v/>
      </c>
    </row>
    <row r="4291" spans="8:8" x14ac:dyDescent="0.2">
      <c r="H4291" s="11" t="str">
        <f>IFERROR(VLOOKUP(tbl_product_scores[[#This Row],[product_key]],tbl_products[[product_key]:[group_display_key]],2,FALSE),"")</f>
        <v/>
      </c>
    </row>
    <row r="4292" spans="8:8" x14ac:dyDescent="0.2">
      <c r="H4292" s="11" t="str">
        <f>IFERROR(VLOOKUP(tbl_product_scores[[#This Row],[product_key]],tbl_products[[product_key]:[group_display_key]],2,FALSE),"")</f>
        <v/>
      </c>
    </row>
    <row r="4293" spans="8:8" x14ac:dyDescent="0.2">
      <c r="H4293" s="11" t="str">
        <f>IFERROR(VLOOKUP(tbl_product_scores[[#This Row],[product_key]],tbl_products[[product_key]:[group_display_key]],2,FALSE),"")</f>
        <v/>
      </c>
    </row>
    <row r="4294" spans="8:8" x14ac:dyDescent="0.2">
      <c r="H4294" s="11" t="str">
        <f>IFERROR(VLOOKUP(tbl_product_scores[[#This Row],[product_key]],tbl_products[[product_key]:[group_display_key]],2,FALSE),"")</f>
        <v/>
      </c>
    </row>
    <row r="4295" spans="8:8" x14ac:dyDescent="0.2">
      <c r="H4295" s="11" t="str">
        <f>IFERROR(VLOOKUP(tbl_product_scores[[#This Row],[product_key]],tbl_products[[product_key]:[group_display_key]],2,FALSE),"")</f>
        <v/>
      </c>
    </row>
    <row r="4296" spans="8:8" x14ac:dyDescent="0.2">
      <c r="H4296" s="11" t="str">
        <f>IFERROR(VLOOKUP(tbl_product_scores[[#This Row],[product_key]],tbl_products[[product_key]:[group_display_key]],2,FALSE),"")</f>
        <v/>
      </c>
    </row>
    <row r="4297" spans="8:8" x14ac:dyDescent="0.2">
      <c r="H4297" s="11" t="str">
        <f>IFERROR(VLOOKUP(tbl_product_scores[[#This Row],[product_key]],tbl_products[[product_key]:[group_display_key]],2,FALSE),"")</f>
        <v/>
      </c>
    </row>
    <row r="4298" spans="8:8" x14ac:dyDescent="0.2">
      <c r="H4298" s="11" t="str">
        <f>IFERROR(VLOOKUP(tbl_product_scores[[#This Row],[product_key]],tbl_products[[product_key]:[group_display_key]],2,FALSE),"")</f>
        <v/>
      </c>
    </row>
    <row r="4299" spans="8:8" x14ac:dyDescent="0.2">
      <c r="H4299" s="11" t="str">
        <f>IFERROR(VLOOKUP(tbl_product_scores[[#This Row],[product_key]],tbl_products[[product_key]:[group_display_key]],2,FALSE),"")</f>
        <v/>
      </c>
    </row>
    <row r="4300" spans="8:8" x14ac:dyDescent="0.2">
      <c r="H4300" s="11" t="str">
        <f>IFERROR(VLOOKUP(tbl_product_scores[[#This Row],[product_key]],tbl_products[[product_key]:[group_display_key]],2,FALSE),"")</f>
        <v/>
      </c>
    </row>
    <row r="4301" spans="8:8" x14ac:dyDescent="0.2">
      <c r="H4301" s="11" t="str">
        <f>IFERROR(VLOOKUP(tbl_product_scores[[#This Row],[product_key]],tbl_products[[product_key]:[group_display_key]],2,FALSE),"")</f>
        <v/>
      </c>
    </row>
    <row r="4302" spans="8:8" x14ac:dyDescent="0.2">
      <c r="H4302" s="11" t="str">
        <f>IFERROR(VLOOKUP(tbl_product_scores[[#This Row],[product_key]],tbl_products[[product_key]:[group_display_key]],2,FALSE),"")</f>
        <v/>
      </c>
    </row>
    <row r="4303" spans="8:8" x14ac:dyDescent="0.2">
      <c r="H4303" s="11" t="str">
        <f>IFERROR(VLOOKUP(tbl_product_scores[[#This Row],[product_key]],tbl_products[[product_key]:[group_display_key]],2,FALSE),"")</f>
        <v/>
      </c>
    </row>
    <row r="4304" spans="8:8" x14ac:dyDescent="0.2">
      <c r="H4304" s="11" t="str">
        <f>IFERROR(VLOOKUP(tbl_product_scores[[#This Row],[product_key]],tbl_products[[product_key]:[group_display_key]],2,FALSE),"")</f>
        <v/>
      </c>
    </row>
    <row r="4305" spans="8:8" x14ac:dyDescent="0.2">
      <c r="H4305" s="11" t="str">
        <f>IFERROR(VLOOKUP(tbl_product_scores[[#This Row],[product_key]],tbl_products[[product_key]:[group_display_key]],2,FALSE),"")</f>
        <v/>
      </c>
    </row>
    <row r="4306" spans="8:8" x14ac:dyDescent="0.2">
      <c r="H4306" s="11" t="str">
        <f>IFERROR(VLOOKUP(tbl_product_scores[[#This Row],[product_key]],tbl_products[[product_key]:[group_display_key]],2,FALSE),"")</f>
        <v/>
      </c>
    </row>
    <row r="4307" spans="8:8" x14ac:dyDescent="0.2">
      <c r="H4307" s="11" t="str">
        <f>IFERROR(VLOOKUP(tbl_product_scores[[#This Row],[product_key]],tbl_products[[product_key]:[group_display_key]],2,FALSE),"")</f>
        <v/>
      </c>
    </row>
    <row r="4308" spans="8:8" x14ac:dyDescent="0.2">
      <c r="H4308" s="11" t="str">
        <f>IFERROR(VLOOKUP(tbl_product_scores[[#This Row],[product_key]],tbl_products[[product_key]:[group_display_key]],2,FALSE),"")</f>
        <v/>
      </c>
    </row>
    <row r="4309" spans="8:8" x14ac:dyDescent="0.2">
      <c r="H4309" s="11" t="str">
        <f>IFERROR(VLOOKUP(tbl_product_scores[[#This Row],[product_key]],tbl_products[[product_key]:[group_display_key]],2,FALSE),"")</f>
        <v/>
      </c>
    </row>
    <row r="4310" spans="8:8" x14ac:dyDescent="0.2">
      <c r="H4310" s="11" t="str">
        <f>IFERROR(VLOOKUP(tbl_product_scores[[#This Row],[product_key]],tbl_products[[product_key]:[group_display_key]],2,FALSE),"")</f>
        <v/>
      </c>
    </row>
    <row r="4311" spans="8:8" x14ac:dyDescent="0.2">
      <c r="H4311" s="11" t="str">
        <f>IFERROR(VLOOKUP(tbl_product_scores[[#This Row],[product_key]],tbl_products[[product_key]:[group_display_key]],2,FALSE),"")</f>
        <v/>
      </c>
    </row>
    <row r="4312" spans="8:8" x14ac:dyDescent="0.2">
      <c r="H4312" s="11" t="str">
        <f>IFERROR(VLOOKUP(tbl_product_scores[[#This Row],[product_key]],tbl_products[[product_key]:[group_display_key]],2,FALSE),"")</f>
        <v/>
      </c>
    </row>
    <row r="4313" spans="8:8" x14ac:dyDescent="0.2">
      <c r="H4313" s="11" t="str">
        <f>IFERROR(VLOOKUP(tbl_product_scores[[#This Row],[product_key]],tbl_products[[product_key]:[group_display_key]],2,FALSE),"")</f>
        <v/>
      </c>
    </row>
    <row r="4314" spans="8:8" x14ac:dyDescent="0.2">
      <c r="H4314" s="11" t="str">
        <f>IFERROR(VLOOKUP(tbl_product_scores[[#This Row],[product_key]],tbl_products[[product_key]:[group_display_key]],2,FALSE),"")</f>
        <v/>
      </c>
    </row>
    <row r="4315" spans="8:8" x14ac:dyDescent="0.2">
      <c r="H4315" s="11" t="str">
        <f>IFERROR(VLOOKUP(tbl_product_scores[[#This Row],[product_key]],tbl_products[[product_key]:[group_display_key]],2,FALSE),"")</f>
        <v/>
      </c>
    </row>
    <row r="4316" spans="8:8" x14ac:dyDescent="0.2">
      <c r="H4316" s="11" t="str">
        <f>IFERROR(VLOOKUP(tbl_product_scores[[#This Row],[product_key]],tbl_products[[product_key]:[group_display_key]],2,FALSE),"")</f>
        <v/>
      </c>
    </row>
    <row r="4317" spans="8:8" x14ac:dyDescent="0.2">
      <c r="H4317" s="11" t="str">
        <f>IFERROR(VLOOKUP(tbl_product_scores[[#This Row],[product_key]],tbl_products[[product_key]:[group_display_key]],2,FALSE),"")</f>
        <v/>
      </c>
    </row>
    <row r="4318" spans="8:8" x14ac:dyDescent="0.2">
      <c r="H4318" s="11" t="str">
        <f>IFERROR(VLOOKUP(tbl_product_scores[[#This Row],[product_key]],tbl_products[[product_key]:[group_display_key]],2,FALSE),"")</f>
        <v/>
      </c>
    </row>
    <row r="4319" spans="8:8" x14ac:dyDescent="0.2">
      <c r="H4319" s="11" t="str">
        <f>IFERROR(VLOOKUP(tbl_product_scores[[#This Row],[product_key]],tbl_products[[product_key]:[group_display_key]],2,FALSE),"")</f>
        <v/>
      </c>
    </row>
    <row r="4320" spans="8:8" x14ac:dyDescent="0.2">
      <c r="H4320" s="11" t="str">
        <f>IFERROR(VLOOKUP(tbl_product_scores[[#This Row],[product_key]],tbl_products[[product_key]:[group_display_key]],2,FALSE),"")</f>
        <v/>
      </c>
    </row>
    <row r="4321" spans="8:8" x14ac:dyDescent="0.2">
      <c r="H4321" s="11" t="str">
        <f>IFERROR(VLOOKUP(tbl_product_scores[[#This Row],[product_key]],tbl_products[[product_key]:[group_display_key]],2,FALSE),"")</f>
        <v/>
      </c>
    </row>
    <row r="4322" spans="8:8" x14ac:dyDescent="0.2">
      <c r="H4322" s="11" t="str">
        <f>IFERROR(VLOOKUP(tbl_product_scores[[#This Row],[product_key]],tbl_products[[product_key]:[group_display_key]],2,FALSE),"")</f>
        <v/>
      </c>
    </row>
    <row r="4323" spans="8:8" x14ac:dyDescent="0.2">
      <c r="H4323" s="11" t="str">
        <f>IFERROR(VLOOKUP(tbl_product_scores[[#This Row],[product_key]],tbl_products[[product_key]:[group_display_key]],2,FALSE),"")</f>
        <v/>
      </c>
    </row>
    <row r="4324" spans="8:8" x14ac:dyDescent="0.2">
      <c r="H4324" s="11" t="str">
        <f>IFERROR(VLOOKUP(tbl_product_scores[[#This Row],[product_key]],tbl_products[[product_key]:[group_display_key]],2,FALSE),"")</f>
        <v/>
      </c>
    </row>
    <row r="4325" spans="8:8" x14ac:dyDescent="0.2">
      <c r="H4325" s="11" t="str">
        <f>IFERROR(VLOOKUP(tbl_product_scores[[#This Row],[product_key]],tbl_products[[product_key]:[group_display_key]],2,FALSE),"")</f>
        <v/>
      </c>
    </row>
    <row r="4326" spans="8:8" x14ac:dyDescent="0.2">
      <c r="H4326" s="11" t="str">
        <f>IFERROR(VLOOKUP(tbl_product_scores[[#This Row],[product_key]],tbl_products[[product_key]:[group_display_key]],2,FALSE),"")</f>
        <v/>
      </c>
    </row>
    <row r="4327" spans="8:8" x14ac:dyDescent="0.2">
      <c r="H4327" s="11" t="str">
        <f>IFERROR(VLOOKUP(tbl_product_scores[[#This Row],[product_key]],tbl_products[[product_key]:[group_display_key]],2,FALSE),"")</f>
        <v/>
      </c>
    </row>
    <row r="4328" spans="8:8" x14ac:dyDescent="0.2">
      <c r="H4328" s="11" t="str">
        <f>IFERROR(VLOOKUP(tbl_product_scores[[#This Row],[product_key]],tbl_products[[product_key]:[group_display_key]],2,FALSE),"")</f>
        <v/>
      </c>
    </row>
    <row r="4329" spans="8:8" x14ac:dyDescent="0.2">
      <c r="H4329" s="11" t="str">
        <f>IFERROR(VLOOKUP(tbl_product_scores[[#This Row],[product_key]],tbl_products[[product_key]:[group_display_key]],2,FALSE),"")</f>
        <v/>
      </c>
    </row>
    <row r="4330" spans="8:8" x14ac:dyDescent="0.2">
      <c r="H4330" s="11" t="str">
        <f>IFERROR(VLOOKUP(tbl_product_scores[[#This Row],[product_key]],tbl_products[[product_key]:[group_display_key]],2,FALSE),"")</f>
        <v/>
      </c>
    </row>
    <row r="4331" spans="8:8" x14ac:dyDescent="0.2">
      <c r="H4331" s="11" t="str">
        <f>IFERROR(VLOOKUP(tbl_product_scores[[#This Row],[product_key]],tbl_products[[product_key]:[group_display_key]],2,FALSE),"")</f>
        <v/>
      </c>
    </row>
    <row r="4332" spans="8:8" x14ac:dyDescent="0.2">
      <c r="H4332" s="11" t="str">
        <f>IFERROR(VLOOKUP(tbl_product_scores[[#This Row],[product_key]],tbl_products[[product_key]:[group_display_key]],2,FALSE),"")</f>
        <v/>
      </c>
    </row>
    <row r="4333" spans="8:8" x14ac:dyDescent="0.2">
      <c r="H4333" s="11" t="str">
        <f>IFERROR(VLOOKUP(tbl_product_scores[[#This Row],[product_key]],tbl_products[[product_key]:[group_display_key]],2,FALSE),"")</f>
        <v/>
      </c>
    </row>
    <row r="4334" spans="8:8" x14ac:dyDescent="0.2">
      <c r="H4334" s="11" t="str">
        <f>IFERROR(VLOOKUP(tbl_product_scores[[#This Row],[product_key]],tbl_products[[product_key]:[group_display_key]],2,FALSE),"")</f>
        <v/>
      </c>
    </row>
    <row r="4335" spans="8:8" x14ac:dyDescent="0.2">
      <c r="H4335" s="11" t="str">
        <f>IFERROR(VLOOKUP(tbl_product_scores[[#This Row],[product_key]],tbl_products[[product_key]:[group_display_key]],2,FALSE),"")</f>
        <v/>
      </c>
    </row>
    <row r="4336" spans="8:8" x14ac:dyDescent="0.2">
      <c r="H4336" s="11" t="str">
        <f>IFERROR(VLOOKUP(tbl_product_scores[[#This Row],[product_key]],tbl_products[[product_key]:[group_display_key]],2,FALSE),"")</f>
        <v/>
      </c>
    </row>
    <row r="4337" spans="8:8" x14ac:dyDescent="0.2">
      <c r="H4337" s="11" t="str">
        <f>IFERROR(VLOOKUP(tbl_product_scores[[#This Row],[product_key]],tbl_products[[product_key]:[group_display_key]],2,FALSE),"")</f>
        <v/>
      </c>
    </row>
    <row r="4338" spans="8:8" x14ac:dyDescent="0.2">
      <c r="H4338" s="11" t="str">
        <f>IFERROR(VLOOKUP(tbl_product_scores[[#This Row],[product_key]],tbl_products[[product_key]:[group_display_key]],2,FALSE),"")</f>
        <v/>
      </c>
    </row>
    <row r="4339" spans="8:8" x14ac:dyDescent="0.2">
      <c r="H4339" s="11" t="str">
        <f>IFERROR(VLOOKUP(tbl_product_scores[[#This Row],[product_key]],tbl_products[[product_key]:[group_display_key]],2,FALSE),"")</f>
        <v/>
      </c>
    </row>
    <row r="4340" spans="8:8" x14ac:dyDescent="0.2">
      <c r="H4340" s="11" t="str">
        <f>IFERROR(VLOOKUP(tbl_product_scores[[#This Row],[product_key]],tbl_products[[product_key]:[group_display_key]],2,FALSE),"")</f>
        <v/>
      </c>
    </row>
    <row r="4341" spans="8:8" x14ac:dyDescent="0.2">
      <c r="H4341" s="11" t="str">
        <f>IFERROR(VLOOKUP(tbl_product_scores[[#This Row],[product_key]],tbl_products[[product_key]:[group_display_key]],2,FALSE),"")</f>
        <v/>
      </c>
    </row>
    <row r="4342" spans="8:8" x14ac:dyDescent="0.2">
      <c r="H4342" s="11" t="str">
        <f>IFERROR(VLOOKUP(tbl_product_scores[[#This Row],[product_key]],tbl_products[[product_key]:[group_display_key]],2,FALSE),"")</f>
        <v/>
      </c>
    </row>
    <row r="4343" spans="8:8" x14ac:dyDescent="0.2">
      <c r="H4343" s="11" t="str">
        <f>IFERROR(VLOOKUP(tbl_product_scores[[#This Row],[product_key]],tbl_products[[product_key]:[group_display_key]],2,FALSE),"")</f>
        <v/>
      </c>
    </row>
    <row r="4344" spans="8:8" x14ac:dyDescent="0.2">
      <c r="H4344" s="11" t="str">
        <f>IFERROR(VLOOKUP(tbl_product_scores[[#This Row],[product_key]],tbl_products[[product_key]:[group_display_key]],2,FALSE),"")</f>
        <v/>
      </c>
    </row>
    <row r="4345" spans="8:8" x14ac:dyDescent="0.2">
      <c r="H4345" s="11" t="str">
        <f>IFERROR(VLOOKUP(tbl_product_scores[[#This Row],[product_key]],tbl_products[[product_key]:[group_display_key]],2,FALSE),"")</f>
        <v/>
      </c>
    </row>
    <row r="4346" spans="8:8" x14ac:dyDescent="0.2">
      <c r="H4346" s="11" t="str">
        <f>IFERROR(VLOOKUP(tbl_product_scores[[#This Row],[product_key]],tbl_products[[product_key]:[group_display_key]],2,FALSE),"")</f>
        <v/>
      </c>
    </row>
    <row r="4347" spans="8:8" x14ac:dyDescent="0.2">
      <c r="H4347" s="11" t="str">
        <f>IFERROR(VLOOKUP(tbl_product_scores[[#This Row],[product_key]],tbl_products[[product_key]:[group_display_key]],2,FALSE),"")</f>
        <v/>
      </c>
    </row>
    <row r="4348" spans="8:8" x14ac:dyDescent="0.2">
      <c r="H4348" s="11" t="str">
        <f>IFERROR(VLOOKUP(tbl_product_scores[[#This Row],[product_key]],tbl_products[[product_key]:[group_display_key]],2,FALSE),"")</f>
        <v/>
      </c>
    </row>
    <row r="4349" spans="8:8" x14ac:dyDescent="0.2">
      <c r="H4349" s="11" t="str">
        <f>IFERROR(VLOOKUP(tbl_product_scores[[#This Row],[product_key]],tbl_products[[product_key]:[group_display_key]],2,FALSE),"")</f>
        <v/>
      </c>
    </row>
    <row r="4350" spans="8:8" x14ac:dyDescent="0.2">
      <c r="H4350" s="11" t="str">
        <f>IFERROR(VLOOKUP(tbl_product_scores[[#This Row],[product_key]],tbl_products[[product_key]:[group_display_key]],2,FALSE),"")</f>
        <v/>
      </c>
    </row>
    <row r="4351" spans="8:8" x14ac:dyDescent="0.2">
      <c r="H4351" s="11" t="str">
        <f>IFERROR(VLOOKUP(tbl_product_scores[[#This Row],[product_key]],tbl_products[[product_key]:[group_display_key]],2,FALSE),"")</f>
        <v/>
      </c>
    </row>
    <row r="4352" spans="8:8" x14ac:dyDescent="0.2">
      <c r="H4352" s="11" t="str">
        <f>IFERROR(VLOOKUP(tbl_product_scores[[#This Row],[product_key]],tbl_products[[product_key]:[group_display_key]],2,FALSE),"")</f>
        <v/>
      </c>
    </row>
    <row r="4353" spans="8:8" x14ac:dyDescent="0.2">
      <c r="H4353" s="11" t="str">
        <f>IFERROR(VLOOKUP(tbl_product_scores[[#This Row],[product_key]],tbl_products[[product_key]:[group_display_key]],2,FALSE),"")</f>
        <v/>
      </c>
    </row>
    <row r="4354" spans="8:8" x14ac:dyDescent="0.2">
      <c r="H4354" s="11" t="str">
        <f>IFERROR(VLOOKUP(tbl_product_scores[[#This Row],[product_key]],tbl_products[[product_key]:[group_display_key]],2,FALSE),"")</f>
        <v/>
      </c>
    </row>
    <row r="4355" spans="8:8" x14ac:dyDescent="0.2">
      <c r="H4355" s="11" t="str">
        <f>IFERROR(VLOOKUP(tbl_product_scores[[#This Row],[product_key]],tbl_products[[product_key]:[group_display_key]],2,FALSE),"")</f>
        <v/>
      </c>
    </row>
    <row r="4356" spans="8:8" x14ac:dyDescent="0.2">
      <c r="H4356" s="11" t="str">
        <f>IFERROR(VLOOKUP(tbl_product_scores[[#This Row],[product_key]],tbl_products[[product_key]:[group_display_key]],2,FALSE),"")</f>
        <v/>
      </c>
    </row>
    <row r="4357" spans="8:8" x14ac:dyDescent="0.2">
      <c r="H4357" s="11" t="str">
        <f>IFERROR(VLOOKUP(tbl_product_scores[[#This Row],[product_key]],tbl_products[[product_key]:[group_display_key]],2,FALSE),"")</f>
        <v/>
      </c>
    </row>
    <row r="4358" spans="8:8" x14ac:dyDescent="0.2">
      <c r="H4358" s="11" t="str">
        <f>IFERROR(VLOOKUP(tbl_product_scores[[#This Row],[product_key]],tbl_products[[product_key]:[group_display_key]],2,FALSE),"")</f>
        <v/>
      </c>
    </row>
    <row r="4359" spans="8:8" x14ac:dyDescent="0.2">
      <c r="H4359" s="11" t="str">
        <f>IFERROR(VLOOKUP(tbl_product_scores[[#This Row],[product_key]],tbl_products[[product_key]:[group_display_key]],2,FALSE),"")</f>
        <v/>
      </c>
    </row>
    <row r="4360" spans="8:8" x14ac:dyDescent="0.2">
      <c r="H4360" s="11" t="str">
        <f>IFERROR(VLOOKUP(tbl_product_scores[[#This Row],[product_key]],tbl_products[[product_key]:[group_display_key]],2,FALSE),"")</f>
        <v/>
      </c>
    </row>
    <row r="4361" spans="8:8" x14ac:dyDescent="0.2">
      <c r="H4361" s="11" t="str">
        <f>IFERROR(VLOOKUP(tbl_product_scores[[#This Row],[product_key]],tbl_products[[product_key]:[group_display_key]],2,FALSE),"")</f>
        <v/>
      </c>
    </row>
    <row r="4362" spans="8:8" x14ac:dyDescent="0.2">
      <c r="H4362" s="11" t="str">
        <f>IFERROR(VLOOKUP(tbl_product_scores[[#This Row],[product_key]],tbl_products[[product_key]:[group_display_key]],2,FALSE),"")</f>
        <v/>
      </c>
    </row>
    <row r="4363" spans="8:8" x14ac:dyDescent="0.2">
      <c r="H4363" s="11" t="str">
        <f>IFERROR(VLOOKUP(tbl_product_scores[[#This Row],[product_key]],tbl_products[[product_key]:[group_display_key]],2,FALSE),"")</f>
        <v/>
      </c>
    </row>
    <row r="4364" spans="8:8" x14ac:dyDescent="0.2">
      <c r="H4364" s="11" t="str">
        <f>IFERROR(VLOOKUP(tbl_product_scores[[#This Row],[product_key]],tbl_products[[product_key]:[group_display_key]],2,FALSE),"")</f>
        <v/>
      </c>
    </row>
    <row r="4365" spans="8:8" x14ac:dyDescent="0.2">
      <c r="H4365" s="11" t="str">
        <f>IFERROR(VLOOKUP(tbl_product_scores[[#This Row],[product_key]],tbl_products[[product_key]:[group_display_key]],2,FALSE),"")</f>
        <v/>
      </c>
    </row>
    <row r="4366" spans="8:8" x14ac:dyDescent="0.2">
      <c r="H4366" s="11" t="str">
        <f>IFERROR(VLOOKUP(tbl_product_scores[[#This Row],[product_key]],tbl_products[[product_key]:[group_display_key]],2,FALSE),"")</f>
        <v/>
      </c>
    </row>
    <row r="4367" spans="8:8" x14ac:dyDescent="0.2">
      <c r="H4367" s="11" t="str">
        <f>IFERROR(VLOOKUP(tbl_product_scores[[#This Row],[product_key]],tbl_products[[product_key]:[group_display_key]],2,FALSE),"")</f>
        <v/>
      </c>
    </row>
    <row r="4368" spans="8:8" x14ac:dyDescent="0.2">
      <c r="H4368" s="11" t="str">
        <f>IFERROR(VLOOKUP(tbl_product_scores[[#This Row],[product_key]],tbl_products[[product_key]:[group_display_key]],2,FALSE),"")</f>
        <v/>
      </c>
    </row>
    <row r="4369" spans="8:8" x14ac:dyDescent="0.2">
      <c r="H4369" s="11" t="str">
        <f>IFERROR(VLOOKUP(tbl_product_scores[[#This Row],[product_key]],tbl_products[[product_key]:[group_display_key]],2,FALSE),"")</f>
        <v/>
      </c>
    </row>
    <row r="4370" spans="8:8" x14ac:dyDescent="0.2">
      <c r="H4370" s="11" t="str">
        <f>IFERROR(VLOOKUP(tbl_product_scores[[#This Row],[product_key]],tbl_products[[product_key]:[group_display_key]],2,FALSE),"")</f>
        <v/>
      </c>
    </row>
    <row r="4371" spans="8:8" x14ac:dyDescent="0.2">
      <c r="H4371" s="11" t="str">
        <f>IFERROR(VLOOKUP(tbl_product_scores[[#This Row],[product_key]],tbl_products[[product_key]:[group_display_key]],2,FALSE),"")</f>
        <v/>
      </c>
    </row>
    <row r="4372" spans="8:8" x14ac:dyDescent="0.2">
      <c r="H4372" s="11" t="str">
        <f>IFERROR(VLOOKUP(tbl_product_scores[[#This Row],[product_key]],tbl_products[[product_key]:[group_display_key]],2,FALSE),"")</f>
        <v/>
      </c>
    </row>
    <row r="4373" spans="8:8" x14ac:dyDescent="0.2">
      <c r="H4373" s="11" t="str">
        <f>IFERROR(VLOOKUP(tbl_product_scores[[#This Row],[product_key]],tbl_products[[product_key]:[group_display_key]],2,FALSE),"")</f>
        <v/>
      </c>
    </row>
    <row r="4374" spans="8:8" x14ac:dyDescent="0.2">
      <c r="H4374" s="11" t="str">
        <f>IFERROR(VLOOKUP(tbl_product_scores[[#This Row],[product_key]],tbl_products[[product_key]:[group_display_key]],2,FALSE),"")</f>
        <v/>
      </c>
    </row>
    <row r="4375" spans="8:8" x14ac:dyDescent="0.2">
      <c r="H4375" s="11" t="str">
        <f>IFERROR(VLOOKUP(tbl_product_scores[[#This Row],[product_key]],tbl_products[[product_key]:[group_display_key]],2,FALSE),"")</f>
        <v/>
      </c>
    </row>
    <row r="4376" spans="8:8" x14ac:dyDescent="0.2">
      <c r="H4376" s="11" t="str">
        <f>IFERROR(VLOOKUP(tbl_product_scores[[#This Row],[product_key]],tbl_products[[product_key]:[group_display_key]],2,FALSE),"")</f>
        <v/>
      </c>
    </row>
    <row r="4377" spans="8:8" x14ac:dyDescent="0.2">
      <c r="H4377" s="11" t="str">
        <f>IFERROR(VLOOKUP(tbl_product_scores[[#This Row],[product_key]],tbl_products[[product_key]:[group_display_key]],2,FALSE),"")</f>
        <v/>
      </c>
    </row>
    <row r="4378" spans="8:8" x14ac:dyDescent="0.2">
      <c r="H4378" s="11" t="str">
        <f>IFERROR(VLOOKUP(tbl_product_scores[[#This Row],[product_key]],tbl_products[[product_key]:[group_display_key]],2,FALSE),"")</f>
        <v/>
      </c>
    </row>
    <row r="4379" spans="8:8" x14ac:dyDescent="0.2">
      <c r="H4379" s="11" t="str">
        <f>IFERROR(VLOOKUP(tbl_product_scores[[#This Row],[product_key]],tbl_products[[product_key]:[group_display_key]],2,FALSE),"")</f>
        <v/>
      </c>
    </row>
    <row r="4380" spans="8:8" x14ac:dyDescent="0.2">
      <c r="H4380" s="11" t="str">
        <f>IFERROR(VLOOKUP(tbl_product_scores[[#This Row],[product_key]],tbl_products[[product_key]:[group_display_key]],2,FALSE),"")</f>
        <v/>
      </c>
    </row>
    <row r="4381" spans="8:8" x14ac:dyDescent="0.2">
      <c r="H4381" s="11" t="str">
        <f>IFERROR(VLOOKUP(tbl_product_scores[[#This Row],[product_key]],tbl_products[[product_key]:[group_display_key]],2,FALSE),"")</f>
        <v/>
      </c>
    </row>
    <row r="4382" spans="8:8" x14ac:dyDescent="0.2">
      <c r="H4382" s="11" t="str">
        <f>IFERROR(VLOOKUP(tbl_product_scores[[#This Row],[product_key]],tbl_products[[product_key]:[group_display_key]],2,FALSE),"")</f>
        <v/>
      </c>
    </row>
    <row r="4383" spans="8:8" x14ac:dyDescent="0.2">
      <c r="H4383" s="11" t="str">
        <f>IFERROR(VLOOKUP(tbl_product_scores[[#This Row],[product_key]],tbl_products[[product_key]:[group_display_key]],2,FALSE),"")</f>
        <v/>
      </c>
    </row>
    <row r="4384" spans="8:8" x14ac:dyDescent="0.2">
      <c r="H4384" s="11" t="str">
        <f>IFERROR(VLOOKUP(tbl_product_scores[[#This Row],[product_key]],tbl_products[[product_key]:[group_display_key]],2,FALSE),"")</f>
        <v/>
      </c>
    </row>
    <row r="4385" spans="8:8" x14ac:dyDescent="0.2">
      <c r="H4385" s="11" t="str">
        <f>IFERROR(VLOOKUP(tbl_product_scores[[#This Row],[product_key]],tbl_products[[product_key]:[group_display_key]],2,FALSE),"")</f>
        <v/>
      </c>
    </row>
    <row r="4386" spans="8:8" x14ac:dyDescent="0.2">
      <c r="H4386" s="11" t="str">
        <f>IFERROR(VLOOKUP(tbl_product_scores[[#This Row],[product_key]],tbl_products[[product_key]:[group_display_key]],2,FALSE),"")</f>
        <v/>
      </c>
    </row>
    <row r="4387" spans="8:8" x14ac:dyDescent="0.2">
      <c r="H4387" s="11" t="str">
        <f>IFERROR(VLOOKUP(tbl_product_scores[[#This Row],[product_key]],tbl_products[[product_key]:[group_display_key]],2,FALSE),"")</f>
        <v/>
      </c>
    </row>
    <row r="4388" spans="8:8" x14ac:dyDescent="0.2">
      <c r="H4388" s="11" t="str">
        <f>IFERROR(VLOOKUP(tbl_product_scores[[#This Row],[product_key]],tbl_products[[product_key]:[group_display_key]],2,FALSE),"")</f>
        <v/>
      </c>
    </row>
    <row r="4389" spans="8:8" x14ac:dyDescent="0.2">
      <c r="H4389" s="11" t="str">
        <f>IFERROR(VLOOKUP(tbl_product_scores[[#This Row],[product_key]],tbl_products[[product_key]:[group_display_key]],2,FALSE),"")</f>
        <v/>
      </c>
    </row>
    <row r="4390" spans="8:8" x14ac:dyDescent="0.2">
      <c r="H4390" s="11" t="str">
        <f>IFERROR(VLOOKUP(tbl_product_scores[[#This Row],[product_key]],tbl_products[[product_key]:[group_display_key]],2,FALSE),"")</f>
        <v/>
      </c>
    </row>
    <row r="4391" spans="8:8" x14ac:dyDescent="0.2">
      <c r="H4391" s="11" t="str">
        <f>IFERROR(VLOOKUP(tbl_product_scores[[#This Row],[product_key]],tbl_products[[product_key]:[group_display_key]],2,FALSE),"")</f>
        <v/>
      </c>
    </row>
    <row r="4392" spans="8:8" x14ac:dyDescent="0.2">
      <c r="H4392" s="11" t="str">
        <f>IFERROR(VLOOKUP(tbl_product_scores[[#This Row],[product_key]],tbl_products[[product_key]:[group_display_key]],2,FALSE),"")</f>
        <v/>
      </c>
    </row>
    <row r="4393" spans="8:8" x14ac:dyDescent="0.2">
      <c r="H4393" s="11" t="str">
        <f>IFERROR(VLOOKUP(tbl_product_scores[[#This Row],[product_key]],tbl_products[[product_key]:[group_display_key]],2,FALSE),"")</f>
        <v/>
      </c>
    </row>
    <row r="4394" spans="8:8" x14ac:dyDescent="0.2">
      <c r="H4394" s="11" t="str">
        <f>IFERROR(VLOOKUP(tbl_product_scores[[#This Row],[product_key]],tbl_products[[product_key]:[group_display_key]],2,FALSE),"")</f>
        <v/>
      </c>
    </row>
    <row r="4395" spans="8:8" x14ac:dyDescent="0.2">
      <c r="H4395" s="11" t="str">
        <f>IFERROR(VLOOKUP(tbl_product_scores[[#This Row],[product_key]],tbl_products[[product_key]:[group_display_key]],2,FALSE),"")</f>
        <v/>
      </c>
    </row>
    <row r="4396" spans="8:8" x14ac:dyDescent="0.2">
      <c r="H4396" s="11" t="str">
        <f>IFERROR(VLOOKUP(tbl_product_scores[[#This Row],[product_key]],tbl_products[[product_key]:[group_display_key]],2,FALSE),"")</f>
        <v/>
      </c>
    </row>
    <row r="4397" spans="8:8" x14ac:dyDescent="0.2">
      <c r="H4397" s="11" t="str">
        <f>IFERROR(VLOOKUP(tbl_product_scores[[#This Row],[product_key]],tbl_products[[product_key]:[group_display_key]],2,FALSE),"")</f>
        <v/>
      </c>
    </row>
    <row r="4398" spans="8:8" x14ac:dyDescent="0.2">
      <c r="H4398" s="11" t="str">
        <f>IFERROR(VLOOKUP(tbl_product_scores[[#This Row],[product_key]],tbl_products[[product_key]:[group_display_key]],2,FALSE),"")</f>
        <v/>
      </c>
    </row>
    <row r="4399" spans="8:8" x14ac:dyDescent="0.2">
      <c r="H4399" s="11" t="str">
        <f>IFERROR(VLOOKUP(tbl_product_scores[[#This Row],[product_key]],tbl_products[[product_key]:[group_display_key]],2,FALSE),"")</f>
        <v/>
      </c>
    </row>
    <row r="4400" spans="8:8" x14ac:dyDescent="0.2">
      <c r="H4400" s="11" t="str">
        <f>IFERROR(VLOOKUP(tbl_product_scores[[#This Row],[product_key]],tbl_products[[product_key]:[group_display_key]],2,FALSE),"")</f>
        <v/>
      </c>
    </row>
    <row r="4401" spans="8:8" x14ac:dyDescent="0.2">
      <c r="H4401" s="11" t="str">
        <f>IFERROR(VLOOKUP(tbl_product_scores[[#This Row],[product_key]],tbl_products[[product_key]:[group_display_key]],2,FALSE),"")</f>
        <v/>
      </c>
    </row>
    <row r="4402" spans="8:8" x14ac:dyDescent="0.2">
      <c r="H4402" s="11" t="str">
        <f>IFERROR(VLOOKUP(tbl_product_scores[[#This Row],[product_key]],tbl_products[[product_key]:[group_display_key]],2,FALSE),"")</f>
        <v/>
      </c>
    </row>
    <row r="4403" spans="8:8" x14ac:dyDescent="0.2">
      <c r="H4403" s="11" t="str">
        <f>IFERROR(VLOOKUP(tbl_product_scores[[#This Row],[product_key]],tbl_products[[product_key]:[group_display_key]],2,FALSE),"")</f>
        <v/>
      </c>
    </row>
    <row r="4404" spans="8:8" x14ac:dyDescent="0.2">
      <c r="H4404" s="11" t="str">
        <f>IFERROR(VLOOKUP(tbl_product_scores[[#This Row],[product_key]],tbl_products[[product_key]:[group_display_key]],2,FALSE),"")</f>
        <v/>
      </c>
    </row>
    <row r="4405" spans="8:8" x14ac:dyDescent="0.2">
      <c r="H4405" s="11" t="str">
        <f>IFERROR(VLOOKUP(tbl_product_scores[[#This Row],[product_key]],tbl_products[[product_key]:[group_display_key]],2,FALSE),"")</f>
        <v/>
      </c>
    </row>
    <row r="4406" spans="8:8" x14ac:dyDescent="0.2">
      <c r="H4406" s="11" t="str">
        <f>IFERROR(VLOOKUP(tbl_product_scores[[#This Row],[product_key]],tbl_products[[product_key]:[group_display_key]],2,FALSE),"")</f>
        <v/>
      </c>
    </row>
    <row r="4407" spans="8:8" x14ac:dyDescent="0.2">
      <c r="H4407" s="11" t="str">
        <f>IFERROR(VLOOKUP(tbl_product_scores[[#This Row],[product_key]],tbl_products[[product_key]:[group_display_key]],2,FALSE),"")</f>
        <v/>
      </c>
    </row>
    <row r="4408" spans="8:8" x14ac:dyDescent="0.2">
      <c r="H4408" s="11" t="str">
        <f>IFERROR(VLOOKUP(tbl_product_scores[[#This Row],[product_key]],tbl_products[[product_key]:[group_display_key]],2,FALSE),"")</f>
        <v/>
      </c>
    </row>
    <row r="4409" spans="8:8" x14ac:dyDescent="0.2">
      <c r="H4409" s="11" t="str">
        <f>IFERROR(VLOOKUP(tbl_product_scores[[#This Row],[product_key]],tbl_products[[product_key]:[group_display_key]],2,FALSE),"")</f>
        <v/>
      </c>
    </row>
    <row r="4410" spans="8:8" x14ac:dyDescent="0.2">
      <c r="H4410" s="11" t="str">
        <f>IFERROR(VLOOKUP(tbl_product_scores[[#This Row],[product_key]],tbl_products[[product_key]:[group_display_key]],2,FALSE),"")</f>
        <v/>
      </c>
    </row>
    <row r="4411" spans="8:8" x14ac:dyDescent="0.2">
      <c r="H4411" s="11" t="str">
        <f>IFERROR(VLOOKUP(tbl_product_scores[[#This Row],[product_key]],tbl_products[[product_key]:[group_display_key]],2,FALSE),"")</f>
        <v/>
      </c>
    </row>
    <row r="4412" spans="8:8" x14ac:dyDescent="0.2">
      <c r="H4412" s="11" t="str">
        <f>IFERROR(VLOOKUP(tbl_product_scores[[#This Row],[product_key]],tbl_products[[product_key]:[group_display_key]],2,FALSE),"")</f>
        <v/>
      </c>
    </row>
    <row r="4413" spans="8:8" x14ac:dyDescent="0.2">
      <c r="H4413" s="11" t="str">
        <f>IFERROR(VLOOKUP(tbl_product_scores[[#This Row],[product_key]],tbl_products[[product_key]:[group_display_key]],2,FALSE),"")</f>
        <v/>
      </c>
    </row>
    <row r="4414" spans="8:8" x14ac:dyDescent="0.2">
      <c r="H4414" s="11" t="str">
        <f>IFERROR(VLOOKUP(tbl_product_scores[[#This Row],[product_key]],tbl_products[[product_key]:[group_display_key]],2,FALSE),"")</f>
        <v/>
      </c>
    </row>
    <row r="4415" spans="8:8" x14ac:dyDescent="0.2">
      <c r="H4415" s="11" t="str">
        <f>IFERROR(VLOOKUP(tbl_product_scores[[#This Row],[product_key]],tbl_products[[product_key]:[group_display_key]],2,FALSE),"")</f>
        <v/>
      </c>
    </row>
    <row r="4416" spans="8:8" x14ac:dyDescent="0.2">
      <c r="H4416" s="11" t="str">
        <f>IFERROR(VLOOKUP(tbl_product_scores[[#This Row],[product_key]],tbl_products[[product_key]:[group_display_key]],2,FALSE),"")</f>
        <v/>
      </c>
    </row>
    <row r="4417" spans="8:8" x14ac:dyDescent="0.2">
      <c r="H4417" s="11" t="str">
        <f>IFERROR(VLOOKUP(tbl_product_scores[[#This Row],[product_key]],tbl_products[[product_key]:[group_display_key]],2,FALSE),"")</f>
        <v/>
      </c>
    </row>
    <row r="4418" spans="8:8" x14ac:dyDescent="0.2">
      <c r="H4418" s="11" t="str">
        <f>IFERROR(VLOOKUP(tbl_product_scores[[#This Row],[product_key]],tbl_products[[product_key]:[group_display_key]],2,FALSE),"")</f>
        <v/>
      </c>
    </row>
    <row r="4419" spans="8:8" x14ac:dyDescent="0.2">
      <c r="H4419" s="11" t="str">
        <f>IFERROR(VLOOKUP(tbl_product_scores[[#This Row],[product_key]],tbl_products[[product_key]:[group_display_key]],2,FALSE),"")</f>
        <v/>
      </c>
    </row>
    <row r="4420" spans="8:8" x14ac:dyDescent="0.2">
      <c r="H4420" s="11" t="str">
        <f>IFERROR(VLOOKUP(tbl_product_scores[[#This Row],[product_key]],tbl_products[[product_key]:[group_display_key]],2,FALSE),"")</f>
        <v/>
      </c>
    </row>
    <row r="4421" spans="8:8" x14ac:dyDescent="0.2">
      <c r="H4421" s="11" t="str">
        <f>IFERROR(VLOOKUP(tbl_product_scores[[#This Row],[product_key]],tbl_products[[product_key]:[group_display_key]],2,FALSE),"")</f>
        <v/>
      </c>
    </row>
    <row r="4422" spans="8:8" x14ac:dyDescent="0.2">
      <c r="H4422" s="11" t="str">
        <f>IFERROR(VLOOKUP(tbl_product_scores[[#This Row],[product_key]],tbl_products[[product_key]:[group_display_key]],2,FALSE),"")</f>
        <v/>
      </c>
    </row>
    <row r="4423" spans="8:8" x14ac:dyDescent="0.2">
      <c r="H4423" s="11" t="str">
        <f>IFERROR(VLOOKUP(tbl_product_scores[[#This Row],[product_key]],tbl_products[[product_key]:[group_display_key]],2,FALSE),"")</f>
        <v/>
      </c>
    </row>
    <row r="4424" spans="8:8" x14ac:dyDescent="0.2">
      <c r="H4424" s="11" t="str">
        <f>IFERROR(VLOOKUP(tbl_product_scores[[#This Row],[product_key]],tbl_products[[product_key]:[group_display_key]],2,FALSE),"")</f>
        <v/>
      </c>
    </row>
    <row r="4425" spans="8:8" x14ac:dyDescent="0.2">
      <c r="H4425" s="11" t="str">
        <f>IFERROR(VLOOKUP(tbl_product_scores[[#This Row],[product_key]],tbl_products[[product_key]:[group_display_key]],2,FALSE),"")</f>
        <v/>
      </c>
    </row>
    <row r="4426" spans="8:8" x14ac:dyDescent="0.2">
      <c r="H4426" s="11" t="str">
        <f>IFERROR(VLOOKUP(tbl_product_scores[[#This Row],[product_key]],tbl_products[[product_key]:[group_display_key]],2,FALSE),"")</f>
        <v/>
      </c>
    </row>
    <row r="4427" spans="8:8" x14ac:dyDescent="0.2">
      <c r="H4427" s="11" t="str">
        <f>IFERROR(VLOOKUP(tbl_product_scores[[#This Row],[product_key]],tbl_products[[product_key]:[group_display_key]],2,FALSE),"")</f>
        <v/>
      </c>
    </row>
    <row r="4428" spans="8:8" x14ac:dyDescent="0.2">
      <c r="H4428" s="11" t="str">
        <f>IFERROR(VLOOKUP(tbl_product_scores[[#This Row],[product_key]],tbl_products[[product_key]:[group_display_key]],2,FALSE),"")</f>
        <v/>
      </c>
    </row>
    <row r="4429" spans="8:8" x14ac:dyDescent="0.2">
      <c r="H4429" s="11" t="str">
        <f>IFERROR(VLOOKUP(tbl_product_scores[[#This Row],[product_key]],tbl_products[[product_key]:[group_display_key]],2,FALSE),"")</f>
        <v/>
      </c>
    </row>
    <row r="4430" spans="8:8" x14ac:dyDescent="0.2">
      <c r="H4430" s="11" t="str">
        <f>IFERROR(VLOOKUP(tbl_product_scores[[#This Row],[product_key]],tbl_products[[product_key]:[group_display_key]],2,FALSE),"")</f>
        <v/>
      </c>
    </row>
    <row r="4431" spans="8:8" x14ac:dyDescent="0.2">
      <c r="H4431" s="11" t="str">
        <f>IFERROR(VLOOKUP(tbl_product_scores[[#This Row],[product_key]],tbl_products[[product_key]:[group_display_key]],2,FALSE),"")</f>
        <v/>
      </c>
    </row>
    <row r="4432" spans="8:8" x14ac:dyDescent="0.2">
      <c r="H4432" s="11" t="str">
        <f>IFERROR(VLOOKUP(tbl_product_scores[[#This Row],[product_key]],tbl_products[[product_key]:[group_display_key]],2,FALSE),"")</f>
        <v/>
      </c>
    </row>
    <row r="4433" spans="8:8" x14ac:dyDescent="0.2">
      <c r="H4433" s="11" t="str">
        <f>IFERROR(VLOOKUP(tbl_product_scores[[#This Row],[product_key]],tbl_products[[product_key]:[group_display_key]],2,FALSE),"")</f>
        <v/>
      </c>
    </row>
    <row r="4434" spans="8:8" x14ac:dyDescent="0.2">
      <c r="H4434" s="11" t="str">
        <f>IFERROR(VLOOKUP(tbl_product_scores[[#This Row],[product_key]],tbl_products[[product_key]:[group_display_key]],2,FALSE),"")</f>
        <v/>
      </c>
    </row>
    <row r="4435" spans="8:8" x14ac:dyDescent="0.2">
      <c r="H4435" s="11" t="str">
        <f>IFERROR(VLOOKUP(tbl_product_scores[[#This Row],[product_key]],tbl_products[[product_key]:[group_display_key]],2,FALSE),"")</f>
        <v/>
      </c>
    </row>
    <row r="4436" spans="8:8" x14ac:dyDescent="0.2">
      <c r="H4436" s="11" t="str">
        <f>IFERROR(VLOOKUP(tbl_product_scores[[#This Row],[product_key]],tbl_products[[product_key]:[group_display_key]],2,FALSE),"")</f>
        <v/>
      </c>
    </row>
    <row r="4437" spans="8:8" x14ac:dyDescent="0.2">
      <c r="H4437" s="11" t="str">
        <f>IFERROR(VLOOKUP(tbl_product_scores[[#This Row],[product_key]],tbl_products[[product_key]:[group_display_key]],2,FALSE),"")</f>
        <v/>
      </c>
    </row>
    <row r="4438" spans="8:8" x14ac:dyDescent="0.2">
      <c r="H4438" s="11" t="str">
        <f>IFERROR(VLOOKUP(tbl_product_scores[[#This Row],[product_key]],tbl_products[[product_key]:[group_display_key]],2,FALSE),"")</f>
        <v/>
      </c>
    </row>
    <row r="4439" spans="8:8" x14ac:dyDescent="0.2">
      <c r="H4439" s="11" t="str">
        <f>IFERROR(VLOOKUP(tbl_product_scores[[#This Row],[product_key]],tbl_products[[product_key]:[group_display_key]],2,FALSE),"")</f>
        <v/>
      </c>
    </row>
    <row r="4440" spans="8:8" x14ac:dyDescent="0.2">
      <c r="H4440" s="11" t="str">
        <f>IFERROR(VLOOKUP(tbl_product_scores[[#This Row],[product_key]],tbl_products[[product_key]:[group_display_key]],2,FALSE),"")</f>
        <v/>
      </c>
    </row>
    <row r="4441" spans="8:8" x14ac:dyDescent="0.2">
      <c r="H4441" s="11" t="str">
        <f>IFERROR(VLOOKUP(tbl_product_scores[[#This Row],[product_key]],tbl_products[[product_key]:[group_display_key]],2,FALSE),"")</f>
        <v/>
      </c>
    </row>
    <row r="4442" spans="8:8" x14ac:dyDescent="0.2">
      <c r="H4442" s="11" t="str">
        <f>IFERROR(VLOOKUP(tbl_product_scores[[#This Row],[product_key]],tbl_products[[product_key]:[group_display_key]],2,FALSE),"")</f>
        <v/>
      </c>
    </row>
    <row r="4443" spans="8:8" x14ac:dyDescent="0.2">
      <c r="H4443" s="11" t="str">
        <f>IFERROR(VLOOKUP(tbl_product_scores[[#This Row],[product_key]],tbl_products[[product_key]:[group_display_key]],2,FALSE),"")</f>
        <v/>
      </c>
    </row>
    <row r="4444" spans="8:8" x14ac:dyDescent="0.2">
      <c r="H4444" s="11" t="str">
        <f>IFERROR(VLOOKUP(tbl_product_scores[[#This Row],[product_key]],tbl_products[[product_key]:[group_display_key]],2,FALSE),"")</f>
        <v/>
      </c>
    </row>
    <row r="4445" spans="8:8" x14ac:dyDescent="0.2">
      <c r="H4445" s="11" t="str">
        <f>IFERROR(VLOOKUP(tbl_product_scores[[#This Row],[product_key]],tbl_products[[product_key]:[group_display_key]],2,FALSE),"")</f>
        <v/>
      </c>
    </row>
    <row r="4446" spans="8:8" x14ac:dyDescent="0.2">
      <c r="H4446" s="11" t="str">
        <f>IFERROR(VLOOKUP(tbl_product_scores[[#This Row],[product_key]],tbl_products[[product_key]:[group_display_key]],2,FALSE),"")</f>
        <v/>
      </c>
    </row>
    <row r="4447" spans="8:8" x14ac:dyDescent="0.2">
      <c r="H4447" s="11" t="str">
        <f>IFERROR(VLOOKUP(tbl_product_scores[[#This Row],[product_key]],tbl_products[[product_key]:[group_display_key]],2,FALSE),"")</f>
        <v/>
      </c>
    </row>
    <row r="4448" spans="8:8" x14ac:dyDescent="0.2">
      <c r="H4448" s="11" t="str">
        <f>IFERROR(VLOOKUP(tbl_product_scores[[#This Row],[product_key]],tbl_products[[product_key]:[group_display_key]],2,FALSE),"")</f>
        <v/>
      </c>
    </row>
    <row r="4449" spans="8:8" x14ac:dyDescent="0.2">
      <c r="H4449" s="11" t="str">
        <f>IFERROR(VLOOKUP(tbl_product_scores[[#This Row],[product_key]],tbl_products[[product_key]:[group_display_key]],2,FALSE),"")</f>
        <v/>
      </c>
    </row>
    <row r="4450" spans="8:8" x14ac:dyDescent="0.2">
      <c r="H4450" s="11" t="str">
        <f>IFERROR(VLOOKUP(tbl_product_scores[[#This Row],[product_key]],tbl_products[[product_key]:[group_display_key]],2,FALSE),"")</f>
        <v/>
      </c>
    </row>
    <row r="4451" spans="8:8" x14ac:dyDescent="0.2">
      <c r="H4451" s="11" t="str">
        <f>IFERROR(VLOOKUP(tbl_product_scores[[#This Row],[product_key]],tbl_products[[product_key]:[group_display_key]],2,FALSE),"")</f>
        <v/>
      </c>
    </row>
    <row r="4452" spans="8:8" x14ac:dyDescent="0.2">
      <c r="H4452" s="11" t="str">
        <f>IFERROR(VLOOKUP(tbl_product_scores[[#This Row],[product_key]],tbl_products[[product_key]:[group_display_key]],2,FALSE),"")</f>
        <v/>
      </c>
    </row>
    <row r="4453" spans="8:8" x14ac:dyDescent="0.2">
      <c r="H4453" s="11" t="str">
        <f>IFERROR(VLOOKUP(tbl_product_scores[[#This Row],[product_key]],tbl_products[[product_key]:[group_display_key]],2,FALSE),"")</f>
        <v/>
      </c>
    </row>
    <row r="4454" spans="8:8" x14ac:dyDescent="0.2">
      <c r="H4454" s="11" t="str">
        <f>IFERROR(VLOOKUP(tbl_product_scores[[#This Row],[product_key]],tbl_products[[product_key]:[group_display_key]],2,FALSE),"")</f>
        <v/>
      </c>
    </row>
    <row r="4455" spans="8:8" x14ac:dyDescent="0.2">
      <c r="H4455" s="11" t="str">
        <f>IFERROR(VLOOKUP(tbl_product_scores[[#This Row],[product_key]],tbl_products[[product_key]:[group_display_key]],2,FALSE),"")</f>
        <v/>
      </c>
    </row>
    <row r="4456" spans="8:8" x14ac:dyDescent="0.2">
      <c r="H4456" s="11" t="str">
        <f>IFERROR(VLOOKUP(tbl_product_scores[[#This Row],[product_key]],tbl_products[[product_key]:[group_display_key]],2,FALSE),"")</f>
        <v/>
      </c>
    </row>
    <row r="4457" spans="8:8" x14ac:dyDescent="0.2">
      <c r="H4457" s="11" t="str">
        <f>IFERROR(VLOOKUP(tbl_product_scores[[#This Row],[product_key]],tbl_products[[product_key]:[group_display_key]],2,FALSE),"")</f>
        <v/>
      </c>
    </row>
    <row r="4458" spans="8:8" x14ac:dyDescent="0.2">
      <c r="H4458" s="11" t="str">
        <f>IFERROR(VLOOKUP(tbl_product_scores[[#This Row],[product_key]],tbl_products[[product_key]:[group_display_key]],2,FALSE),"")</f>
        <v/>
      </c>
    </row>
    <row r="4459" spans="8:8" x14ac:dyDescent="0.2">
      <c r="H4459" s="11" t="str">
        <f>IFERROR(VLOOKUP(tbl_product_scores[[#This Row],[product_key]],tbl_products[[product_key]:[group_display_key]],2,FALSE),"")</f>
        <v/>
      </c>
    </row>
    <row r="4460" spans="8:8" x14ac:dyDescent="0.2">
      <c r="H4460" s="11" t="str">
        <f>IFERROR(VLOOKUP(tbl_product_scores[[#This Row],[product_key]],tbl_products[[product_key]:[group_display_key]],2,FALSE),"")</f>
        <v/>
      </c>
    </row>
    <row r="4461" spans="8:8" x14ac:dyDescent="0.2">
      <c r="H4461" s="11" t="str">
        <f>IFERROR(VLOOKUP(tbl_product_scores[[#This Row],[product_key]],tbl_products[[product_key]:[group_display_key]],2,FALSE),"")</f>
        <v/>
      </c>
    </row>
    <row r="4462" spans="8:8" x14ac:dyDescent="0.2">
      <c r="H4462" s="11" t="str">
        <f>IFERROR(VLOOKUP(tbl_product_scores[[#This Row],[product_key]],tbl_products[[product_key]:[group_display_key]],2,FALSE),"")</f>
        <v/>
      </c>
    </row>
    <row r="4463" spans="8:8" x14ac:dyDescent="0.2">
      <c r="H4463" s="11" t="str">
        <f>IFERROR(VLOOKUP(tbl_product_scores[[#This Row],[product_key]],tbl_products[[product_key]:[group_display_key]],2,FALSE),"")</f>
        <v/>
      </c>
    </row>
    <row r="4464" spans="8:8" x14ac:dyDescent="0.2">
      <c r="H4464" s="11" t="str">
        <f>IFERROR(VLOOKUP(tbl_product_scores[[#This Row],[product_key]],tbl_products[[product_key]:[group_display_key]],2,FALSE),"")</f>
        <v/>
      </c>
    </row>
    <row r="4465" spans="8:8" x14ac:dyDescent="0.2">
      <c r="H4465" s="11" t="str">
        <f>IFERROR(VLOOKUP(tbl_product_scores[[#This Row],[product_key]],tbl_products[[product_key]:[group_display_key]],2,FALSE),"")</f>
        <v/>
      </c>
    </row>
    <row r="4466" spans="8:8" x14ac:dyDescent="0.2">
      <c r="H4466" s="11" t="str">
        <f>IFERROR(VLOOKUP(tbl_product_scores[[#This Row],[product_key]],tbl_products[[product_key]:[group_display_key]],2,FALSE),"")</f>
        <v/>
      </c>
    </row>
    <row r="4467" spans="8:8" x14ac:dyDescent="0.2">
      <c r="H4467" s="11" t="str">
        <f>IFERROR(VLOOKUP(tbl_product_scores[[#This Row],[product_key]],tbl_products[[product_key]:[group_display_key]],2,FALSE),"")</f>
        <v/>
      </c>
    </row>
    <row r="4468" spans="8:8" x14ac:dyDescent="0.2">
      <c r="H4468" s="11" t="str">
        <f>IFERROR(VLOOKUP(tbl_product_scores[[#This Row],[product_key]],tbl_products[[product_key]:[group_display_key]],2,FALSE),"")</f>
        <v/>
      </c>
    </row>
    <row r="4469" spans="8:8" x14ac:dyDescent="0.2">
      <c r="H4469" s="11" t="str">
        <f>IFERROR(VLOOKUP(tbl_product_scores[[#This Row],[product_key]],tbl_products[[product_key]:[group_display_key]],2,FALSE),"")</f>
        <v/>
      </c>
    </row>
    <row r="4470" spans="8:8" x14ac:dyDescent="0.2">
      <c r="H4470" s="11" t="str">
        <f>IFERROR(VLOOKUP(tbl_product_scores[[#This Row],[product_key]],tbl_products[[product_key]:[group_display_key]],2,FALSE),"")</f>
        <v/>
      </c>
    </row>
    <row r="4471" spans="8:8" x14ac:dyDescent="0.2">
      <c r="H4471" s="11" t="str">
        <f>IFERROR(VLOOKUP(tbl_product_scores[[#This Row],[product_key]],tbl_products[[product_key]:[group_display_key]],2,FALSE),"")</f>
        <v/>
      </c>
    </row>
    <row r="4472" spans="8:8" x14ac:dyDescent="0.2">
      <c r="H4472" s="11" t="str">
        <f>IFERROR(VLOOKUP(tbl_product_scores[[#This Row],[product_key]],tbl_products[[product_key]:[group_display_key]],2,FALSE),"")</f>
        <v/>
      </c>
    </row>
    <row r="4473" spans="8:8" x14ac:dyDescent="0.2">
      <c r="H4473" s="11" t="str">
        <f>IFERROR(VLOOKUP(tbl_product_scores[[#This Row],[product_key]],tbl_products[[product_key]:[group_display_key]],2,FALSE),"")</f>
        <v/>
      </c>
    </row>
    <row r="4474" spans="8:8" x14ac:dyDescent="0.2">
      <c r="H4474" s="11" t="str">
        <f>IFERROR(VLOOKUP(tbl_product_scores[[#This Row],[product_key]],tbl_products[[product_key]:[group_display_key]],2,FALSE),"")</f>
        <v/>
      </c>
    </row>
    <row r="4475" spans="8:8" x14ac:dyDescent="0.2">
      <c r="H4475" s="11" t="str">
        <f>IFERROR(VLOOKUP(tbl_product_scores[[#This Row],[product_key]],tbl_products[[product_key]:[group_display_key]],2,FALSE),"")</f>
        <v/>
      </c>
    </row>
    <row r="4476" spans="8:8" x14ac:dyDescent="0.2">
      <c r="H4476" s="11" t="str">
        <f>IFERROR(VLOOKUP(tbl_product_scores[[#This Row],[product_key]],tbl_products[[product_key]:[group_display_key]],2,FALSE),"")</f>
        <v/>
      </c>
    </row>
    <row r="4477" spans="8:8" x14ac:dyDescent="0.2">
      <c r="H4477" s="11" t="str">
        <f>IFERROR(VLOOKUP(tbl_product_scores[[#This Row],[product_key]],tbl_products[[product_key]:[group_display_key]],2,FALSE),"")</f>
        <v/>
      </c>
    </row>
    <row r="4478" spans="8:8" x14ac:dyDescent="0.2">
      <c r="H4478" s="11" t="str">
        <f>IFERROR(VLOOKUP(tbl_product_scores[[#This Row],[product_key]],tbl_products[[product_key]:[group_display_key]],2,FALSE),"")</f>
        <v/>
      </c>
    </row>
    <row r="4479" spans="8:8" x14ac:dyDescent="0.2">
      <c r="H4479" s="11" t="str">
        <f>IFERROR(VLOOKUP(tbl_product_scores[[#This Row],[product_key]],tbl_products[[product_key]:[group_display_key]],2,FALSE),"")</f>
        <v/>
      </c>
    </row>
    <row r="4480" spans="8:8" x14ac:dyDescent="0.2">
      <c r="H4480" s="11" t="str">
        <f>IFERROR(VLOOKUP(tbl_product_scores[[#This Row],[product_key]],tbl_products[[product_key]:[group_display_key]],2,FALSE),"")</f>
        <v/>
      </c>
    </row>
    <row r="4481" spans="8:8" x14ac:dyDescent="0.2">
      <c r="H4481" s="11" t="str">
        <f>IFERROR(VLOOKUP(tbl_product_scores[[#This Row],[product_key]],tbl_products[[product_key]:[group_display_key]],2,FALSE),"")</f>
        <v/>
      </c>
    </row>
    <row r="4482" spans="8:8" x14ac:dyDescent="0.2">
      <c r="H4482" s="11" t="str">
        <f>IFERROR(VLOOKUP(tbl_product_scores[[#This Row],[product_key]],tbl_products[[product_key]:[group_display_key]],2,FALSE),"")</f>
        <v/>
      </c>
    </row>
    <row r="4483" spans="8:8" x14ac:dyDescent="0.2">
      <c r="H4483" s="11" t="str">
        <f>IFERROR(VLOOKUP(tbl_product_scores[[#This Row],[product_key]],tbl_products[[product_key]:[group_display_key]],2,FALSE),"")</f>
        <v/>
      </c>
    </row>
    <row r="4484" spans="8:8" x14ac:dyDescent="0.2">
      <c r="H4484" s="11" t="str">
        <f>IFERROR(VLOOKUP(tbl_product_scores[[#This Row],[product_key]],tbl_products[[product_key]:[group_display_key]],2,FALSE),"")</f>
        <v/>
      </c>
    </row>
    <row r="4485" spans="8:8" x14ac:dyDescent="0.2">
      <c r="H4485" s="11" t="str">
        <f>IFERROR(VLOOKUP(tbl_product_scores[[#This Row],[product_key]],tbl_products[[product_key]:[group_display_key]],2,FALSE),"")</f>
        <v/>
      </c>
    </row>
    <row r="4486" spans="8:8" x14ac:dyDescent="0.2">
      <c r="H4486" s="11" t="str">
        <f>IFERROR(VLOOKUP(tbl_product_scores[[#This Row],[product_key]],tbl_products[[product_key]:[group_display_key]],2,FALSE),"")</f>
        <v/>
      </c>
    </row>
    <row r="4487" spans="8:8" x14ac:dyDescent="0.2">
      <c r="H4487" s="11" t="str">
        <f>IFERROR(VLOOKUP(tbl_product_scores[[#This Row],[product_key]],tbl_products[[product_key]:[group_display_key]],2,FALSE),"")</f>
        <v/>
      </c>
    </row>
    <row r="4488" spans="8:8" x14ac:dyDescent="0.2">
      <c r="H4488" s="11" t="str">
        <f>IFERROR(VLOOKUP(tbl_product_scores[[#This Row],[product_key]],tbl_products[[product_key]:[group_display_key]],2,FALSE),"")</f>
        <v/>
      </c>
    </row>
    <row r="4489" spans="8:8" x14ac:dyDescent="0.2">
      <c r="H4489" s="11" t="str">
        <f>IFERROR(VLOOKUP(tbl_product_scores[[#This Row],[product_key]],tbl_products[[product_key]:[group_display_key]],2,FALSE),"")</f>
        <v/>
      </c>
    </row>
    <row r="4490" spans="8:8" x14ac:dyDescent="0.2">
      <c r="H4490" s="11" t="str">
        <f>IFERROR(VLOOKUP(tbl_product_scores[[#This Row],[product_key]],tbl_products[[product_key]:[group_display_key]],2,FALSE),"")</f>
        <v/>
      </c>
    </row>
    <row r="4491" spans="8:8" x14ac:dyDescent="0.2">
      <c r="H4491" s="11" t="str">
        <f>IFERROR(VLOOKUP(tbl_product_scores[[#This Row],[product_key]],tbl_products[[product_key]:[group_display_key]],2,FALSE),"")</f>
        <v/>
      </c>
    </row>
    <row r="4492" spans="8:8" x14ac:dyDescent="0.2">
      <c r="H4492" s="11" t="str">
        <f>IFERROR(VLOOKUP(tbl_product_scores[[#This Row],[product_key]],tbl_products[[product_key]:[group_display_key]],2,FALSE),"")</f>
        <v/>
      </c>
    </row>
    <row r="4493" spans="8:8" x14ac:dyDescent="0.2">
      <c r="H4493" s="11" t="str">
        <f>IFERROR(VLOOKUP(tbl_product_scores[[#This Row],[product_key]],tbl_products[[product_key]:[group_display_key]],2,FALSE),"")</f>
        <v/>
      </c>
    </row>
    <row r="4494" spans="8:8" x14ac:dyDescent="0.2">
      <c r="H4494" s="11" t="str">
        <f>IFERROR(VLOOKUP(tbl_product_scores[[#This Row],[product_key]],tbl_products[[product_key]:[group_display_key]],2,FALSE),"")</f>
        <v/>
      </c>
    </row>
    <row r="4495" spans="8:8" x14ac:dyDescent="0.2">
      <c r="H4495" s="11" t="str">
        <f>IFERROR(VLOOKUP(tbl_product_scores[[#This Row],[product_key]],tbl_products[[product_key]:[group_display_key]],2,FALSE),"")</f>
        <v/>
      </c>
    </row>
    <row r="4496" spans="8:8" x14ac:dyDescent="0.2">
      <c r="H4496" s="11" t="str">
        <f>IFERROR(VLOOKUP(tbl_product_scores[[#This Row],[product_key]],tbl_products[[product_key]:[group_display_key]],2,FALSE),"")</f>
        <v/>
      </c>
    </row>
    <row r="4497" spans="8:8" x14ac:dyDescent="0.2">
      <c r="H4497" s="11" t="str">
        <f>IFERROR(VLOOKUP(tbl_product_scores[[#This Row],[product_key]],tbl_products[[product_key]:[group_display_key]],2,FALSE),"")</f>
        <v/>
      </c>
    </row>
    <row r="4498" spans="8:8" x14ac:dyDescent="0.2">
      <c r="H4498" s="11" t="str">
        <f>IFERROR(VLOOKUP(tbl_product_scores[[#This Row],[product_key]],tbl_products[[product_key]:[group_display_key]],2,FALSE),"")</f>
        <v/>
      </c>
    </row>
    <row r="4499" spans="8:8" x14ac:dyDescent="0.2">
      <c r="H4499" s="11" t="str">
        <f>IFERROR(VLOOKUP(tbl_product_scores[[#This Row],[product_key]],tbl_products[[product_key]:[group_display_key]],2,FALSE),"")</f>
        <v/>
      </c>
    </row>
    <row r="4500" spans="8:8" x14ac:dyDescent="0.2">
      <c r="H4500" s="11" t="str">
        <f>IFERROR(VLOOKUP(tbl_product_scores[[#This Row],[product_key]],tbl_products[[product_key]:[group_display_key]],2,FALSE),"")</f>
        <v/>
      </c>
    </row>
    <row r="4501" spans="8:8" x14ac:dyDescent="0.2">
      <c r="H4501" s="11" t="str">
        <f>IFERROR(VLOOKUP(tbl_product_scores[[#This Row],[product_key]],tbl_products[[product_key]:[group_display_key]],2,FALSE),"")</f>
        <v/>
      </c>
    </row>
    <row r="4502" spans="8:8" x14ac:dyDescent="0.2">
      <c r="H4502" s="11" t="str">
        <f>IFERROR(VLOOKUP(tbl_product_scores[[#This Row],[product_key]],tbl_products[[product_key]:[group_display_key]],2,FALSE),"")</f>
        <v/>
      </c>
    </row>
    <row r="4503" spans="8:8" x14ac:dyDescent="0.2">
      <c r="H4503" s="11" t="str">
        <f>IFERROR(VLOOKUP(tbl_product_scores[[#This Row],[product_key]],tbl_products[[product_key]:[group_display_key]],2,FALSE),"")</f>
        <v/>
      </c>
    </row>
    <row r="4504" spans="8:8" x14ac:dyDescent="0.2">
      <c r="H4504" s="11" t="str">
        <f>IFERROR(VLOOKUP(tbl_product_scores[[#This Row],[product_key]],tbl_products[[product_key]:[group_display_key]],2,FALSE),"")</f>
        <v/>
      </c>
    </row>
    <row r="4505" spans="8:8" x14ac:dyDescent="0.2">
      <c r="H4505" s="11" t="str">
        <f>IFERROR(VLOOKUP(tbl_product_scores[[#This Row],[product_key]],tbl_products[[product_key]:[group_display_key]],2,FALSE),"")</f>
        <v/>
      </c>
    </row>
    <row r="4506" spans="8:8" x14ac:dyDescent="0.2">
      <c r="H4506" s="11" t="str">
        <f>IFERROR(VLOOKUP(tbl_product_scores[[#This Row],[product_key]],tbl_products[[product_key]:[group_display_key]],2,FALSE),"")</f>
        <v/>
      </c>
    </row>
    <row r="4507" spans="8:8" x14ac:dyDescent="0.2">
      <c r="H4507" s="11" t="str">
        <f>IFERROR(VLOOKUP(tbl_product_scores[[#This Row],[product_key]],tbl_products[[product_key]:[group_display_key]],2,FALSE),"")</f>
        <v/>
      </c>
    </row>
    <row r="4508" spans="8:8" x14ac:dyDescent="0.2">
      <c r="H4508" s="11" t="str">
        <f>IFERROR(VLOOKUP(tbl_product_scores[[#This Row],[product_key]],tbl_products[[product_key]:[group_display_key]],2,FALSE),"")</f>
        <v/>
      </c>
    </row>
    <row r="4509" spans="8:8" x14ac:dyDescent="0.2">
      <c r="H4509" s="11" t="str">
        <f>IFERROR(VLOOKUP(tbl_product_scores[[#This Row],[product_key]],tbl_products[[product_key]:[group_display_key]],2,FALSE),"")</f>
        <v/>
      </c>
    </row>
    <row r="4510" spans="8:8" x14ac:dyDescent="0.2">
      <c r="H4510" s="11" t="str">
        <f>IFERROR(VLOOKUP(tbl_product_scores[[#This Row],[product_key]],tbl_products[[product_key]:[group_display_key]],2,FALSE),"")</f>
        <v/>
      </c>
    </row>
    <row r="4511" spans="8:8" x14ac:dyDescent="0.2">
      <c r="H4511" s="11" t="str">
        <f>IFERROR(VLOOKUP(tbl_product_scores[[#This Row],[product_key]],tbl_products[[product_key]:[group_display_key]],2,FALSE),"")</f>
        <v/>
      </c>
    </row>
    <row r="4512" spans="8:8" x14ac:dyDescent="0.2">
      <c r="H4512" s="11" t="str">
        <f>IFERROR(VLOOKUP(tbl_product_scores[[#This Row],[product_key]],tbl_products[[product_key]:[group_display_key]],2,FALSE),"")</f>
        <v/>
      </c>
    </row>
    <row r="4513" spans="8:8" x14ac:dyDescent="0.2">
      <c r="H4513" s="11" t="str">
        <f>IFERROR(VLOOKUP(tbl_product_scores[[#This Row],[product_key]],tbl_products[[product_key]:[group_display_key]],2,FALSE),"")</f>
        <v/>
      </c>
    </row>
    <row r="4514" spans="8:8" x14ac:dyDescent="0.2">
      <c r="H4514" s="11" t="str">
        <f>IFERROR(VLOOKUP(tbl_product_scores[[#This Row],[product_key]],tbl_products[[product_key]:[group_display_key]],2,FALSE),"")</f>
        <v/>
      </c>
    </row>
    <row r="4515" spans="8:8" x14ac:dyDescent="0.2">
      <c r="H4515" s="11" t="str">
        <f>IFERROR(VLOOKUP(tbl_product_scores[[#This Row],[product_key]],tbl_products[[product_key]:[group_display_key]],2,FALSE),"")</f>
        <v/>
      </c>
    </row>
    <row r="4516" spans="8:8" x14ac:dyDescent="0.2">
      <c r="H4516" s="11" t="str">
        <f>IFERROR(VLOOKUP(tbl_product_scores[[#This Row],[product_key]],tbl_products[[product_key]:[group_display_key]],2,FALSE),"")</f>
        <v/>
      </c>
    </row>
    <row r="4517" spans="8:8" x14ac:dyDescent="0.2">
      <c r="H4517" s="11" t="str">
        <f>IFERROR(VLOOKUP(tbl_product_scores[[#This Row],[product_key]],tbl_products[[product_key]:[group_display_key]],2,FALSE),"")</f>
        <v/>
      </c>
    </row>
    <row r="4518" spans="8:8" x14ac:dyDescent="0.2">
      <c r="H4518" s="11" t="str">
        <f>IFERROR(VLOOKUP(tbl_product_scores[[#This Row],[product_key]],tbl_products[[product_key]:[group_display_key]],2,FALSE),"")</f>
        <v/>
      </c>
    </row>
    <row r="4519" spans="8:8" x14ac:dyDescent="0.2">
      <c r="H4519" s="11" t="str">
        <f>IFERROR(VLOOKUP(tbl_product_scores[[#This Row],[product_key]],tbl_products[[product_key]:[group_display_key]],2,FALSE),"")</f>
        <v/>
      </c>
    </row>
    <row r="4520" spans="8:8" x14ac:dyDescent="0.2">
      <c r="H4520" s="11" t="str">
        <f>IFERROR(VLOOKUP(tbl_product_scores[[#This Row],[product_key]],tbl_products[[product_key]:[group_display_key]],2,FALSE),"")</f>
        <v/>
      </c>
    </row>
    <row r="4521" spans="8:8" x14ac:dyDescent="0.2">
      <c r="H4521" s="11" t="str">
        <f>IFERROR(VLOOKUP(tbl_product_scores[[#This Row],[product_key]],tbl_products[[product_key]:[group_display_key]],2,FALSE),"")</f>
        <v/>
      </c>
    </row>
    <row r="4522" spans="8:8" x14ac:dyDescent="0.2">
      <c r="H4522" s="11" t="str">
        <f>IFERROR(VLOOKUP(tbl_product_scores[[#This Row],[product_key]],tbl_products[[product_key]:[group_display_key]],2,FALSE),"")</f>
        <v/>
      </c>
    </row>
    <row r="4523" spans="8:8" x14ac:dyDescent="0.2">
      <c r="H4523" s="11" t="str">
        <f>IFERROR(VLOOKUP(tbl_product_scores[[#This Row],[product_key]],tbl_products[[product_key]:[group_display_key]],2,FALSE),"")</f>
        <v/>
      </c>
    </row>
    <row r="4524" spans="8:8" x14ac:dyDescent="0.2">
      <c r="H4524" s="11" t="str">
        <f>IFERROR(VLOOKUP(tbl_product_scores[[#This Row],[product_key]],tbl_products[[product_key]:[group_display_key]],2,FALSE),"")</f>
        <v/>
      </c>
    </row>
    <row r="4525" spans="8:8" x14ac:dyDescent="0.2">
      <c r="H4525" s="11" t="str">
        <f>IFERROR(VLOOKUP(tbl_product_scores[[#This Row],[product_key]],tbl_products[[product_key]:[group_display_key]],2,FALSE),"")</f>
        <v/>
      </c>
    </row>
    <row r="4526" spans="8:8" x14ac:dyDescent="0.2">
      <c r="H4526" s="11" t="str">
        <f>IFERROR(VLOOKUP(tbl_product_scores[[#This Row],[product_key]],tbl_products[[product_key]:[group_display_key]],2,FALSE),"")</f>
        <v/>
      </c>
    </row>
    <row r="4527" spans="8:8" x14ac:dyDescent="0.2">
      <c r="H4527" s="11" t="str">
        <f>IFERROR(VLOOKUP(tbl_product_scores[[#This Row],[product_key]],tbl_products[[product_key]:[group_display_key]],2,FALSE),"")</f>
        <v/>
      </c>
    </row>
    <row r="4528" spans="8:8" x14ac:dyDescent="0.2">
      <c r="H4528" s="11" t="str">
        <f>IFERROR(VLOOKUP(tbl_product_scores[[#This Row],[product_key]],tbl_products[[product_key]:[group_display_key]],2,FALSE),"")</f>
        <v/>
      </c>
    </row>
    <row r="4529" spans="8:8" x14ac:dyDescent="0.2">
      <c r="H4529" s="11" t="str">
        <f>IFERROR(VLOOKUP(tbl_product_scores[[#This Row],[product_key]],tbl_products[[product_key]:[group_display_key]],2,FALSE),"")</f>
        <v/>
      </c>
    </row>
    <row r="4530" spans="8:8" x14ac:dyDescent="0.2">
      <c r="H4530" s="11" t="str">
        <f>IFERROR(VLOOKUP(tbl_product_scores[[#This Row],[product_key]],tbl_products[[product_key]:[group_display_key]],2,FALSE),"")</f>
        <v/>
      </c>
    </row>
    <row r="4531" spans="8:8" x14ac:dyDescent="0.2">
      <c r="H4531" s="11" t="str">
        <f>IFERROR(VLOOKUP(tbl_product_scores[[#This Row],[product_key]],tbl_products[[product_key]:[group_display_key]],2,FALSE),"")</f>
        <v/>
      </c>
    </row>
    <row r="4532" spans="8:8" x14ac:dyDescent="0.2">
      <c r="H4532" s="11" t="str">
        <f>IFERROR(VLOOKUP(tbl_product_scores[[#This Row],[product_key]],tbl_products[[product_key]:[group_display_key]],2,FALSE),"")</f>
        <v/>
      </c>
    </row>
    <row r="4533" spans="8:8" x14ac:dyDescent="0.2">
      <c r="H4533" s="11" t="str">
        <f>IFERROR(VLOOKUP(tbl_product_scores[[#This Row],[product_key]],tbl_products[[product_key]:[group_display_key]],2,FALSE),"")</f>
        <v/>
      </c>
    </row>
    <row r="4534" spans="8:8" x14ac:dyDescent="0.2">
      <c r="H4534" s="11" t="str">
        <f>IFERROR(VLOOKUP(tbl_product_scores[[#This Row],[product_key]],tbl_products[[product_key]:[group_display_key]],2,FALSE),"")</f>
        <v/>
      </c>
    </row>
    <row r="4535" spans="8:8" x14ac:dyDescent="0.2">
      <c r="H4535" s="11" t="str">
        <f>IFERROR(VLOOKUP(tbl_product_scores[[#This Row],[product_key]],tbl_products[[product_key]:[group_display_key]],2,FALSE),"")</f>
        <v/>
      </c>
    </row>
    <row r="4536" spans="8:8" x14ac:dyDescent="0.2">
      <c r="H4536" s="11" t="str">
        <f>IFERROR(VLOOKUP(tbl_product_scores[[#This Row],[product_key]],tbl_products[[product_key]:[group_display_key]],2,FALSE),"")</f>
        <v/>
      </c>
    </row>
    <row r="4537" spans="8:8" x14ac:dyDescent="0.2">
      <c r="H4537" s="11" t="str">
        <f>IFERROR(VLOOKUP(tbl_product_scores[[#This Row],[product_key]],tbl_products[[product_key]:[group_display_key]],2,FALSE),"")</f>
        <v/>
      </c>
    </row>
    <row r="4538" spans="8:8" x14ac:dyDescent="0.2">
      <c r="H4538" s="11" t="str">
        <f>IFERROR(VLOOKUP(tbl_product_scores[[#This Row],[product_key]],tbl_products[[product_key]:[group_display_key]],2,FALSE),"")</f>
        <v/>
      </c>
    </row>
    <row r="4539" spans="8:8" x14ac:dyDescent="0.2">
      <c r="H4539" s="11" t="str">
        <f>IFERROR(VLOOKUP(tbl_product_scores[[#This Row],[product_key]],tbl_products[[product_key]:[group_display_key]],2,FALSE),"")</f>
        <v/>
      </c>
    </row>
    <row r="4540" spans="8:8" x14ac:dyDescent="0.2">
      <c r="H4540" s="11" t="str">
        <f>IFERROR(VLOOKUP(tbl_product_scores[[#This Row],[product_key]],tbl_products[[product_key]:[group_display_key]],2,FALSE),"")</f>
        <v/>
      </c>
    </row>
    <row r="4541" spans="8:8" x14ac:dyDescent="0.2">
      <c r="H4541" s="11" t="str">
        <f>IFERROR(VLOOKUP(tbl_product_scores[[#This Row],[product_key]],tbl_products[[product_key]:[group_display_key]],2,FALSE),"")</f>
        <v/>
      </c>
    </row>
    <row r="4542" spans="8:8" x14ac:dyDescent="0.2">
      <c r="H4542" s="11" t="str">
        <f>IFERROR(VLOOKUP(tbl_product_scores[[#This Row],[product_key]],tbl_products[[product_key]:[group_display_key]],2,FALSE),"")</f>
        <v/>
      </c>
    </row>
    <row r="4543" spans="8:8" x14ac:dyDescent="0.2">
      <c r="H4543" s="11" t="str">
        <f>IFERROR(VLOOKUP(tbl_product_scores[[#This Row],[product_key]],tbl_products[[product_key]:[group_display_key]],2,FALSE),"")</f>
        <v/>
      </c>
    </row>
    <row r="4544" spans="8:8" x14ac:dyDescent="0.2">
      <c r="H4544" s="11" t="str">
        <f>IFERROR(VLOOKUP(tbl_product_scores[[#This Row],[product_key]],tbl_products[[product_key]:[group_display_key]],2,FALSE),"")</f>
        <v/>
      </c>
    </row>
    <row r="4545" spans="8:8" x14ac:dyDescent="0.2">
      <c r="H4545" s="11" t="str">
        <f>IFERROR(VLOOKUP(tbl_product_scores[[#This Row],[product_key]],tbl_products[[product_key]:[group_display_key]],2,FALSE),"")</f>
        <v/>
      </c>
    </row>
    <row r="4546" spans="8:8" x14ac:dyDescent="0.2">
      <c r="H4546" s="11" t="str">
        <f>IFERROR(VLOOKUP(tbl_product_scores[[#This Row],[product_key]],tbl_products[[product_key]:[group_display_key]],2,FALSE),"")</f>
        <v/>
      </c>
    </row>
    <row r="4547" spans="8:8" x14ac:dyDescent="0.2">
      <c r="H4547" s="11" t="str">
        <f>IFERROR(VLOOKUP(tbl_product_scores[[#This Row],[product_key]],tbl_products[[product_key]:[group_display_key]],2,FALSE),"")</f>
        <v/>
      </c>
    </row>
    <row r="4548" spans="8:8" x14ac:dyDescent="0.2">
      <c r="H4548" s="11" t="str">
        <f>IFERROR(VLOOKUP(tbl_product_scores[[#This Row],[product_key]],tbl_products[[product_key]:[group_display_key]],2,FALSE),"")</f>
        <v/>
      </c>
    </row>
    <row r="4549" spans="8:8" x14ac:dyDescent="0.2">
      <c r="H4549" s="11" t="str">
        <f>IFERROR(VLOOKUP(tbl_product_scores[[#This Row],[product_key]],tbl_products[[product_key]:[group_display_key]],2,FALSE),"")</f>
        <v/>
      </c>
    </row>
    <row r="4550" spans="8:8" x14ac:dyDescent="0.2">
      <c r="H4550" s="11" t="str">
        <f>IFERROR(VLOOKUP(tbl_product_scores[[#This Row],[product_key]],tbl_products[[product_key]:[group_display_key]],2,FALSE),"")</f>
        <v/>
      </c>
    </row>
    <row r="4551" spans="8:8" x14ac:dyDescent="0.2">
      <c r="H4551" s="11" t="str">
        <f>IFERROR(VLOOKUP(tbl_product_scores[[#This Row],[product_key]],tbl_products[[product_key]:[group_display_key]],2,FALSE),"")</f>
        <v/>
      </c>
    </row>
    <row r="4552" spans="8:8" x14ac:dyDescent="0.2">
      <c r="H4552" s="11" t="str">
        <f>IFERROR(VLOOKUP(tbl_product_scores[[#This Row],[product_key]],tbl_products[[product_key]:[group_display_key]],2,FALSE),"")</f>
        <v/>
      </c>
    </row>
    <row r="4553" spans="8:8" x14ac:dyDescent="0.2">
      <c r="H4553" s="11" t="str">
        <f>IFERROR(VLOOKUP(tbl_product_scores[[#This Row],[product_key]],tbl_products[[product_key]:[group_display_key]],2,FALSE),"")</f>
        <v/>
      </c>
    </row>
    <row r="4554" spans="8:8" x14ac:dyDescent="0.2">
      <c r="H4554" s="11" t="str">
        <f>IFERROR(VLOOKUP(tbl_product_scores[[#This Row],[product_key]],tbl_products[[product_key]:[group_display_key]],2,FALSE),"")</f>
        <v/>
      </c>
    </row>
    <row r="4555" spans="8:8" x14ac:dyDescent="0.2">
      <c r="H4555" s="11" t="str">
        <f>IFERROR(VLOOKUP(tbl_product_scores[[#This Row],[product_key]],tbl_products[[product_key]:[group_display_key]],2,FALSE),"")</f>
        <v/>
      </c>
    </row>
    <row r="4556" spans="8:8" x14ac:dyDescent="0.2">
      <c r="H4556" s="11" t="str">
        <f>IFERROR(VLOOKUP(tbl_product_scores[[#This Row],[product_key]],tbl_products[[product_key]:[group_display_key]],2,FALSE),"")</f>
        <v/>
      </c>
    </row>
    <row r="4557" spans="8:8" x14ac:dyDescent="0.2">
      <c r="H4557" s="11" t="str">
        <f>IFERROR(VLOOKUP(tbl_product_scores[[#This Row],[product_key]],tbl_products[[product_key]:[group_display_key]],2,FALSE),"")</f>
        <v/>
      </c>
    </row>
    <row r="4558" spans="8:8" x14ac:dyDescent="0.2">
      <c r="H4558" s="11" t="str">
        <f>IFERROR(VLOOKUP(tbl_product_scores[[#This Row],[product_key]],tbl_products[[product_key]:[group_display_key]],2,FALSE),"")</f>
        <v/>
      </c>
    </row>
    <row r="4559" spans="8:8" x14ac:dyDescent="0.2">
      <c r="H4559" s="11" t="str">
        <f>IFERROR(VLOOKUP(tbl_product_scores[[#This Row],[product_key]],tbl_products[[product_key]:[group_display_key]],2,FALSE),"")</f>
        <v/>
      </c>
    </row>
    <row r="4560" spans="8:8" x14ac:dyDescent="0.2">
      <c r="H4560" s="11" t="str">
        <f>IFERROR(VLOOKUP(tbl_product_scores[[#This Row],[product_key]],tbl_products[[product_key]:[group_display_key]],2,FALSE),"")</f>
        <v/>
      </c>
    </row>
    <row r="4561" spans="8:8" x14ac:dyDescent="0.2">
      <c r="H4561" s="11" t="str">
        <f>IFERROR(VLOOKUP(tbl_product_scores[[#This Row],[product_key]],tbl_products[[product_key]:[group_display_key]],2,FALSE),"")</f>
        <v/>
      </c>
    </row>
    <row r="4562" spans="8:8" x14ac:dyDescent="0.2">
      <c r="H4562" s="11" t="str">
        <f>IFERROR(VLOOKUP(tbl_product_scores[[#This Row],[product_key]],tbl_products[[product_key]:[group_display_key]],2,FALSE),"")</f>
        <v/>
      </c>
    </row>
    <row r="4563" spans="8:8" x14ac:dyDescent="0.2">
      <c r="H4563" s="11" t="str">
        <f>IFERROR(VLOOKUP(tbl_product_scores[[#This Row],[product_key]],tbl_products[[product_key]:[group_display_key]],2,FALSE),"")</f>
        <v/>
      </c>
    </row>
    <row r="4564" spans="8:8" x14ac:dyDescent="0.2">
      <c r="H4564" s="11" t="str">
        <f>IFERROR(VLOOKUP(tbl_product_scores[[#This Row],[product_key]],tbl_products[[product_key]:[group_display_key]],2,FALSE),"")</f>
        <v/>
      </c>
    </row>
    <row r="4565" spans="8:8" x14ac:dyDescent="0.2">
      <c r="H4565" s="11" t="str">
        <f>IFERROR(VLOOKUP(tbl_product_scores[[#This Row],[product_key]],tbl_products[[product_key]:[group_display_key]],2,FALSE),"")</f>
        <v/>
      </c>
    </row>
    <row r="4566" spans="8:8" x14ac:dyDescent="0.2">
      <c r="H4566" s="11" t="str">
        <f>IFERROR(VLOOKUP(tbl_product_scores[[#This Row],[product_key]],tbl_products[[product_key]:[group_display_key]],2,FALSE),"")</f>
        <v/>
      </c>
    </row>
    <row r="4567" spans="8:8" x14ac:dyDescent="0.2">
      <c r="H4567" s="11" t="str">
        <f>IFERROR(VLOOKUP(tbl_product_scores[[#This Row],[product_key]],tbl_products[[product_key]:[group_display_key]],2,FALSE),"")</f>
        <v/>
      </c>
    </row>
    <row r="4568" spans="8:8" x14ac:dyDescent="0.2">
      <c r="H4568" s="11" t="str">
        <f>IFERROR(VLOOKUP(tbl_product_scores[[#This Row],[product_key]],tbl_products[[product_key]:[group_display_key]],2,FALSE),"")</f>
        <v/>
      </c>
    </row>
    <row r="4569" spans="8:8" x14ac:dyDescent="0.2">
      <c r="H4569" s="11" t="str">
        <f>IFERROR(VLOOKUP(tbl_product_scores[[#This Row],[product_key]],tbl_products[[product_key]:[group_display_key]],2,FALSE),"")</f>
        <v/>
      </c>
    </row>
    <row r="4570" spans="8:8" x14ac:dyDescent="0.2">
      <c r="H4570" s="11" t="str">
        <f>IFERROR(VLOOKUP(tbl_product_scores[[#This Row],[product_key]],tbl_products[[product_key]:[group_display_key]],2,FALSE),"")</f>
        <v/>
      </c>
    </row>
    <row r="4571" spans="8:8" x14ac:dyDescent="0.2">
      <c r="H4571" s="11" t="str">
        <f>IFERROR(VLOOKUP(tbl_product_scores[[#This Row],[product_key]],tbl_products[[product_key]:[group_display_key]],2,FALSE),"")</f>
        <v/>
      </c>
    </row>
    <row r="4572" spans="8:8" x14ac:dyDescent="0.2">
      <c r="H4572" s="11" t="str">
        <f>IFERROR(VLOOKUP(tbl_product_scores[[#This Row],[product_key]],tbl_products[[product_key]:[group_display_key]],2,FALSE),"")</f>
        <v/>
      </c>
    </row>
    <row r="4573" spans="8:8" x14ac:dyDescent="0.2">
      <c r="H4573" s="11" t="str">
        <f>IFERROR(VLOOKUP(tbl_product_scores[[#This Row],[product_key]],tbl_products[[product_key]:[group_display_key]],2,FALSE),"")</f>
        <v/>
      </c>
    </row>
    <row r="4574" spans="8:8" x14ac:dyDescent="0.2">
      <c r="H4574" s="11" t="str">
        <f>IFERROR(VLOOKUP(tbl_product_scores[[#This Row],[product_key]],tbl_products[[product_key]:[group_display_key]],2,FALSE),"")</f>
        <v/>
      </c>
    </row>
    <row r="4575" spans="8:8" x14ac:dyDescent="0.2">
      <c r="H4575" s="11" t="str">
        <f>IFERROR(VLOOKUP(tbl_product_scores[[#This Row],[product_key]],tbl_products[[product_key]:[group_display_key]],2,FALSE),"")</f>
        <v/>
      </c>
    </row>
    <row r="4576" spans="8:8" x14ac:dyDescent="0.2">
      <c r="H4576" s="11" t="str">
        <f>IFERROR(VLOOKUP(tbl_product_scores[[#This Row],[product_key]],tbl_products[[product_key]:[group_display_key]],2,FALSE),"")</f>
        <v/>
      </c>
    </row>
    <row r="4577" spans="8:8" x14ac:dyDescent="0.2">
      <c r="H4577" s="11" t="str">
        <f>IFERROR(VLOOKUP(tbl_product_scores[[#This Row],[product_key]],tbl_products[[product_key]:[group_display_key]],2,FALSE),"")</f>
        <v/>
      </c>
    </row>
    <row r="4578" spans="8:8" x14ac:dyDescent="0.2">
      <c r="H4578" s="11" t="str">
        <f>IFERROR(VLOOKUP(tbl_product_scores[[#This Row],[product_key]],tbl_products[[product_key]:[group_display_key]],2,FALSE),"")</f>
        <v/>
      </c>
    </row>
    <row r="4579" spans="8:8" x14ac:dyDescent="0.2">
      <c r="H4579" s="11" t="str">
        <f>IFERROR(VLOOKUP(tbl_product_scores[[#This Row],[product_key]],tbl_products[[product_key]:[group_display_key]],2,FALSE),"")</f>
        <v/>
      </c>
    </row>
    <row r="4580" spans="8:8" x14ac:dyDescent="0.2">
      <c r="H4580" s="11" t="str">
        <f>IFERROR(VLOOKUP(tbl_product_scores[[#This Row],[product_key]],tbl_products[[product_key]:[group_display_key]],2,FALSE),"")</f>
        <v/>
      </c>
    </row>
    <row r="4581" spans="8:8" x14ac:dyDescent="0.2">
      <c r="H4581" s="11" t="str">
        <f>IFERROR(VLOOKUP(tbl_product_scores[[#This Row],[product_key]],tbl_products[[product_key]:[group_display_key]],2,FALSE),"")</f>
        <v/>
      </c>
    </row>
    <row r="4582" spans="8:8" x14ac:dyDescent="0.2">
      <c r="H4582" s="11" t="str">
        <f>IFERROR(VLOOKUP(tbl_product_scores[[#This Row],[product_key]],tbl_products[[product_key]:[group_display_key]],2,FALSE),"")</f>
        <v/>
      </c>
    </row>
    <row r="4583" spans="8:8" x14ac:dyDescent="0.2">
      <c r="H4583" s="11" t="str">
        <f>IFERROR(VLOOKUP(tbl_product_scores[[#This Row],[product_key]],tbl_products[[product_key]:[group_display_key]],2,FALSE),"")</f>
        <v/>
      </c>
    </row>
    <row r="4584" spans="8:8" x14ac:dyDescent="0.2">
      <c r="H4584" s="11" t="str">
        <f>IFERROR(VLOOKUP(tbl_product_scores[[#This Row],[product_key]],tbl_products[[product_key]:[group_display_key]],2,FALSE),"")</f>
        <v/>
      </c>
    </row>
    <row r="4585" spans="8:8" x14ac:dyDescent="0.2">
      <c r="H4585" s="11" t="str">
        <f>IFERROR(VLOOKUP(tbl_product_scores[[#This Row],[product_key]],tbl_products[[product_key]:[group_display_key]],2,FALSE),"")</f>
        <v/>
      </c>
    </row>
    <row r="4586" spans="8:8" x14ac:dyDescent="0.2">
      <c r="H4586" s="11" t="str">
        <f>IFERROR(VLOOKUP(tbl_product_scores[[#This Row],[product_key]],tbl_products[[product_key]:[group_display_key]],2,FALSE),"")</f>
        <v/>
      </c>
    </row>
    <row r="4587" spans="8:8" x14ac:dyDescent="0.2">
      <c r="H4587" s="11" t="str">
        <f>IFERROR(VLOOKUP(tbl_product_scores[[#This Row],[product_key]],tbl_products[[product_key]:[group_display_key]],2,FALSE),"")</f>
        <v/>
      </c>
    </row>
    <row r="4588" spans="8:8" x14ac:dyDescent="0.2">
      <c r="H4588" s="11" t="str">
        <f>IFERROR(VLOOKUP(tbl_product_scores[[#This Row],[product_key]],tbl_products[[product_key]:[group_display_key]],2,FALSE),"")</f>
        <v/>
      </c>
    </row>
    <row r="4589" spans="8:8" x14ac:dyDescent="0.2">
      <c r="H4589" s="11" t="str">
        <f>IFERROR(VLOOKUP(tbl_product_scores[[#This Row],[product_key]],tbl_products[[product_key]:[group_display_key]],2,FALSE),"")</f>
        <v/>
      </c>
    </row>
    <row r="4590" spans="8:8" x14ac:dyDescent="0.2">
      <c r="H4590" s="11" t="str">
        <f>IFERROR(VLOOKUP(tbl_product_scores[[#This Row],[product_key]],tbl_products[[product_key]:[group_display_key]],2,FALSE),"")</f>
        <v/>
      </c>
    </row>
    <row r="4591" spans="8:8" x14ac:dyDescent="0.2">
      <c r="H4591" s="11" t="str">
        <f>IFERROR(VLOOKUP(tbl_product_scores[[#This Row],[product_key]],tbl_products[[product_key]:[group_display_key]],2,FALSE),"")</f>
        <v/>
      </c>
    </row>
    <row r="4592" spans="8:8" x14ac:dyDescent="0.2">
      <c r="H4592" s="11" t="str">
        <f>IFERROR(VLOOKUP(tbl_product_scores[[#This Row],[product_key]],tbl_products[[product_key]:[group_display_key]],2,FALSE),"")</f>
        <v/>
      </c>
    </row>
    <row r="4593" spans="8:8" x14ac:dyDescent="0.2">
      <c r="H4593" s="11" t="str">
        <f>IFERROR(VLOOKUP(tbl_product_scores[[#This Row],[product_key]],tbl_products[[product_key]:[group_display_key]],2,FALSE),"")</f>
        <v/>
      </c>
    </row>
    <row r="4594" spans="8:8" x14ac:dyDescent="0.2">
      <c r="H4594" s="11" t="str">
        <f>IFERROR(VLOOKUP(tbl_product_scores[[#This Row],[product_key]],tbl_products[[product_key]:[group_display_key]],2,FALSE),"")</f>
        <v/>
      </c>
    </row>
    <row r="4595" spans="8:8" x14ac:dyDescent="0.2">
      <c r="H4595" s="11" t="str">
        <f>IFERROR(VLOOKUP(tbl_product_scores[[#This Row],[product_key]],tbl_products[[product_key]:[group_display_key]],2,FALSE),"")</f>
        <v/>
      </c>
    </row>
    <row r="4596" spans="8:8" x14ac:dyDescent="0.2">
      <c r="H4596" s="11" t="str">
        <f>IFERROR(VLOOKUP(tbl_product_scores[[#This Row],[product_key]],tbl_products[[product_key]:[group_display_key]],2,FALSE),"")</f>
        <v/>
      </c>
    </row>
    <row r="4597" spans="8:8" x14ac:dyDescent="0.2">
      <c r="H4597" s="11" t="str">
        <f>IFERROR(VLOOKUP(tbl_product_scores[[#This Row],[product_key]],tbl_products[[product_key]:[group_display_key]],2,FALSE),"")</f>
        <v/>
      </c>
    </row>
    <row r="4598" spans="8:8" x14ac:dyDescent="0.2">
      <c r="H4598" s="11" t="str">
        <f>IFERROR(VLOOKUP(tbl_product_scores[[#This Row],[product_key]],tbl_products[[product_key]:[group_display_key]],2,FALSE),"")</f>
        <v/>
      </c>
    </row>
    <row r="4599" spans="8:8" x14ac:dyDescent="0.2">
      <c r="H4599" s="11" t="str">
        <f>IFERROR(VLOOKUP(tbl_product_scores[[#This Row],[product_key]],tbl_products[[product_key]:[group_display_key]],2,FALSE),"")</f>
        <v/>
      </c>
    </row>
    <row r="4600" spans="8:8" x14ac:dyDescent="0.2">
      <c r="H4600" s="11" t="str">
        <f>IFERROR(VLOOKUP(tbl_product_scores[[#This Row],[product_key]],tbl_products[[product_key]:[group_display_key]],2,FALSE),"")</f>
        <v/>
      </c>
    </row>
    <row r="4601" spans="8:8" x14ac:dyDescent="0.2">
      <c r="H4601" s="11" t="str">
        <f>IFERROR(VLOOKUP(tbl_product_scores[[#This Row],[product_key]],tbl_products[[product_key]:[group_display_key]],2,FALSE),"")</f>
        <v/>
      </c>
    </row>
    <row r="4602" spans="8:8" x14ac:dyDescent="0.2">
      <c r="H4602" s="11" t="str">
        <f>IFERROR(VLOOKUP(tbl_product_scores[[#This Row],[product_key]],tbl_products[[product_key]:[group_display_key]],2,FALSE),"")</f>
        <v/>
      </c>
    </row>
    <row r="4603" spans="8:8" x14ac:dyDescent="0.2">
      <c r="H4603" s="11" t="str">
        <f>IFERROR(VLOOKUP(tbl_product_scores[[#This Row],[product_key]],tbl_products[[product_key]:[group_display_key]],2,FALSE),"")</f>
        <v/>
      </c>
    </row>
    <row r="4604" spans="8:8" x14ac:dyDescent="0.2">
      <c r="H4604" s="11" t="str">
        <f>IFERROR(VLOOKUP(tbl_product_scores[[#This Row],[product_key]],tbl_products[[product_key]:[group_display_key]],2,FALSE),"")</f>
        <v/>
      </c>
    </row>
    <row r="4605" spans="8:8" x14ac:dyDescent="0.2">
      <c r="H4605" s="11" t="str">
        <f>IFERROR(VLOOKUP(tbl_product_scores[[#This Row],[product_key]],tbl_products[[product_key]:[group_display_key]],2,FALSE),"")</f>
        <v/>
      </c>
    </row>
    <row r="4606" spans="8:8" x14ac:dyDescent="0.2">
      <c r="H4606" s="11" t="str">
        <f>IFERROR(VLOOKUP(tbl_product_scores[[#This Row],[product_key]],tbl_products[[product_key]:[group_display_key]],2,FALSE),"")</f>
        <v/>
      </c>
    </row>
    <row r="4607" spans="8:8" x14ac:dyDescent="0.2">
      <c r="H4607" s="11" t="str">
        <f>IFERROR(VLOOKUP(tbl_product_scores[[#This Row],[product_key]],tbl_products[[product_key]:[group_display_key]],2,FALSE),"")</f>
        <v/>
      </c>
    </row>
    <row r="4608" spans="8:8" x14ac:dyDescent="0.2">
      <c r="H4608" s="11" t="str">
        <f>IFERROR(VLOOKUP(tbl_product_scores[[#This Row],[product_key]],tbl_products[[product_key]:[group_display_key]],2,FALSE),"")</f>
        <v/>
      </c>
    </row>
    <row r="4609" spans="8:8" x14ac:dyDescent="0.2">
      <c r="H4609" s="11" t="str">
        <f>IFERROR(VLOOKUP(tbl_product_scores[[#This Row],[product_key]],tbl_products[[product_key]:[group_display_key]],2,FALSE),"")</f>
        <v/>
      </c>
    </row>
    <row r="4610" spans="8:8" x14ac:dyDescent="0.2">
      <c r="H4610" s="11" t="str">
        <f>IFERROR(VLOOKUP(tbl_product_scores[[#This Row],[product_key]],tbl_products[[product_key]:[group_display_key]],2,FALSE),"")</f>
        <v/>
      </c>
    </row>
    <row r="4611" spans="8:8" x14ac:dyDescent="0.2">
      <c r="H4611" s="11" t="str">
        <f>IFERROR(VLOOKUP(tbl_product_scores[[#This Row],[product_key]],tbl_products[[product_key]:[group_display_key]],2,FALSE),"")</f>
        <v/>
      </c>
    </row>
    <row r="4612" spans="8:8" x14ac:dyDescent="0.2">
      <c r="H4612" s="11" t="str">
        <f>IFERROR(VLOOKUP(tbl_product_scores[[#This Row],[product_key]],tbl_products[[product_key]:[group_display_key]],2,FALSE),"")</f>
        <v/>
      </c>
    </row>
    <row r="4613" spans="8:8" x14ac:dyDescent="0.2">
      <c r="H4613" s="11" t="str">
        <f>IFERROR(VLOOKUP(tbl_product_scores[[#This Row],[product_key]],tbl_products[[product_key]:[group_display_key]],2,FALSE),"")</f>
        <v/>
      </c>
    </row>
    <row r="4614" spans="8:8" x14ac:dyDescent="0.2">
      <c r="H4614" s="11" t="str">
        <f>IFERROR(VLOOKUP(tbl_product_scores[[#This Row],[product_key]],tbl_products[[product_key]:[group_display_key]],2,FALSE),"")</f>
        <v/>
      </c>
    </row>
    <row r="4615" spans="8:8" x14ac:dyDescent="0.2">
      <c r="H4615" s="11" t="str">
        <f>IFERROR(VLOOKUP(tbl_product_scores[[#This Row],[product_key]],tbl_products[[product_key]:[group_display_key]],2,FALSE),"")</f>
        <v/>
      </c>
    </row>
    <row r="4616" spans="8:8" x14ac:dyDescent="0.2">
      <c r="H4616" s="11" t="str">
        <f>IFERROR(VLOOKUP(tbl_product_scores[[#This Row],[product_key]],tbl_products[[product_key]:[group_display_key]],2,FALSE),"")</f>
        <v/>
      </c>
    </row>
    <row r="4617" spans="8:8" x14ac:dyDescent="0.2">
      <c r="H4617" s="11" t="str">
        <f>IFERROR(VLOOKUP(tbl_product_scores[[#This Row],[product_key]],tbl_products[[product_key]:[group_display_key]],2,FALSE),"")</f>
        <v/>
      </c>
    </row>
    <row r="4618" spans="8:8" x14ac:dyDescent="0.2">
      <c r="H4618" s="11" t="str">
        <f>IFERROR(VLOOKUP(tbl_product_scores[[#This Row],[product_key]],tbl_products[[product_key]:[group_display_key]],2,FALSE),"")</f>
        <v/>
      </c>
    </row>
    <row r="4619" spans="8:8" x14ac:dyDescent="0.2">
      <c r="H4619" s="11" t="str">
        <f>IFERROR(VLOOKUP(tbl_product_scores[[#This Row],[product_key]],tbl_products[[product_key]:[group_display_key]],2,FALSE),"")</f>
        <v/>
      </c>
    </row>
    <row r="4620" spans="8:8" x14ac:dyDescent="0.2">
      <c r="H4620" s="11" t="str">
        <f>IFERROR(VLOOKUP(tbl_product_scores[[#This Row],[product_key]],tbl_products[[product_key]:[group_display_key]],2,FALSE),"")</f>
        <v/>
      </c>
    </row>
    <row r="4621" spans="8:8" x14ac:dyDescent="0.2">
      <c r="H4621" s="11" t="str">
        <f>IFERROR(VLOOKUP(tbl_product_scores[[#This Row],[product_key]],tbl_products[[product_key]:[group_display_key]],2,FALSE),"")</f>
        <v/>
      </c>
    </row>
    <row r="4622" spans="8:8" x14ac:dyDescent="0.2">
      <c r="H4622" s="11" t="str">
        <f>IFERROR(VLOOKUP(tbl_product_scores[[#This Row],[product_key]],tbl_products[[product_key]:[group_display_key]],2,FALSE),"")</f>
        <v/>
      </c>
    </row>
    <row r="4623" spans="8:8" x14ac:dyDescent="0.2">
      <c r="H4623" s="11" t="str">
        <f>IFERROR(VLOOKUP(tbl_product_scores[[#This Row],[product_key]],tbl_products[[product_key]:[group_display_key]],2,FALSE),"")</f>
        <v/>
      </c>
    </row>
    <row r="4624" spans="8:8" x14ac:dyDescent="0.2">
      <c r="H4624" s="11" t="str">
        <f>IFERROR(VLOOKUP(tbl_product_scores[[#This Row],[product_key]],tbl_products[[product_key]:[group_display_key]],2,FALSE),"")</f>
        <v/>
      </c>
    </row>
    <row r="4625" spans="8:8" x14ac:dyDescent="0.2">
      <c r="H4625" s="11" t="str">
        <f>IFERROR(VLOOKUP(tbl_product_scores[[#This Row],[product_key]],tbl_products[[product_key]:[group_display_key]],2,FALSE),"")</f>
        <v/>
      </c>
    </row>
    <row r="4626" spans="8:8" x14ac:dyDescent="0.2">
      <c r="H4626" s="11" t="str">
        <f>IFERROR(VLOOKUP(tbl_product_scores[[#This Row],[product_key]],tbl_products[[product_key]:[group_display_key]],2,FALSE),"")</f>
        <v/>
      </c>
    </row>
    <row r="4627" spans="8:8" x14ac:dyDescent="0.2">
      <c r="H4627" s="11" t="str">
        <f>IFERROR(VLOOKUP(tbl_product_scores[[#This Row],[product_key]],tbl_products[[product_key]:[group_display_key]],2,FALSE),"")</f>
        <v/>
      </c>
    </row>
    <row r="4628" spans="8:8" x14ac:dyDescent="0.2">
      <c r="H4628" s="11" t="str">
        <f>IFERROR(VLOOKUP(tbl_product_scores[[#This Row],[product_key]],tbl_products[[product_key]:[group_display_key]],2,FALSE),"")</f>
        <v/>
      </c>
    </row>
    <row r="4629" spans="8:8" x14ac:dyDescent="0.2">
      <c r="H4629" s="11" t="str">
        <f>IFERROR(VLOOKUP(tbl_product_scores[[#This Row],[product_key]],tbl_products[[product_key]:[group_display_key]],2,FALSE),"")</f>
        <v/>
      </c>
    </row>
    <row r="4630" spans="8:8" x14ac:dyDescent="0.2">
      <c r="H4630" s="11" t="str">
        <f>IFERROR(VLOOKUP(tbl_product_scores[[#This Row],[product_key]],tbl_products[[product_key]:[group_display_key]],2,FALSE),"")</f>
        <v/>
      </c>
    </row>
    <row r="4631" spans="8:8" x14ac:dyDescent="0.2">
      <c r="H4631" s="11" t="str">
        <f>IFERROR(VLOOKUP(tbl_product_scores[[#This Row],[product_key]],tbl_products[[product_key]:[group_display_key]],2,FALSE),"")</f>
        <v/>
      </c>
    </row>
    <row r="4632" spans="8:8" x14ac:dyDescent="0.2">
      <c r="H4632" s="11" t="str">
        <f>IFERROR(VLOOKUP(tbl_product_scores[[#This Row],[product_key]],tbl_products[[product_key]:[group_display_key]],2,FALSE),"")</f>
        <v/>
      </c>
    </row>
    <row r="4633" spans="8:8" x14ac:dyDescent="0.2">
      <c r="H4633" s="11" t="str">
        <f>IFERROR(VLOOKUP(tbl_product_scores[[#This Row],[product_key]],tbl_products[[product_key]:[group_display_key]],2,FALSE),"")</f>
        <v/>
      </c>
    </row>
    <row r="4634" spans="8:8" x14ac:dyDescent="0.2">
      <c r="H4634" s="11" t="str">
        <f>IFERROR(VLOOKUP(tbl_product_scores[[#This Row],[product_key]],tbl_products[[product_key]:[group_display_key]],2,FALSE),"")</f>
        <v/>
      </c>
    </row>
    <row r="4635" spans="8:8" x14ac:dyDescent="0.2">
      <c r="H4635" s="11" t="str">
        <f>IFERROR(VLOOKUP(tbl_product_scores[[#This Row],[product_key]],tbl_products[[product_key]:[group_display_key]],2,FALSE),"")</f>
        <v/>
      </c>
    </row>
    <row r="4636" spans="8:8" x14ac:dyDescent="0.2">
      <c r="H4636" s="11" t="str">
        <f>IFERROR(VLOOKUP(tbl_product_scores[[#This Row],[product_key]],tbl_products[[product_key]:[group_display_key]],2,FALSE),"")</f>
        <v/>
      </c>
    </row>
    <row r="4637" spans="8:8" x14ac:dyDescent="0.2">
      <c r="H4637" s="11" t="str">
        <f>IFERROR(VLOOKUP(tbl_product_scores[[#This Row],[product_key]],tbl_products[[product_key]:[group_display_key]],2,FALSE),"")</f>
        <v/>
      </c>
    </row>
    <row r="4638" spans="8:8" x14ac:dyDescent="0.2">
      <c r="H4638" s="11" t="str">
        <f>IFERROR(VLOOKUP(tbl_product_scores[[#This Row],[product_key]],tbl_products[[product_key]:[group_display_key]],2,FALSE),"")</f>
        <v/>
      </c>
    </row>
    <row r="4639" spans="8:8" x14ac:dyDescent="0.2">
      <c r="H4639" s="11" t="str">
        <f>IFERROR(VLOOKUP(tbl_product_scores[[#This Row],[product_key]],tbl_products[[product_key]:[group_display_key]],2,FALSE),"")</f>
        <v/>
      </c>
    </row>
    <row r="4640" spans="8:8" x14ac:dyDescent="0.2">
      <c r="H4640" s="11" t="str">
        <f>IFERROR(VLOOKUP(tbl_product_scores[[#This Row],[product_key]],tbl_products[[product_key]:[group_display_key]],2,FALSE),"")</f>
        <v/>
      </c>
    </row>
    <row r="4641" spans="8:8" x14ac:dyDescent="0.2">
      <c r="H4641" s="11" t="str">
        <f>IFERROR(VLOOKUP(tbl_product_scores[[#This Row],[product_key]],tbl_products[[product_key]:[group_display_key]],2,FALSE),"")</f>
        <v/>
      </c>
    </row>
    <row r="4642" spans="8:8" x14ac:dyDescent="0.2">
      <c r="H4642" s="11" t="str">
        <f>IFERROR(VLOOKUP(tbl_product_scores[[#This Row],[product_key]],tbl_products[[product_key]:[group_display_key]],2,FALSE),"")</f>
        <v/>
      </c>
    </row>
    <row r="4643" spans="8:8" x14ac:dyDescent="0.2">
      <c r="H4643" s="11" t="str">
        <f>IFERROR(VLOOKUP(tbl_product_scores[[#This Row],[product_key]],tbl_products[[product_key]:[group_display_key]],2,FALSE),"")</f>
        <v/>
      </c>
    </row>
    <row r="4644" spans="8:8" x14ac:dyDescent="0.2">
      <c r="H4644" s="11" t="str">
        <f>IFERROR(VLOOKUP(tbl_product_scores[[#This Row],[product_key]],tbl_products[[product_key]:[group_display_key]],2,FALSE),"")</f>
        <v/>
      </c>
    </row>
    <row r="4645" spans="8:8" x14ac:dyDescent="0.2">
      <c r="H4645" s="11" t="str">
        <f>IFERROR(VLOOKUP(tbl_product_scores[[#This Row],[product_key]],tbl_products[[product_key]:[group_display_key]],2,FALSE),"")</f>
        <v/>
      </c>
    </row>
    <row r="4646" spans="8:8" x14ac:dyDescent="0.2">
      <c r="H4646" s="11" t="str">
        <f>IFERROR(VLOOKUP(tbl_product_scores[[#This Row],[product_key]],tbl_products[[product_key]:[group_display_key]],2,FALSE),"")</f>
        <v/>
      </c>
    </row>
    <row r="4647" spans="8:8" x14ac:dyDescent="0.2">
      <c r="H4647" s="11" t="str">
        <f>IFERROR(VLOOKUP(tbl_product_scores[[#This Row],[product_key]],tbl_products[[product_key]:[group_display_key]],2,FALSE),"")</f>
        <v/>
      </c>
    </row>
    <row r="4648" spans="8:8" x14ac:dyDescent="0.2">
      <c r="H4648" s="11" t="str">
        <f>IFERROR(VLOOKUP(tbl_product_scores[[#This Row],[product_key]],tbl_products[[product_key]:[group_display_key]],2,FALSE),"")</f>
        <v/>
      </c>
    </row>
    <row r="4649" spans="8:8" x14ac:dyDescent="0.2">
      <c r="H4649" s="11" t="str">
        <f>IFERROR(VLOOKUP(tbl_product_scores[[#This Row],[product_key]],tbl_products[[product_key]:[group_display_key]],2,FALSE),"")</f>
        <v/>
      </c>
    </row>
    <row r="4650" spans="8:8" x14ac:dyDescent="0.2">
      <c r="H4650" s="11" t="str">
        <f>IFERROR(VLOOKUP(tbl_product_scores[[#This Row],[product_key]],tbl_products[[product_key]:[group_display_key]],2,FALSE),"")</f>
        <v/>
      </c>
    </row>
    <row r="4651" spans="8:8" x14ac:dyDescent="0.2">
      <c r="H4651" s="11" t="str">
        <f>IFERROR(VLOOKUP(tbl_product_scores[[#This Row],[product_key]],tbl_products[[product_key]:[group_display_key]],2,FALSE),"")</f>
        <v/>
      </c>
    </row>
    <row r="4652" spans="8:8" x14ac:dyDescent="0.2">
      <c r="H4652" s="11" t="str">
        <f>IFERROR(VLOOKUP(tbl_product_scores[[#This Row],[product_key]],tbl_products[[product_key]:[group_display_key]],2,FALSE),"")</f>
        <v/>
      </c>
    </row>
    <row r="4653" spans="8:8" x14ac:dyDescent="0.2">
      <c r="H4653" s="11" t="str">
        <f>IFERROR(VLOOKUP(tbl_product_scores[[#This Row],[product_key]],tbl_products[[product_key]:[group_display_key]],2,FALSE),"")</f>
        <v/>
      </c>
    </row>
    <row r="4654" spans="8:8" x14ac:dyDescent="0.2">
      <c r="H4654" s="11" t="str">
        <f>IFERROR(VLOOKUP(tbl_product_scores[[#This Row],[product_key]],tbl_products[[product_key]:[group_display_key]],2,FALSE),"")</f>
        <v/>
      </c>
    </row>
    <row r="4655" spans="8:8" x14ac:dyDescent="0.2">
      <c r="H4655" s="11" t="str">
        <f>IFERROR(VLOOKUP(tbl_product_scores[[#This Row],[product_key]],tbl_products[[product_key]:[group_display_key]],2,FALSE),"")</f>
        <v/>
      </c>
    </row>
    <row r="4656" spans="8:8" x14ac:dyDescent="0.2">
      <c r="H4656" s="11" t="str">
        <f>IFERROR(VLOOKUP(tbl_product_scores[[#This Row],[product_key]],tbl_products[[product_key]:[group_display_key]],2,FALSE),"")</f>
        <v/>
      </c>
    </row>
    <row r="4657" spans="8:8" x14ac:dyDescent="0.2">
      <c r="H4657" s="11" t="str">
        <f>IFERROR(VLOOKUP(tbl_product_scores[[#This Row],[product_key]],tbl_products[[product_key]:[group_display_key]],2,FALSE),"")</f>
        <v/>
      </c>
    </row>
    <row r="4658" spans="8:8" x14ac:dyDescent="0.2">
      <c r="H4658" s="11" t="str">
        <f>IFERROR(VLOOKUP(tbl_product_scores[[#This Row],[product_key]],tbl_products[[product_key]:[group_display_key]],2,FALSE),"")</f>
        <v/>
      </c>
    </row>
    <row r="4659" spans="8:8" x14ac:dyDescent="0.2">
      <c r="H4659" s="11" t="str">
        <f>IFERROR(VLOOKUP(tbl_product_scores[[#This Row],[product_key]],tbl_products[[product_key]:[group_display_key]],2,FALSE),"")</f>
        <v/>
      </c>
    </row>
    <row r="4660" spans="8:8" x14ac:dyDescent="0.2">
      <c r="H4660" s="11" t="str">
        <f>IFERROR(VLOOKUP(tbl_product_scores[[#This Row],[product_key]],tbl_products[[product_key]:[group_display_key]],2,FALSE),"")</f>
        <v/>
      </c>
    </row>
    <row r="4661" spans="8:8" x14ac:dyDescent="0.2">
      <c r="H4661" s="11" t="str">
        <f>IFERROR(VLOOKUP(tbl_product_scores[[#This Row],[product_key]],tbl_products[[product_key]:[group_display_key]],2,FALSE),"")</f>
        <v/>
      </c>
    </row>
    <row r="4662" spans="8:8" x14ac:dyDescent="0.2">
      <c r="H4662" s="11" t="str">
        <f>IFERROR(VLOOKUP(tbl_product_scores[[#This Row],[product_key]],tbl_products[[product_key]:[group_display_key]],2,FALSE),"")</f>
        <v/>
      </c>
    </row>
    <row r="4663" spans="8:8" x14ac:dyDescent="0.2">
      <c r="H4663" s="11" t="str">
        <f>IFERROR(VLOOKUP(tbl_product_scores[[#This Row],[product_key]],tbl_products[[product_key]:[group_display_key]],2,FALSE),"")</f>
        <v/>
      </c>
    </row>
    <row r="4664" spans="8:8" x14ac:dyDescent="0.2">
      <c r="H4664" s="11" t="str">
        <f>IFERROR(VLOOKUP(tbl_product_scores[[#This Row],[product_key]],tbl_products[[product_key]:[group_display_key]],2,FALSE),"")</f>
        <v/>
      </c>
    </row>
    <row r="4665" spans="8:8" x14ac:dyDescent="0.2">
      <c r="H4665" s="11" t="str">
        <f>IFERROR(VLOOKUP(tbl_product_scores[[#This Row],[product_key]],tbl_products[[product_key]:[group_display_key]],2,FALSE),"")</f>
        <v/>
      </c>
    </row>
    <row r="4666" spans="8:8" x14ac:dyDescent="0.2">
      <c r="H4666" s="11" t="str">
        <f>IFERROR(VLOOKUP(tbl_product_scores[[#This Row],[product_key]],tbl_products[[product_key]:[group_display_key]],2,FALSE),"")</f>
        <v/>
      </c>
    </row>
    <row r="4667" spans="8:8" x14ac:dyDescent="0.2">
      <c r="H4667" s="11" t="str">
        <f>IFERROR(VLOOKUP(tbl_product_scores[[#This Row],[product_key]],tbl_products[[product_key]:[group_display_key]],2,FALSE),"")</f>
        <v/>
      </c>
    </row>
    <row r="4668" spans="8:8" x14ac:dyDescent="0.2">
      <c r="H4668" s="11" t="str">
        <f>IFERROR(VLOOKUP(tbl_product_scores[[#This Row],[product_key]],tbl_products[[product_key]:[group_display_key]],2,FALSE),"")</f>
        <v/>
      </c>
    </row>
    <row r="4669" spans="8:8" x14ac:dyDescent="0.2">
      <c r="H4669" s="11" t="str">
        <f>IFERROR(VLOOKUP(tbl_product_scores[[#This Row],[product_key]],tbl_products[[product_key]:[group_display_key]],2,FALSE),"")</f>
        <v/>
      </c>
    </row>
    <row r="4670" spans="8:8" x14ac:dyDescent="0.2">
      <c r="H4670" s="11" t="str">
        <f>IFERROR(VLOOKUP(tbl_product_scores[[#This Row],[product_key]],tbl_products[[product_key]:[group_display_key]],2,FALSE),"")</f>
        <v/>
      </c>
    </row>
    <row r="4671" spans="8:8" x14ac:dyDescent="0.2">
      <c r="H4671" s="11" t="str">
        <f>IFERROR(VLOOKUP(tbl_product_scores[[#This Row],[product_key]],tbl_products[[product_key]:[group_display_key]],2,FALSE),"")</f>
        <v/>
      </c>
    </row>
    <row r="4672" spans="8:8" x14ac:dyDescent="0.2">
      <c r="H4672" s="11" t="str">
        <f>IFERROR(VLOOKUP(tbl_product_scores[[#This Row],[product_key]],tbl_products[[product_key]:[group_display_key]],2,FALSE),"")</f>
        <v/>
      </c>
    </row>
    <row r="4673" spans="8:8" x14ac:dyDescent="0.2">
      <c r="H4673" s="11" t="str">
        <f>IFERROR(VLOOKUP(tbl_product_scores[[#This Row],[product_key]],tbl_products[[product_key]:[group_display_key]],2,FALSE),"")</f>
        <v/>
      </c>
    </row>
    <row r="4674" spans="8:8" x14ac:dyDescent="0.2">
      <c r="H4674" s="11" t="str">
        <f>IFERROR(VLOOKUP(tbl_product_scores[[#This Row],[product_key]],tbl_products[[product_key]:[group_display_key]],2,FALSE),"")</f>
        <v/>
      </c>
    </row>
    <row r="4675" spans="8:8" x14ac:dyDescent="0.2">
      <c r="H4675" s="11" t="str">
        <f>IFERROR(VLOOKUP(tbl_product_scores[[#This Row],[product_key]],tbl_products[[product_key]:[group_display_key]],2,FALSE),"")</f>
        <v/>
      </c>
    </row>
    <row r="4676" spans="8:8" x14ac:dyDescent="0.2">
      <c r="H4676" s="11" t="str">
        <f>IFERROR(VLOOKUP(tbl_product_scores[[#This Row],[product_key]],tbl_products[[product_key]:[group_display_key]],2,FALSE),"")</f>
        <v/>
      </c>
    </row>
    <row r="4677" spans="8:8" x14ac:dyDescent="0.2">
      <c r="H4677" s="11" t="str">
        <f>IFERROR(VLOOKUP(tbl_product_scores[[#This Row],[product_key]],tbl_products[[product_key]:[group_display_key]],2,FALSE),"")</f>
        <v/>
      </c>
    </row>
    <row r="4678" spans="8:8" x14ac:dyDescent="0.2">
      <c r="H4678" s="11" t="str">
        <f>IFERROR(VLOOKUP(tbl_product_scores[[#This Row],[product_key]],tbl_products[[product_key]:[group_display_key]],2,FALSE),"")</f>
        <v/>
      </c>
    </row>
    <row r="4679" spans="8:8" x14ac:dyDescent="0.2">
      <c r="H4679" s="11" t="str">
        <f>IFERROR(VLOOKUP(tbl_product_scores[[#This Row],[product_key]],tbl_products[[product_key]:[group_display_key]],2,FALSE),"")</f>
        <v/>
      </c>
    </row>
    <row r="4680" spans="8:8" x14ac:dyDescent="0.2">
      <c r="H4680" s="11" t="str">
        <f>IFERROR(VLOOKUP(tbl_product_scores[[#This Row],[product_key]],tbl_products[[product_key]:[group_display_key]],2,FALSE),"")</f>
        <v/>
      </c>
    </row>
    <row r="4681" spans="8:8" x14ac:dyDescent="0.2">
      <c r="H4681" s="11" t="str">
        <f>IFERROR(VLOOKUP(tbl_product_scores[[#This Row],[product_key]],tbl_products[[product_key]:[group_display_key]],2,FALSE),"")</f>
        <v/>
      </c>
    </row>
    <row r="4682" spans="8:8" x14ac:dyDescent="0.2">
      <c r="H4682" s="11" t="str">
        <f>IFERROR(VLOOKUP(tbl_product_scores[[#This Row],[product_key]],tbl_products[[product_key]:[group_display_key]],2,FALSE),"")</f>
        <v/>
      </c>
    </row>
    <row r="4683" spans="8:8" x14ac:dyDescent="0.2">
      <c r="H4683" s="11" t="str">
        <f>IFERROR(VLOOKUP(tbl_product_scores[[#This Row],[product_key]],tbl_products[[product_key]:[group_display_key]],2,FALSE),"")</f>
        <v/>
      </c>
    </row>
    <row r="4684" spans="8:8" x14ac:dyDescent="0.2">
      <c r="H4684" s="11" t="str">
        <f>IFERROR(VLOOKUP(tbl_product_scores[[#This Row],[product_key]],tbl_products[[product_key]:[group_display_key]],2,FALSE),"")</f>
        <v/>
      </c>
    </row>
    <row r="4685" spans="8:8" x14ac:dyDescent="0.2">
      <c r="H4685" s="11" t="str">
        <f>IFERROR(VLOOKUP(tbl_product_scores[[#This Row],[product_key]],tbl_products[[product_key]:[group_display_key]],2,FALSE),"")</f>
        <v/>
      </c>
    </row>
    <row r="4686" spans="8:8" x14ac:dyDescent="0.2">
      <c r="H4686" s="11" t="str">
        <f>IFERROR(VLOOKUP(tbl_product_scores[[#This Row],[product_key]],tbl_products[[product_key]:[group_display_key]],2,FALSE),"")</f>
        <v/>
      </c>
    </row>
    <row r="4687" spans="8:8" x14ac:dyDescent="0.2">
      <c r="H4687" s="11" t="str">
        <f>IFERROR(VLOOKUP(tbl_product_scores[[#This Row],[product_key]],tbl_products[[product_key]:[group_display_key]],2,FALSE),"")</f>
        <v/>
      </c>
    </row>
    <row r="4688" spans="8:8" x14ac:dyDescent="0.2">
      <c r="H4688" s="11" t="str">
        <f>IFERROR(VLOOKUP(tbl_product_scores[[#This Row],[product_key]],tbl_products[[product_key]:[group_display_key]],2,FALSE),"")</f>
        <v/>
      </c>
    </row>
    <row r="4689" spans="8:8" x14ac:dyDescent="0.2">
      <c r="H4689" s="11" t="str">
        <f>IFERROR(VLOOKUP(tbl_product_scores[[#This Row],[product_key]],tbl_products[[product_key]:[group_display_key]],2,FALSE),"")</f>
        <v/>
      </c>
    </row>
    <row r="4690" spans="8:8" x14ac:dyDescent="0.2">
      <c r="H4690" s="11" t="str">
        <f>IFERROR(VLOOKUP(tbl_product_scores[[#This Row],[product_key]],tbl_products[[product_key]:[group_display_key]],2,FALSE),"")</f>
        <v/>
      </c>
    </row>
    <row r="4691" spans="8:8" x14ac:dyDescent="0.2">
      <c r="H4691" s="11" t="str">
        <f>IFERROR(VLOOKUP(tbl_product_scores[[#This Row],[product_key]],tbl_products[[product_key]:[group_display_key]],2,FALSE),"")</f>
        <v/>
      </c>
    </row>
    <row r="4692" spans="8:8" x14ac:dyDescent="0.2">
      <c r="H4692" s="11" t="str">
        <f>IFERROR(VLOOKUP(tbl_product_scores[[#This Row],[product_key]],tbl_products[[product_key]:[group_display_key]],2,FALSE),"")</f>
        <v/>
      </c>
    </row>
    <row r="4693" spans="8:8" x14ac:dyDescent="0.2">
      <c r="H4693" s="11" t="str">
        <f>IFERROR(VLOOKUP(tbl_product_scores[[#This Row],[product_key]],tbl_products[[product_key]:[group_display_key]],2,FALSE),"")</f>
        <v/>
      </c>
    </row>
    <row r="4694" spans="8:8" x14ac:dyDescent="0.2">
      <c r="H4694" s="11" t="str">
        <f>IFERROR(VLOOKUP(tbl_product_scores[[#This Row],[product_key]],tbl_products[[product_key]:[group_display_key]],2,FALSE),"")</f>
        <v/>
      </c>
    </row>
    <row r="4695" spans="8:8" x14ac:dyDescent="0.2">
      <c r="H4695" s="11" t="str">
        <f>IFERROR(VLOOKUP(tbl_product_scores[[#This Row],[product_key]],tbl_products[[product_key]:[group_display_key]],2,FALSE),"")</f>
        <v/>
      </c>
    </row>
    <row r="4696" spans="8:8" x14ac:dyDescent="0.2">
      <c r="H4696" s="11" t="str">
        <f>IFERROR(VLOOKUP(tbl_product_scores[[#This Row],[product_key]],tbl_products[[product_key]:[group_display_key]],2,FALSE),"")</f>
        <v/>
      </c>
    </row>
    <row r="4697" spans="8:8" x14ac:dyDescent="0.2">
      <c r="H4697" s="11" t="str">
        <f>IFERROR(VLOOKUP(tbl_product_scores[[#This Row],[product_key]],tbl_products[[product_key]:[group_display_key]],2,FALSE),"")</f>
        <v/>
      </c>
    </row>
    <row r="4698" spans="8:8" x14ac:dyDescent="0.2">
      <c r="H4698" s="11" t="str">
        <f>IFERROR(VLOOKUP(tbl_product_scores[[#This Row],[product_key]],tbl_products[[product_key]:[group_display_key]],2,FALSE),"")</f>
        <v/>
      </c>
    </row>
    <row r="4699" spans="8:8" x14ac:dyDescent="0.2">
      <c r="H4699" s="11" t="str">
        <f>IFERROR(VLOOKUP(tbl_product_scores[[#This Row],[product_key]],tbl_products[[product_key]:[group_display_key]],2,FALSE),"")</f>
        <v/>
      </c>
    </row>
    <row r="4700" spans="8:8" x14ac:dyDescent="0.2">
      <c r="H4700" s="11" t="str">
        <f>IFERROR(VLOOKUP(tbl_product_scores[[#This Row],[product_key]],tbl_products[[product_key]:[group_display_key]],2,FALSE),"")</f>
        <v/>
      </c>
    </row>
    <row r="4701" spans="8:8" x14ac:dyDescent="0.2">
      <c r="H4701" s="11" t="str">
        <f>IFERROR(VLOOKUP(tbl_product_scores[[#This Row],[product_key]],tbl_products[[product_key]:[group_display_key]],2,FALSE),"")</f>
        <v/>
      </c>
    </row>
    <row r="4702" spans="8:8" x14ac:dyDescent="0.2">
      <c r="H4702" s="11" t="str">
        <f>IFERROR(VLOOKUP(tbl_product_scores[[#This Row],[product_key]],tbl_products[[product_key]:[group_display_key]],2,FALSE),"")</f>
        <v/>
      </c>
    </row>
    <row r="4703" spans="8:8" x14ac:dyDescent="0.2">
      <c r="H4703" s="11" t="str">
        <f>IFERROR(VLOOKUP(tbl_product_scores[[#This Row],[product_key]],tbl_products[[product_key]:[group_display_key]],2,FALSE),"")</f>
        <v/>
      </c>
    </row>
    <row r="4704" spans="8:8" x14ac:dyDescent="0.2">
      <c r="H4704" s="11" t="str">
        <f>IFERROR(VLOOKUP(tbl_product_scores[[#This Row],[product_key]],tbl_products[[product_key]:[group_display_key]],2,FALSE),"")</f>
        <v/>
      </c>
    </row>
    <row r="4705" spans="8:8" x14ac:dyDescent="0.2">
      <c r="H4705" s="11" t="str">
        <f>IFERROR(VLOOKUP(tbl_product_scores[[#This Row],[product_key]],tbl_products[[product_key]:[group_display_key]],2,FALSE),"")</f>
        <v/>
      </c>
    </row>
    <row r="4706" spans="8:8" x14ac:dyDescent="0.2">
      <c r="H4706" s="11" t="str">
        <f>IFERROR(VLOOKUP(tbl_product_scores[[#This Row],[product_key]],tbl_products[[product_key]:[group_display_key]],2,FALSE),"")</f>
        <v/>
      </c>
    </row>
    <row r="4707" spans="8:8" x14ac:dyDescent="0.2">
      <c r="H4707" s="11" t="str">
        <f>IFERROR(VLOOKUP(tbl_product_scores[[#This Row],[product_key]],tbl_products[[product_key]:[group_display_key]],2,FALSE),"")</f>
        <v/>
      </c>
    </row>
    <row r="4708" spans="8:8" x14ac:dyDescent="0.2">
      <c r="H4708" s="11" t="str">
        <f>IFERROR(VLOOKUP(tbl_product_scores[[#This Row],[product_key]],tbl_products[[product_key]:[group_display_key]],2,FALSE),"")</f>
        <v/>
      </c>
    </row>
    <row r="4709" spans="8:8" x14ac:dyDescent="0.2">
      <c r="H4709" s="11" t="str">
        <f>IFERROR(VLOOKUP(tbl_product_scores[[#This Row],[product_key]],tbl_products[[product_key]:[group_display_key]],2,FALSE),"")</f>
        <v/>
      </c>
    </row>
    <row r="4710" spans="8:8" x14ac:dyDescent="0.2">
      <c r="H4710" s="11" t="str">
        <f>IFERROR(VLOOKUP(tbl_product_scores[[#This Row],[product_key]],tbl_products[[product_key]:[group_display_key]],2,FALSE),"")</f>
        <v/>
      </c>
    </row>
    <row r="4711" spans="8:8" x14ac:dyDescent="0.2">
      <c r="H4711" s="11" t="str">
        <f>IFERROR(VLOOKUP(tbl_product_scores[[#This Row],[product_key]],tbl_products[[product_key]:[group_display_key]],2,FALSE),"")</f>
        <v/>
      </c>
    </row>
    <row r="4712" spans="8:8" x14ac:dyDescent="0.2">
      <c r="H4712" s="11" t="str">
        <f>IFERROR(VLOOKUP(tbl_product_scores[[#This Row],[product_key]],tbl_products[[product_key]:[group_display_key]],2,FALSE),"")</f>
        <v/>
      </c>
    </row>
    <row r="4713" spans="8:8" x14ac:dyDescent="0.2">
      <c r="H4713" s="11" t="str">
        <f>IFERROR(VLOOKUP(tbl_product_scores[[#This Row],[product_key]],tbl_products[[product_key]:[group_display_key]],2,FALSE),"")</f>
        <v/>
      </c>
    </row>
    <row r="4714" spans="8:8" x14ac:dyDescent="0.2">
      <c r="H4714" s="11" t="str">
        <f>IFERROR(VLOOKUP(tbl_product_scores[[#This Row],[product_key]],tbl_products[[product_key]:[group_display_key]],2,FALSE),"")</f>
        <v/>
      </c>
    </row>
    <row r="4715" spans="8:8" x14ac:dyDescent="0.2">
      <c r="H4715" s="11" t="str">
        <f>IFERROR(VLOOKUP(tbl_product_scores[[#This Row],[product_key]],tbl_products[[product_key]:[group_display_key]],2,FALSE),"")</f>
        <v/>
      </c>
    </row>
    <row r="4716" spans="8:8" x14ac:dyDescent="0.2">
      <c r="H4716" s="11" t="str">
        <f>IFERROR(VLOOKUP(tbl_product_scores[[#This Row],[product_key]],tbl_products[[product_key]:[group_display_key]],2,FALSE),"")</f>
        <v/>
      </c>
    </row>
    <row r="4717" spans="8:8" x14ac:dyDescent="0.2">
      <c r="H4717" s="11" t="str">
        <f>IFERROR(VLOOKUP(tbl_product_scores[[#This Row],[product_key]],tbl_products[[product_key]:[group_display_key]],2,FALSE),"")</f>
        <v/>
      </c>
    </row>
    <row r="4718" spans="8:8" x14ac:dyDescent="0.2">
      <c r="H4718" s="11" t="str">
        <f>IFERROR(VLOOKUP(tbl_product_scores[[#This Row],[product_key]],tbl_products[[product_key]:[group_display_key]],2,FALSE),"")</f>
        <v/>
      </c>
    </row>
    <row r="4719" spans="8:8" x14ac:dyDescent="0.2">
      <c r="H4719" s="11" t="str">
        <f>IFERROR(VLOOKUP(tbl_product_scores[[#This Row],[product_key]],tbl_products[[product_key]:[group_display_key]],2,FALSE),"")</f>
        <v/>
      </c>
    </row>
    <row r="4720" spans="8:8" x14ac:dyDescent="0.2">
      <c r="H4720" s="11" t="str">
        <f>IFERROR(VLOOKUP(tbl_product_scores[[#This Row],[product_key]],tbl_products[[product_key]:[group_display_key]],2,FALSE),"")</f>
        <v/>
      </c>
    </row>
    <row r="4721" spans="8:8" x14ac:dyDescent="0.2">
      <c r="H4721" s="11" t="str">
        <f>IFERROR(VLOOKUP(tbl_product_scores[[#This Row],[product_key]],tbl_products[[product_key]:[group_display_key]],2,FALSE),"")</f>
        <v/>
      </c>
    </row>
    <row r="4722" spans="8:8" x14ac:dyDescent="0.2">
      <c r="H4722" s="11" t="str">
        <f>IFERROR(VLOOKUP(tbl_product_scores[[#This Row],[product_key]],tbl_products[[product_key]:[group_display_key]],2,FALSE),"")</f>
        <v/>
      </c>
    </row>
    <row r="4723" spans="8:8" x14ac:dyDescent="0.2">
      <c r="H4723" s="11" t="str">
        <f>IFERROR(VLOOKUP(tbl_product_scores[[#This Row],[product_key]],tbl_products[[product_key]:[group_display_key]],2,FALSE),"")</f>
        <v/>
      </c>
    </row>
    <row r="4724" spans="8:8" x14ac:dyDescent="0.2">
      <c r="H4724" s="11" t="str">
        <f>IFERROR(VLOOKUP(tbl_product_scores[[#This Row],[product_key]],tbl_products[[product_key]:[group_display_key]],2,FALSE),"")</f>
        <v/>
      </c>
    </row>
    <row r="4725" spans="8:8" x14ac:dyDescent="0.2">
      <c r="H4725" s="11" t="str">
        <f>IFERROR(VLOOKUP(tbl_product_scores[[#This Row],[product_key]],tbl_products[[product_key]:[group_display_key]],2,FALSE),"")</f>
        <v/>
      </c>
    </row>
    <row r="4726" spans="8:8" x14ac:dyDescent="0.2">
      <c r="H4726" s="11" t="str">
        <f>IFERROR(VLOOKUP(tbl_product_scores[[#This Row],[product_key]],tbl_products[[product_key]:[group_display_key]],2,FALSE),"")</f>
        <v/>
      </c>
    </row>
    <row r="4727" spans="8:8" x14ac:dyDescent="0.2">
      <c r="H4727" s="11" t="str">
        <f>IFERROR(VLOOKUP(tbl_product_scores[[#This Row],[product_key]],tbl_products[[product_key]:[group_display_key]],2,FALSE),"")</f>
        <v/>
      </c>
    </row>
    <row r="4728" spans="8:8" x14ac:dyDescent="0.2">
      <c r="H4728" s="11" t="str">
        <f>IFERROR(VLOOKUP(tbl_product_scores[[#This Row],[product_key]],tbl_products[[product_key]:[group_display_key]],2,FALSE),"")</f>
        <v/>
      </c>
    </row>
    <row r="4729" spans="8:8" x14ac:dyDescent="0.2">
      <c r="H4729" s="11" t="str">
        <f>IFERROR(VLOOKUP(tbl_product_scores[[#This Row],[product_key]],tbl_products[[product_key]:[group_display_key]],2,FALSE),"")</f>
        <v/>
      </c>
    </row>
    <row r="4730" spans="8:8" x14ac:dyDescent="0.2">
      <c r="H4730" s="11" t="str">
        <f>IFERROR(VLOOKUP(tbl_product_scores[[#This Row],[product_key]],tbl_products[[product_key]:[group_display_key]],2,FALSE),"")</f>
        <v/>
      </c>
    </row>
    <row r="4731" spans="8:8" x14ac:dyDescent="0.2">
      <c r="H4731" s="11" t="str">
        <f>IFERROR(VLOOKUP(tbl_product_scores[[#This Row],[product_key]],tbl_products[[product_key]:[group_display_key]],2,FALSE),"")</f>
        <v/>
      </c>
    </row>
    <row r="4732" spans="8:8" x14ac:dyDescent="0.2">
      <c r="H4732" s="11" t="str">
        <f>IFERROR(VLOOKUP(tbl_product_scores[[#This Row],[product_key]],tbl_products[[product_key]:[group_display_key]],2,FALSE),"")</f>
        <v/>
      </c>
    </row>
    <row r="4733" spans="8:8" x14ac:dyDescent="0.2">
      <c r="H4733" s="11" t="str">
        <f>IFERROR(VLOOKUP(tbl_product_scores[[#This Row],[product_key]],tbl_products[[product_key]:[group_display_key]],2,FALSE),"")</f>
        <v/>
      </c>
    </row>
    <row r="4734" spans="8:8" x14ac:dyDescent="0.2">
      <c r="H4734" s="11" t="str">
        <f>IFERROR(VLOOKUP(tbl_product_scores[[#This Row],[product_key]],tbl_products[[product_key]:[group_display_key]],2,FALSE),"")</f>
        <v/>
      </c>
    </row>
    <row r="4735" spans="8:8" x14ac:dyDescent="0.2">
      <c r="H4735" s="11" t="str">
        <f>IFERROR(VLOOKUP(tbl_product_scores[[#This Row],[product_key]],tbl_products[[product_key]:[group_display_key]],2,FALSE),"")</f>
        <v/>
      </c>
    </row>
    <row r="4736" spans="8:8" x14ac:dyDescent="0.2">
      <c r="H4736" s="11" t="str">
        <f>IFERROR(VLOOKUP(tbl_product_scores[[#This Row],[product_key]],tbl_products[[product_key]:[group_display_key]],2,FALSE),"")</f>
        <v/>
      </c>
    </row>
    <row r="4737" spans="8:8" x14ac:dyDescent="0.2">
      <c r="H4737" s="11" t="str">
        <f>IFERROR(VLOOKUP(tbl_product_scores[[#This Row],[product_key]],tbl_products[[product_key]:[group_display_key]],2,FALSE),"")</f>
        <v/>
      </c>
    </row>
    <row r="4738" spans="8:8" x14ac:dyDescent="0.2">
      <c r="H4738" s="11" t="str">
        <f>IFERROR(VLOOKUP(tbl_product_scores[[#This Row],[product_key]],tbl_products[[product_key]:[group_display_key]],2,FALSE),"")</f>
        <v/>
      </c>
    </row>
    <row r="4739" spans="8:8" x14ac:dyDescent="0.2">
      <c r="H4739" s="11" t="str">
        <f>IFERROR(VLOOKUP(tbl_product_scores[[#This Row],[product_key]],tbl_products[[product_key]:[group_display_key]],2,FALSE),"")</f>
        <v/>
      </c>
    </row>
    <row r="4740" spans="8:8" x14ac:dyDescent="0.2">
      <c r="H4740" s="11" t="str">
        <f>IFERROR(VLOOKUP(tbl_product_scores[[#This Row],[product_key]],tbl_products[[product_key]:[group_display_key]],2,FALSE),"")</f>
        <v/>
      </c>
    </row>
    <row r="4741" spans="8:8" x14ac:dyDescent="0.2">
      <c r="H4741" s="11" t="str">
        <f>IFERROR(VLOOKUP(tbl_product_scores[[#This Row],[product_key]],tbl_products[[product_key]:[group_display_key]],2,FALSE),"")</f>
        <v/>
      </c>
    </row>
    <row r="4742" spans="8:8" x14ac:dyDescent="0.2">
      <c r="H4742" s="11" t="str">
        <f>IFERROR(VLOOKUP(tbl_product_scores[[#This Row],[product_key]],tbl_products[[product_key]:[group_display_key]],2,FALSE),"")</f>
        <v/>
      </c>
    </row>
    <row r="4743" spans="8:8" x14ac:dyDescent="0.2">
      <c r="H4743" s="11" t="str">
        <f>IFERROR(VLOOKUP(tbl_product_scores[[#This Row],[product_key]],tbl_products[[product_key]:[group_display_key]],2,FALSE),"")</f>
        <v/>
      </c>
    </row>
    <row r="4744" spans="8:8" x14ac:dyDescent="0.2">
      <c r="H4744" s="11" t="str">
        <f>IFERROR(VLOOKUP(tbl_product_scores[[#This Row],[product_key]],tbl_products[[product_key]:[group_display_key]],2,FALSE),"")</f>
        <v/>
      </c>
    </row>
    <row r="4745" spans="8:8" x14ac:dyDescent="0.2">
      <c r="H4745" s="11" t="str">
        <f>IFERROR(VLOOKUP(tbl_product_scores[[#This Row],[product_key]],tbl_products[[product_key]:[group_display_key]],2,FALSE),"")</f>
        <v/>
      </c>
    </row>
    <row r="4746" spans="8:8" x14ac:dyDescent="0.2">
      <c r="H4746" s="11" t="str">
        <f>IFERROR(VLOOKUP(tbl_product_scores[[#This Row],[product_key]],tbl_products[[product_key]:[group_display_key]],2,FALSE),"")</f>
        <v/>
      </c>
    </row>
    <row r="4747" spans="8:8" x14ac:dyDescent="0.2">
      <c r="H4747" s="11" t="str">
        <f>IFERROR(VLOOKUP(tbl_product_scores[[#This Row],[product_key]],tbl_products[[product_key]:[group_display_key]],2,FALSE),"")</f>
        <v/>
      </c>
    </row>
    <row r="4748" spans="8:8" x14ac:dyDescent="0.2">
      <c r="H4748" s="11" t="str">
        <f>IFERROR(VLOOKUP(tbl_product_scores[[#This Row],[product_key]],tbl_products[[product_key]:[group_display_key]],2,FALSE),"")</f>
        <v/>
      </c>
    </row>
    <row r="4749" spans="8:8" x14ac:dyDescent="0.2">
      <c r="H4749" s="11" t="str">
        <f>IFERROR(VLOOKUP(tbl_product_scores[[#This Row],[product_key]],tbl_products[[product_key]:[group_display_key]],2,FALSE),"")</f>
        <v/>
      </c>
    </row>
    <row r="4750" spans="8:8" x14ac:dyDescent="0.2">
      <c r="H4750" s="11" t="str">
        <f>IFERROR(VLOOKUP(tbl_product_scores[[#This Row],[product_key]],tbl_products[[product_key]:[group_display_key]],2,FALSE),"")</f>
        <v/>
      </c>
    </row>
    <row r="4751" spans="8:8" x14ac:dyDescent="0.2">
      <c r="H4751" s="11" t="str">
        <f>IFERROR(VLOOKUP(tbl_product_scores[[#This Row],[product_key]],tbl_products[[product_key]:[group_display_key]],2,FALSE),"")</f>
        <v/>
      </c>
    </row>
    <row r="4752" spans="8:8" x14ac:dyDescent="0.2">
      <c r="H4752" s="11" t="str">
        <f>IFERROR(VLOOKUP(tbl_product_scores[[#This Row],[product_key]],tbl_products[[product_key]:[group_display_key]],2,FALSE),"")</f>
        <v/>
      </c>
    </row>
    <row r="4753" spans="8:8" x14ac:dyDescent="0.2">
      <c r="H4753" s="11" t="str">
        <f>IFERROR(VLOOKUP(tbl_product_scores[[#This Row],[product_key]],tbl_products[[product_key]:[group_display_key]],2,FALSE),"")</f>
        <v/>
      </c>
    </row>
    <row r="4754" spans="8:8" x14ac:dyDescent="0.2">
      <c r="H4754" s="11" t="str">
        <f>IFERROR(VLOOKUP(tbl_product_scores[[#This Row],[product_key]],tbl_products[[product_key]:[group_display_key]],2,FALSE),"")</f>
        <v/>
      </c>
    </row>
    <row r="4755" spans="8:8" x14ac:dyDescent="0.2">
      <c r="H4755" s="11" t="str">
        <f>IFERROR(VLOOKUP(tbl_product_scores[[#This Row],[product_key]],tbl_products[[product_key]:[group_display_key]],2,FALSE),"")</f>
        <v/>
      </c>
    </row>
    <row r="4756" spans="8:8" x14ac:dyDescent="0.2">
      <c r="H4756" s="11" t="str">
        <f>IFERROR(VLOOKUP(tbl_product_scores[[#This Row],[product_key]],tbl_products[[product_key]:[group_display_key]],2,FALSE),"")</f>
        <v/>
      </c>
    </row>
    <row r="4757" spans="8:8" x14ac:dyDescent="0.2">
      <c r="H4757" s="11" t="str">
        <f>IFERROR(VLOOKUP(tbl_product_scores[[#This Row],[product_key]],tbl_products[[product_key]:[group_display_key]],2,FALSE),"")</f>
        <v/>
      </c>
    </row>
    <row r="4758" spans="8:8" x14ac:dyDescent="0.2">
      <c r="H4758" s="11" t="str">
        <f>IFERROR(VLOOKUP(tbl_product_scores[[#This Row],[product_key]],tbl_products[[product_key]:[group_display_key]],2,FALSE),"")</f>
        <v/>
      </c>
    </row>
    <row r="4759" spans="8:8" x14ac:dyDescent="0.2">
      <c r="H4759" s="11" t="str">
        <f>IFERROR(VLOOKUP(tbl_product_scores[[#This Row],[product_key]],tbl_products[[product_key]:[group_display_key]],2,FALSE),"")</f>
        <v/>
      </c>
    </row>
    <row r="4760" spans="8:8" x14ac:dyDescent="0.2">
      <c r="H4760" s="11" t="str">
        <f>IFERROR(VLOOKUP(tbl_product_scores[[#This Row],[product_key]],tbl_products[[product_key]:[group_display_key]],2,FALSE),"")</f>
        <v/>
      </c>
    </row>
    <row r="4761" spans="8:8" x14ac:dyDescent="0.2">
      <c r="H4761" s="11" t="str">
        <f>IFERROR(VLOOKUP(tbl_product_scores[[#This Row],[product_key]],tbl_products[[product_key]:[group_display_key]],2,FALSE),"")</f>
        <v/>
      </c>
    </row>
    <row r="4762" spans="8:8" x14ac:dyDescent="0.2">
      <c r="H4762" s="11" t="str">
        <f>IFERROR(VLOOKUP(tbl_product_scores[[#This Row],[product_key]],tbl_products[[product_key]:[group_display_key]],2,FALSE),"")</f>
        <v/>
      </c>
    </row>
    <row r="4763" spans="8:8" x14ac:dyDescent="0.2">
      <c r="H4763" s="11" t="str">
        <f>IFERROR(VLOOKUP(tbl_product_scores[[#This Row],[product_key]],tbl_products[[product_key]:[group_display_key]],2,FALSE),"")</f>
        <v/>
      </c>
    </row>
    <row r="4764" spans="8:8" x14ac:dyDescent="0.2">
      <c r="H4764" s="11" t="str">
        <f>IFERROR(VLOOKUP(tbl_product_scores[[#This Row],[product_key]],tbl_products[[product_key]:[group_display_key]],2,FALSE),"")</f>
        <v/>
      </c>
    </row>
    <row r="4765" spans="8:8" x14ac:dyDescent="0.2">
      <c r="H4765" s="11" t="str">
        <f>IFERROR(VLOOKUP(tbl_product_scores[[#This Row],[product_key]],tbl_products[[product_key]:[group_display_key]],2,FALSE),"")</f>
        <v/>
      </c>
    </row>
    <row r="4766" spans="8:8" x14ac:dyDescent="0.2">
      <c r="H4766" s="11" t="str">
        <f>IFERROR(VLOOKUP(tbl_product_scores[[#This Row],[product_key]],tbl_products[[product_key]:[group_display_key]],2,FALSE),"")</f>
        <v/>
      </c>
    </row>
    <row r="4767" spans="8:8" x14ac:dyDescent="0.2">
      <c r="H4767" s="11" t="str">
        <f>IFERROR(VLOOKUP(tbl_product_scores[[#This Row],[product_key]],tbl_products[[product_key]:[group_display_key]],2,FALSE),"")</f>
        <v/>
      </c>
    </row>
    <row r="4768" spans="8:8" x14ac:dyDescent="0.2">
      <c r="H4768" s="11" t="str">
        <f>IFERROR(VLOOKUP(tbl_product_scores[[#This Row],[product_key]],tbl_products[[product_key]:[group_display_key]],2,FALSE),"")</f>
        <v/>
      </c>
    </row>
    <row r="4769" spans="8:8" x14ac:dyDescent="0.2">
      <c r="H4769" s="11" t="str">
        <f>IFERROR(VLOOKUP(tbl_product_scores[[#This Row],[product_key]],tbl_products[[product_key]:[group_display_key]],2,FALSE),"")</f>
        <v/>
      </c>
    </row>
    <row r="4770" spans="8:8" x14ac:dyDescent="0.2">
      <c r="H4770" s="11" t="str">
        <f>IFERROR(VLOOKUP(tbl_product_scores[[#This Row],[product_key]],tbl_products[[product_key]:[group_display_key]],2,FALSE),"")</f>
        <v/>
      </c>
    </row>
    <row r="4771" spans="8:8" x14ac:dyDescent="0.2">
      <c r="H4771" s="11" t="str">
        <f>IFERROR(VLOOKUP(tbl_product_scores[[#This Row],[product_key]],tbl_products[[product_key]:[group_display_key]],2,FALSE),"")</f>
        <v/>
      </c>
    </row>
    <row r="4772" spans="8:8" x14ac:dyDescent="0.2">
      <c r="H4772" s="11" t="str">
        <f>IFERROR(VLOOKUP(tbl_product_scores[[#This Row],[product_key]],tbl_products[[product_key]:[group_display_key]],2,FALSE),"")</f>
        <v/>
      </c>
    </row>
    <row r="4773" spans="8:8" x14ac:dyDescent="0.2">
      <c r="H4773" s="11" t="str">
        <f>IFERROR(VLOOKUP(tbl_product_scores[[#This Row],[product_key]],tbl_products[[product_key]:[group_display_key]],2,FALSE),"")</f>
        <v/>
      </c>
    </row>
    <row r="4774" spans="8:8" x14ac:dyDescent="0.2">
      <c r="H4774" s="11" t="str">
        <f>IFERROR(VLOOKUP(tbl_product_scores[[#This Row],[product_key]],tbl_products[[product_key]:[group_display_key]],2,FALSE),"")</f>
        <v/>
      </c>
    </row>
    <row r="4775" spans="8:8" x14ac:dyDescent="0.2">
      <c r="H4775" s="11" t="str">
        <f>IFERROR(VLOOKUP(tbl_product_scores[[#This Row],[product_key]],tbl_products[[product_key]:[group_display_key]],2,FALSE),"")</f>
        <v/>
      </c>
    </row>
    <row r="4776" spans="8:8" x14ac:dyDescent="0.2">
      <c r="H4776" s="11" t="str">
        <f>IFERROR(VLOOKUP(tbl_product_scores[[#This Row],[product_key]],tbl_products[[product_key]:[group_display_key]],2,FALSE),"")</f>
        <v/>
      </c>
    </row>
    <row r="4777" spans="8:8" x14ac:dyDescent="0.2">
      <c r="H4777" s="11" t="str">
        <f>IFERROR(VLOOKUP(tbl_product_scores[[#This Row],[product_key]],tbl_products[[product_key]:[group_display_key]],2,FALSE),"")</f>
        <v/>
      </c>
    </row>
    <row r="4778" spans="8:8" x14ac:dyDescent="0.2">
      <c r="H4778" s="11" t="str">
        <f>IFERROR(VLOOKUP(tbl_product_scores[[#This Row],[product_key]],tbl_products[[product_key]:[group_display_key]],2,FALSE),"")</f>
        <v/>
      </c>
    </row>
    <row r="4779" spans="8:8" x14ac:dyDescent="0.2">
      <c r="H4779" s="11" t="str">
        <f>IFERROR(VLOOKUP(tbl_product_scores[[#This Row],[product_key]],tbl_products[[product_key]:[group_display_key]],2,FALSE),"")</f>
        <v/>
      </c>
    </row>
    <row r="4780" spans="8:8" x14ac:dyDescent="0.2">
      <c r="H4780" s="11" t="str">
        <f>IFERROR(VLOOKUP(tbl_product_scores[[#This Row],[product_key]],tbl_products[[product_key]:[group_display_key]],2,FALSE),"")</f>
        <v/>
      </c>
    </row>
    <row r="4781" spans="8:8" x14ac:dyDescent="0.2">
      <c r="H4781" s="11" t="str">
        <f>IFERROR(VLOOKUP(tbl_product_scores[[#This Row],[product_key]],tbl_products[[product_key]:[group_display_key]],2,FALSE),"")</f>
        <v/>
      </c>
    </row>
    <row r="4782" spans="8:8" x14ac:dyDescent="0.2">
      <c r="H4782" s="11" t="str">
        <f>IFERROR(VLOOKUP(tbl_product_scores[[#This Row],[product_key]],tbl_products[[product_key]:[group_display_key]],2,FALSE),"")</f>
        <v/>
      </c>
    </row>
    <row r="4783" spans="8:8" x14ac:dyDescent="0.2">
      <c r="H4783" s="11" t="str">
        <f>IFERROR(VLOOKUP(tbl_product_scores[[#This Row],[product_key]],tbl_products[[product_key]:[group_display_key]],2,FALSE),"")</f>
        <v/>
      </c>
    </row>
    <row r="4784" spans="8:8" x14ac:dyDescent="0.2">
      <c r="H4784" s="11" t="str">
        <f>IFERROR(VLOOKUP(tbl_product_scores[[#This Row],[product_key]],tbl_products[[product_key]:[group_display_key]],2,FALSE),"")</f>
        <v/>
      </c>
    </row>
    <row r="4785" spans="8:8" x14ac:dyDescent="0.2">
      <c r="H4785" s="11" t="str">
        <f>IFERROR(VLOOKUP(tbl_product_scores[[#This Row],[product_key]],tbl_products[[product_key]:[group_display_key]],2,FALSE),"")</f>
        <v/>
      </c>
    </row>
    <row r="4786" spans="8:8" x14ac:dyDescent="0.2">
      <c r="H4786" s="11" t="str">
        <f>IFERROR(VLOOKUP(tbl_product_scores[[#This Row],[product_key]],tbl_products[[product_key]:[group_display_key]],2,FALSE),"")</f>
        <v/>
      </c>
    </row>
    <row r="4787" spans="8:8" x14ac:dyDescent="0.2">
      <c r="H4787" s="11" t="str">
        <f>IFERROR(VLOOKUP(tbl_product_scores[[#This Row],[product_key]],tbl_products[[product_key]:[group_display_key]],2,FALSE),"")</f>
        <v/>
      </c>
    </row>
    <row r="4788" spans="8:8" x14ac:dyDescent="0.2">
      <c r="H4788" s="11" t="str">
        <f>IFERROR(VLOOKUP(tbl_product_scores[[#This Row],[product_key]],tbl_products[[product_key]:[group_display_key]],2,FALSE),"")</f>
        <v/>
      </c>
    </row>
    <row r="4789" spans="8:8" x14ac:dyDescent="0.2">
      <c r="H4789" s="11" t="str">
        <f>IFERROR(VLOOKUP(tbl_product_scores[[#This Row],[product_key]],tbl_products[[product_key]:[group_display_key]],2,FALSE),"")</f>
        <v/>
      </c>
    </row>
    <row r="4790" spans="8:8" x14ac:dyDescent="0.2">
      <c r="H4790" s="11" t="str">
        <f>IFERROR(VLOOKUP(tbl_product_scores[[#This Row],[product_key]],tbl_products[[product_key]:[group_display_key]],2,FALSE),"")</f>
        <v/>
      </c>
    </row>
    <row r="4791" spans="8:8" x14ac:dyDescent="0.2">
      <c r="H4791" s="11" t="str">
        <f>IFERROR(VLOOKUP(tbl_product_scores[[#This Row],[product_key]],tbl_products[[product_key]:[group_display_key]],2,FALSE),"")</f>
        <v/>
      </c>
    </row>
    <row r="4792" spans="8:8" x14ac:dyDescent="0.2">
      <c r="H4792" s="11" t="str">
        <f>IFERROR(VLOOKUP(tbl_product_scores[[#This Row],[product_key]],tbl_products[[product_key]:[group_display_key]],2,FALSE),"")</f>
        <v/>
      </c>
    </row>
    <row r="4793" spans="8:8" x14ac:dyDescent="0.2">
      <c r="H4793" s="11" t="str">
        <f>IFERROR(VLOOKUP(tbl_product_scores[[#This Row],[product_key]],tbl_products[[product_key]:[group_display_key]],2,FALSE),"")</f>
        <v/>
      </c>
    </row>
    <row r="4794" spans="8:8" x14ac:dyDescent="0.2">
      <c r="H4794" s="11" t="str">
        <f>IFERROR(VLOOKUP(tbl_product_scores[[#This Row],[product_key]],tbl_products[[product_key]:[group_display_key]],2,FALSE),"")</f>
        <v/>
      </c>
    </row>
    <row r="4795" spans="8:8" x14ac:dyDescent="0.2">
      <c r="H4795" s="11" t="str">
        <f>IFERROR(VLOOKUP(tbl_product_scores[[#This Row],[product_key]],tbl_products[[product_key]:[group_display_key]],2,FALSE),"")</f>
        <v/>
      </c>
    </row>
    <row r="4796" spans="8:8" x14ac:dyDescent="0.2">
      <c r="H4796" s="11" t="str">
        <f>IFERROR(VLOOKUP(tbl_product_scores[[#This Row],[product_key]],tbl_products[[product_key]:[group_display_key]],2,FALSE),"")</f>
        <v/>
      </c>
    </row>
    <row r="4797" spans="8:8" x14ac:dyDescent="0.2">
      <c r="H4797" s="11" t="str">
        <f>IFERROR(VLOOKUP(tbl_product_scores[[#This Row],[product_key]],tbl_products[[product_key]:[group_display_key]],2,FALSE),"")</f>
        <v/>
      </c>
    </row>
    <row r="4798" spans="8:8" x14ac:dyDescent="0.2">
      <c r="H4798" s="11" t="str">
        <f>IFERROR(VLOOKUP(tbl_product_scores[[#This Row],[product_key]],tbl_products[[product_key]:[group_display_key]],2,FALSE),"")</f>
        <v/>
      </c>
    </row>
    <row r="4799" spans="8:8" x14ac:dyDescent="0.2">
      <c r="H4799" s="11" t="str">
        <f>IFERROR(VLOOKUP(tbl_product_scores[[#This Row],[product_key]],tbl_products[[product_key]:[group_display_key]],2,FALSE),"")</f>
        <v/>
      </c>
    </row>
    <row r="4800" spans="8:8" x14ac:dyDescent="0.2">
      <c r="H4800" s="11" t="str">
        <f>IFERROR(VLOOKUP(tbl_product_scores[[#This Row],[product_key]],tbl_products[[product_key]:[group_display_key]],2,FALSE),"")</f>
        <v/>
      </c>
    </row>
    <row r="4801" spans="8:8" x14ac:dyDescent="0.2">
      <c r="H4801" s="11" t="str">
        <f>IFERROR(VLOOKUP(tbl_product_scores[[#This Row],[product_key]],tbl_products[[product_key]:[group_display_key]],2,FALSE),"")</f>
        <v/>
      </c>
    </row>
    <row r="4802" spans="8:8" x14ac:dyDescent="0.2">
      <c r="H4802" s="11" t="str">
        <f>IFERROR(VLOOKUP(tbl_product_scores[[#This Row],[product_key]],tbl_products[[product_key]:[group_display_key]],2,FALSE),"")</f>
        <v/>
      </c>
    </row>
    <row r="4803" spans="8:8" x14ac:dyDescent="0.2">
      <c r="H4803" s="11" t="str">
        <f>IFERROR(VLOOKUP(tbl_product_scores[[#This Row],[product_key]],tbl_products[[product_key]:[group_display_key]],2,FALSE),"")</f>
        <v/>
      </c>
    </row>
    <row r="4804" spans="8:8" x14ac:dyDescent="0.2">
      <c r="H4804" s="11" t="str">
        <f>IFERROR(VLOOKUP(tbl_product_scores[[#This Row],[product_key]],tbl_products[[product_key]:[group_display_key]],2,FALSE),"")</f>
        <v/>
      </c>
    </row>
    <row r="4805" spans="8:8" x14ac:dyDescent="0.2">
      <c r="H4805" s="11" t="str">
        <f>IFERROR(VLOOKUP(tbl_product_scores[[#This Row],[product_key]],tbl_products[[product_key]:[group_display_key]],2,FALSE),"")</f>
        <v/>
      </c>
    </row>
    <row r="4806" spans="8:8" x14ac:dyDescent="0.2">
      <c r="H4806" s="11" t="str">
        <f>IFERROR(VLOOKUP(tbl_product_scores[[#This Row],[product_key]],tbl_products[[product_key]:[group_display_key]],2,FALSE),"")</f>
        <v/>
      </c>
    </row>
    <row r="4807" spans="8:8" x14ac:dyDescent="0.2">
      <c r="H4807" s="11" t="str">
        <f>IFERROR(VLOOKUP(tbl_product_scores[[#This Row],[product_key]],tbl_products[[product_key]:[group_display_key]],2,FALSE),"")</f>
        <v/>
      </c>
    </row>
    <row r="4808" spans="8:8" x14ac:dyDescent="0.2">
      <c r="H4808" s="11" t="str">
        <f>IFERROR(VLOOKUP(tbl_product_scores[[#This Row],[product_key]],tbl_products[[product_key]:[group_display_key]],2,FALSE),"")</f>
        <v/>
      </c>
    </row>
    <row r="4809" spans="8:8" x14ac:dyDescent="0.2">
      <c r="H4809" s="11" t="str">
        <f>IFERROR(VLOOKUP(tbl_product_scores[[#This Row],[product_key]],tbl_products[[product_key]:[group_display_key]],2,FALSE),"")</f>
        <v/>
      </c>
    </row>
    <row r="4810" spans="8:8" x14ac:dyDescent="0.2">
      <c r="H4810" s="11" t="str">
        <f>IFERROR(VLOOKUP(tbl_product_scores[[#This Row],[product_key]],tbl_products[[product_key]:[group_display_key]],2,FALSE),"")</f>
        <v/>
      </c>
    </row>
    <row r="4811" spans="8:8" x14ac:dyDescent="0.2">
      <c r="H4811" s="11" t="str">
        <f>IFERROR(VLOOKUP(tbl_product_scores[[#This Row],[product_key]],tbl_products[[product_key]:[group_display_key]],2,FALSE),"")</f>
        <v/>
      </c>
    </row>
    <row r="4812" spans="8:8" x14ac:dyDescent="0.2">
      <c r="H4812" s="11" t="str">
        <f>IFERROR(VLOOKUP(tbl_product_scores[[#This Row],[product_key]],tbl_products[[product_key]:[group_display_key]],2,FALSE),"")</f>
        <v/>
      </c>
    </row>
    <row r="4813" spans="8:8" x14ac:dyDescent="0.2">
      <c r="H4813" s="11" t="str">
        <f>IFERROR(VLOOKUP(tbl_product_scores[[#This Row],[product_key]],tbl_products[[product_key]:[group_display_key]],2,FALSE),"")</f>
        <v/>
      </c>
    </row>
    <row r="4814" spans="8:8" x14ac:dyDescent="0.2">
      <c r="H4814" s="11" t="str">
        <f>IFERROR(VLOOKUP(tbl_product_scores[[#This Row],[product_key]],tbl_products[[product_key]:[group_display_key]],2,FALSE),"")</f>
        <v/>
      </c>
    </row>
    <row r="4815" spans="8:8" x14ac:dyDescent="0.2">
      <c r="H4815" s="11" t="str">
        <f>IFERROR(VLOOKUP(tbl_product_scores[[#This Row],[product_key]],tbl_products[[product_key]:[group_display_key]],2,FALSE),"")</f>
        <v/>
      </c>
    </row>
    <row r="4816" spans="8:8" x14ac:dyDescent="0.2">
      <c r="H4816" s="11" t="str">
        <f>IFERROR(VLOOKUP(tbl_product_scores[[#This Row],[product_key]],tbl_products[[product_key]:[group_display_key]],2,FALSE),"")</f>
        <v/>
      </c>
    </row>
    <row r="4817" spans="8:8" x14ac:dyDescent="0.2">
      <c r="H4817" s="11" t="str">
        <f>IFERROR(VLOOKUP(tbl_product_scores[[#This Row],[product_key]],tbl_products[[product_key]:[group_display_key]],2,FALSE),"")</f>
        <v/>
      </c>
    </row>
    <row r="4818" spans="8:8" x14ac:dyDescent="0.2">
      <c r="H4818" s="11" t="str">
        <f>IFERROR(VLOOKUP(tbl_product_scores[[#This Row],[product_key]],tbl_products[[product_key]:[group_display_key]],2,FALSE),"")</f>
        <v/>
      </c>
    </row>
    <row r="4819" spans="8:8" x14ac:dyDescent="0.2">
      <c r="H4819" s="11" t="str">
        <f>IFERROR(VLOOKUP(tbl_product_scores[[#This Row],[product_key]],tbl_products[[product_key]:[group_display_key]],2,FALSE),"")</f>
        <v/>
      </c>
    </row>
    <row r="4820" spans="8:8" x14ac:dyDescent="0.2">
      <c r="H4820" s="11" t="str">
        <f>IFERROR(VLOOKUP(tbl_product_scores[[#This Row],[product_key]],tbl_products[[product_key]:[group_display_key]],2,FALSE),"")</f>
        <v/>
      </c>
    </row>
    <row r="4821" spans="8:8" x14ac:dyDescent="0.2">
      <c r="H4821" s="11" t="str">
        <f>IFERROR(VLOOKUP(tbl_product_scores[[#This Row],[product_key]],tbl_products[[product_key]:[group_display_key]],2,FALSE),"")</f>
        <v/>
      </c>
    </row>
    <row r="4822" spans="8:8" x14ac:dyDescent="0.2">
      <c r="H4822" s="11" t="str">
        <f>IFERROR(VLOOKUP(tbl_product_scores[[#This Row],[product_key]],tbl_products[[product_key]:[group_display_key]],2,FALSE),"")</f>
        <v/>
      </c>
    </row>
    <row r="4823" spans="8:8" x14ac:dyDescent="0.2">
      <c r="H4823" s="11" t="str">
        <f>IFERROR(VLOOKUP(tbl_product_scores[[#This Row],[product_key]],tbl_products[[product_key]:[group_display_key]],2,FALSE),"")</f>
        <v/>
      </c>
    </row>
    <row r="4824" spans="8:8" x14ac:dyDescent="0.2">
      <c r="H4824" s="11" t="str">
        <f>IFERROR(VLOOKUP(tbl_product_scores[[#This Row],[product_key]],tbl_products[[product_key]:[group_display_key]],2,FALSE),"")</f>
        <v/>
      </c>
    </row>
    <row r="4825" spans="8:8" x14ac:dyDescent="0.2">
      <c r="H4825" s="11" t="str">
        <f>IFERROR(VLOOKUP(tbl_product_scores[[#This Row],[product_key]],tbl_products[[product_key]:[group_display_key]],2,FALSE),"")</f>
        <v/>
      </c>
    </row>
    <row r="4826" spans="8:8" x14ac:dyDescent="0.2">
      <c r="H4826" s="11" t="str">
        <f>IFERROR(VLOOKUP(tbl_product_scores[[#This Row],[product_key]],tbl_products[[product_key]:[group_display_key]],2,FALSE),"")</f>
        <v/>
      </c>
    </row>
    <row r="4827" spans="8:8" x14ac:dyDescent="0.2">
      <c r="H4827" s="11" t="str">
        <f>IFERROR(VLOOKUP(tbl_product_scores[[#This Row],[product_key]],tbl_products[[product_key]:[group_display_key]],2,FALSE),"")</f>
        <v/>
      </c>
    </row>
    <row r="4828" spans="8:8" x14ac:dyDescent="0.2">
      <c r="H4828" s="11" t="str">
        <f>IFERROR(VLOOKUP(tbl_product_scores[[#This Row],[product_key]],tbl_products[[product_key]:[group_display_key]],2,FALSE),"")</f>
        <v/>
      </c>
    </row>
    <row r="4829" spans="8:8" x14ac:dyDescent="0.2">
      <c r="H4829" s="11" t="str">
        <f>IFERROR(VLOOKUP(tbl_product_scores[[#This Row],[product_key]],tbl_products[[product_key]:[group_display_key]],2,FALSE),"")</f>
        <v/>
      </c>
    </row>
    <row r="4830" spans="8:8" x14ac:dyDescent="0.2">
      <c r="H4830" s="11" t="str">
        <f>IFERROR(VLOOKUP(tbl_product_scores[[#This Row],[product_key]],tbl_products[[product_key]:[group_display_key]],2,FALSE),"")</f>
        <v/>
      </c>
    </row>
    <row r="4831" spans="8:8" x14ac:dyDescent="0.2">
      <c r="H4831" s="11" t="str">
        <f>IFERROR(VLOOKUP(tbl_product_scores[[#This Row],[product_key]],tbl_products[[product_key]:[group_display_key]],2,FALSE),"")</f>
        <v/>
      </c>
    </row>
    <row r="4832" spans="8:8" x14ac:dyDescent="0.2">
      <c r="H4832" s="11" t="str">
        <f>IFERROR(VLOOKUP(tbl_product_scores[[#This Row],[product_key]],tbl_products[[product_key]:[group_display_key]],2,FALSE),"")</f>
        <v/>
      </c>
    </row>
    <row r="4833" spans="8:8" x14ac:dyDescent="0.2">
      <c r="H4833" s="11" t="str">
        <f>IFERROR(VLOOKUP(tbl_product_scores[[#This Row],[product_key]],tbl_products[[product_key]:[group_display_key]],2,FALSE),"")</f>
        <v/>
      </c>
    </row>
    <row r="4834" spans="8:8" x14ac:dyDescent="0.2">
      <c r="H4834" s="11" t="str">
        <f>IFERROR(VLOOKUP(tbl_product_scores[[#This Row],[product_key]],tbl_products[[product_key]:[group_display_key]],2,FALSE),"")</f>
        <v/>
      </c>
    </row>
    <row r="4835" spans="8:8" x14ac:dyDescent="0.2">
      <c r="H4835" s="11" t="str">
        <f>IFERROR(VLOOKUP(tbl_product_scores[[#This Row],[product_key]],tbl_products[[product_key]:[group_display_key]],2,FALSE),"")</f>
        <v/>
      </c>
    </row>
    <row r="4836" spans="8:8" x14ac:dyDescent="0.2">
      <c r="H4836" s="11" t="str">
        <f>IFERROR(VLOOKUP(tbl_product_scores[[#This Row],[product_key]],tbl_products[[product_key]:[group_display_key]],2,FALSE),"")</f>
        <v/>
      </c>
    </row>
    <row r="4837" spans="8:8" x14ac:dyDescent="0.2">
      <c r="H4837" s="11" t="str">
        <f>IFERROR(VLOOKUP(tbl_product_scores[[#This Row],[product_key]],tbl_products[[product_key]:[group_display_key]],2,FALSE),"")</f>
        <v/>
      </c>
    </row>
    <row r="4838" spans="8:8" x14ac:dyDescent="0.2">
      <c r="H4838" s="11" t="str">
        <f>IFERROR(VLOOKUP(tbl_product_scores[[#This Row],[product_key]],tbl_products[[product_key]:[group_display_key]],2,FALSE),"")</f>
        <v/>
      </c>
    </row>
    <row r="4839" spans="8:8" x14ac:dyDescent="0.2">
      <c r="H4839" s="11" t="str">
        <f>IFERROR(VLOOKUP(tbl_product_scores[[#This Row],[product_key]],tbl_products[[product_key]:[group_display_key]],2,FALSE),"")</f>
        <v/>
      </c>
    </row>
    <row r="4840" spans="8:8" x14ac:dyDescent="0.2">
      <c r="H4840" s="11" t="str">
        <f>IFERROR(VLOOKUP(tbl_product_scores[[#This Row],[product_key]],tbl_products[[product_key]:[group_display_key]],2,FALSE),"")</f>
        <v/>
      </c>
    </row>
    <row r="4841" spans="8:8" x14ac:dyDescent="0.2">
      <c r="H4841" s="11" t="str">
        <f>IFERROR(VLOOKUP(tbl_product_scores[[#This Row],[product_key]],tbl_products[[product_key]:[group_display_key]],2,FALSE),"")</f>
        <v/>
      </c>
    </row>
    <row r="4842" spans="8:8" x14ac:dyDescent="0.2">
      <c r="H4842" s="11" t="str">
        <f>IFERROR(VLOOKUP(tbl_product_scores[[#This Row],[product_key]],tbl_products[[product_key]:[group_display_key]],2,FALSE),"")</f>
        <v/>
      </c>
    </row>
    <row r="4843" spans="8:8" x14ac:dyDescent="0.2">
      <c r="H4843" s="11" t="str">
        <f>IFERROR(VLOOKUP(tbl_product_scores[[#This Row],[product_key]],tbl_products[[product_key]:[group_display_key]],2,FALSE),"")</f>
        <v/>
      </c>
    </row>
    <row r="4844" spans="8:8" x14ac:dyDescent="0.2">
      <c r="H4844" s="11" t="str">
        <f>IFERROR(VLOOKUP(tbl_product_scores[[#This Row],[product_key]],tbl_products[[product_key]:[group_display_key]],2,FALSE),"")</f>
        <v/>
      </c>
    </row>
    <row r="4845" spans="8:8" x14ac:dyDescent="0.2">
      <c r="H4845" s="11" t="str">
        <f>IFERROR(VLOOKUP(tbl_product_scores[[#This Row],[product_key]],tbl_products[[product_key]:[group_display_key]],2,FALSE),"")</f>
        <v/>
      </c>
    </row>
    <row r="4846" spans="8:8" x14ac:dyDescent="0.2">
      <c r="H4846" s="11" t="str">
        <f>IFERROR(VLOOKUP(tbl_product_scores[[#This Row],[product_key]],tbl_products[[product_key]:[group_display_key]],2,FALSE),"")</f>
        <v/>
      </c>
    </row>
    <row r="4847" spans="8:8" x14ac:dyDescent="0.2">
      <c r="H4847" s="11" t="str">
        <f>IFERROR(VLOOKUP(tbl_product_scores[[#This Row],[product_key]],tbl_products[[product_key]:[group_display_key]],2,FALSE),"")</f>
        <v/>
      </c>
    </row>
    <row r="4848" spans="8:8" x14ac:dyDescent="0.2">
      <c r="H4848" s="11" t="str">
        <f>IFERROR(VLOOKUP(tbl_product_scores[[#This Row],[product_key]],tbl_products[[product_key]:[group_display_key]],2,FALSE),"")</f>
        <v/>
      </c>
    </row>
    <row r="4849" spans="8:8" x14ac:dyDescent="0.2">
      <c r="H4849" s="11" t="str">
        <f>IFERROR(VLOOKUP(tbl_product_scores[[#This Row],[product_key]],tbl_products[[product_key]:[group_display_key]],2,FALSE),"")</f>
        <v/>
      </c>
    </row>
    <row r="4850" spans="8:8" x14ac:dyDescent="0.2">
      <c r="H4850" s="11" t="str">
        <f>IFERROR(VLOOKUP(tbl_product_scores[[#This Row],[product_key]],tbl_products[[product_key]:[group_display_key]],2,FALSE),"")</f>
        <v/>
      </c>
    </row>
    <row r="4851" spans="8:8" x14ac:dyDescent="0.2">
      <c r="H4851" s="11" t="str">
        <f>IFERROR(VLOOKUP(tbl_product_scores[[#This Row],[product_key]],tbl_products[[product_key]:[group_display_key]],2,FALSE),"")</f>
        <v/>
      </c>
    </row>
    <row r="4852" spans="8:8" x14ac:dyDescent="0.2">
      <c r="H4852" s="11" t="str">
        <f>IFERROR(VLOOKUP(tbl_product_scores[[#This Row],[product_key]],tbl_products[[product_key]:[group_display_key]],2,FALSE),"")</f>
        <v/>
      </c>
    </row>
    <row r="4853" spans="8:8" x14ac:dyDescent="0.2">
      <c r="H4853" s="11" t="str">
        <f>IFERROR(VLOOKUP(tbl_product_scores[[#This Row],[product_key]],tbl_products[[product_key]:[group_display_key]],2,FALSE),"")</f>
        <v/>
      </c>
    </row>
    <row r="4854" spans="8:8" x14ac:dyDescent="0.2">
      <c r="H4854" s="11" t="str">
        <f>IFERROR(VLOOKUP(tbl_product_scores[[#This Row],[product_key]],tbl_products[[product_key]:[group_display_key]],2,FALSE),"")</f>
        <v/>
      </c>
    </row>
    <row r="4855" spans="8:8" x14ac:dyDescent="0.2">
      <c r="H4855" s="11" t="str">
        <f>IFERROR(VLOOKUP(tbl_product_scores[[#This Row],[product_key]],tbl_products[[product_key]:[group_display_key]],2,FALSE),"")</f>
        <v/>
      </c>
    </row>
    <row r="4856" spans="8:8" x14ac:dyDescent="0.2">
      <c r="H4856" s="11" t="str">
        <f>IFERROR(VLOOKUP(tbl_product_scores[[#This Row],[product_key]],tbl_products[[product_key]:[group_display_key]],2,FALSE),"")</f>
        <v/>
      </c>
    </row>
    <row r="4857" spans="8:8" x14ac:dyDescent="0.2">
      <c r="H4857" s="11" t="str">
        <f>IFERROR(VLOOKUP(tbl_product_scores[[#This Row],[product_key]],tbl_products[[product_key]:[group_display_key]],2,FALSE),"")</f>
        <v/>
      </c>
    </row>
    <row r="4858" spans="8:8" x14ac:dyDescent="0.2">
      <c r="H4858" s="11" t="str">
        <f>IFERROR(VLOOKUP(tbl_product_scores[[#This Row],[product_key]],tbl_products[[product_key]:[group_display_key]],2,FALSE),"")</f>
        <v/>
      </c>
    </row>
    <row r="4859" spans="8:8" x14ac:dyDescent="0.2">
      <c r="H4859" s="11" t="str">
        <f>IFERROR(VLOOKUP(tbl_product_scores[[#This Row],[product_key]],tbl_products[[product_key]:[group_display_key]],2,FALSE),"")</f>
        <v/>
      </c>
    </row>
    <row r="4860" spans="8:8" x14ac:dyDescent="0.2">
      <c r="H4860" s="11" t="str">
        <f>IFERROR(VLOOKUP(tbl_product_scores[[#This Row],[product_key]],tbl_products[[product_key]:[group_display_key]],2,FALSE),"")</f>
        <v/>
      </c>
    </row>
    <row r="4861" spans="8:8" x14ac:dyDescent="0.2">
      <c r="H4861" s="11" t="str">
        <f>IFERROR(VLOOKUP(tbl_product_scores[[#This Row],[product_key]],tbl_products[[product_key]:[group_display_key]],2,FALSE),"")</f>
        <v/>
      </c>
    </row>
    <row r="4862" spans="8:8" x14ac:dyDescent="0.2">
      <c r="H4862" s="11" t="str">
        <f>IFERROR(VLOOKUP(tbl_product_scores[[#This Row],[product_key]],tbl_products[[product_key]:[group_display_key]],2,FALSE),"")</f>
        <v/>
      </c>
    </row>
    <row r="4863" spans="8:8" x14ac:dyDescent="0.2">
      <c r="H4863" s="11" t="str">
        <f>IFERROR(VLOOKUP(tbl_product_scores[[#This Row],[product_key]],tbl_products[[product_key]:[group_display_key]],2,FALSE),"")</f>
        <v/>
      </c>
    </row>
    <row r="4864" spans="8:8" x14ac:dyDescent="0.2">
      <c r="H4864" s="11" t="str">
        <f>IFERROR(VLOOKUP(tbl_product_scores[[#This Row],[product_key]],tbl_products[[product_key]:[group_display_key]],2,FALSE),"")</f>
        <v/>
      </c>
    </row>
    <row r="4865" spans="8:8" x14ac:dyDescent="0.2">
      <c r="H4865" s="11" t="str">
        <f>IFERROR(VLOOKUP(tbl_product_scores[[#This Row],[product_key]],tbl_products[[product_key]:[group_display_key]],2,FALSE),"")</f>
        <v/>
      </c>
    </row>
    <row r="4866" spans="8:8" x14ac:dyDescent="0.2">
      <c r="H4866" s="11" t="str">
        <f>IFERROR(VLOOKUP(tbl_product_scores[[#This Row],[product_key]],tbl_products[[product_key]:[group_display_key]],2,FALSE),"")</f>
        <v/>
      </c>
    </row>
    <row r="4867" spans="8:8" x14ac:dyDescent="0.2">
      <c r="H4867" s="11" t="str">
        <f>IFERROR(VLOOKUP(tbl_product_scores[[#This Row],[product_key]],tbl_products[[product_key]:[group_display_key]],2,FALSE),"")</f>
        <v/>
      </c>
    </row>
    <row r="4868" spans="8:8" x14ac:dyDescent="0.2">
      <c r="H4868" s="11" t="str">
        <f>IFERROR(VLOOKUP(tbl_product_scores[[#This Row],[product_key]],tbl_products[[product_key]:[group_display_key]],2,FALSE),"")</f>
        <v/>
      </c>
    </row>
    <row r="4869" spans="8:8" x14ac:dyDescent="0.2">
      <c r="H4869" s="11" t="str">
        <f>IFERROR(VLOOKUP(tbl_product_scores[[#This Row],[product_key]],tbl_products[[product_key]:[group_display_key]],2,FALSE),"")</f>
        <v/>
      </c>
    </row>
    <row r="4870" spans="8:8" x14ac:dyDescent="0.2">
      <c r="H4870" s="11" t="str">
        <f>IFERROR(VLOOKUP(tbl_product_scores[[#This Row],[product_key]],tbl_products[[product_key]:[group_display_key]],2,FALSE),"")</f>
        <v/>
      </c>
    </row>
    <row r="4871" spans="8:8" x14ac:dyDescent="0.2">
      <c r="H4871" s="11" t="str">
        <f>IFERROR(VLOOKUP(tbl_product_scores[[#This Row],[product_key]],tbl_products[[product_key]:[group_display_key]],2,FALSE),"")</f>
        <v/>
      </c>
    </row>
    <row r="4872" spans="8:8" x14ac:dyDescent="0.2">
      <c r="H4872" s="11" t="str">
        <f>IFERROR(VLOOKUP(tbl_product_scores[[#This Row],[product_key]],tbl_products[[product_key]:[group_display_key]],2,FALSE),"")</f>
        <v/>
      </c>
    </row>
    <row r="4873" spans="8:8" x14ac:dyDescent="0.2">
      <c r="H4873" s="11" t="str">
        <f>IFERROR(VLOOKUP(tbl_product_scores[[#This Row],[product_key]],tbl_products[[product_key]:[group_display_key]],2,FALSE),"")</f>
        <v/>
      </c>
    </row>
    <row r="4874" spans="8:8" x14ac:dyDescent="0.2">
      <c r="H4874" s="11" t="str">
        <f>IFERROR(VLOOKUP(tbl_product_scores[[#This Row],[product_key]],tbl_products[[product_key]:[group_display_key]],2,FALSE),"")</f>
        <v/>
      </c>
    </row>
    <row r="4875" spans="8:8" x14ac:dyDescent="0.2">
      <c r="H4875" s="11" t="str">
        <f>IFERROR(VLOOKUP(tbl_product_scores[[#This Row],[product_key]],tbl_products[[product_key]:[group_display_key]],2,FALSE),"")</f>
        <v/>
      </c>
    </row>
    <row r="4876" spans="8:8" x14ac:dyDescent="0.2">
      <c r="H4876" s="11" t="str">
        <f>IFERROR(VLOOKUP(tbl_product_scores[[#This Row],[product_key]],tbl_products[[product_key]:[group_display_key]],2,FALSE),"")</f>
        <v/>
      </c>
    </row>
    <row r="4877" spans="8:8" x14ac:dyDescent="0.2">
      <c r="H4877" s="11" t="str">
        <f>IFERROR(VLOOKUP(tbl_product_scores[[#This Row],[product_key]],tbl_products[[product_key]:[group_display_key]],2,FALSE),"")</f>
        <v/>
      </c>
    </row>
    <row r="4878" spans="8:8" x14ac:dyDescent="0.2">
      <c r="H4878" s="11" t="str">
        <f>IFERROR(VLOOKUP(tbl_product_scores[[#This Row],[product_key]],tbl_products[[product_key]:[group_display_key]],2,FALSE),"")</f>
        <v/>
      </c>
    </row>
    <row r="4879" spans="8:8" x14ac:dyDescent="0.2">
      <c r="H4879" s="11" t="str">
        <f>IFERROR(VLOOKUP(tbl_product_scores[[#This Row],[product_key]],tbl_products[[product_key]:[group_display_key]],2,FALSE),"")</f>
        <v/>
      </c>
    </row>
    <row r="4880" spans="8:8" x14ac:dyDescent="0.2">
      <c r="H4880" s="11" t="str">
        <f>IFERROR(VLOOKUP(tbl_product_scores[[#This Row],[product_key]],tbl_products[[product_key]:[group_display_key]],2,FALSE),"")</f>
        <v/>
      </c>
    </row>
    <row r="4881" spans="8:8" x14ac:dyDescent="0.2">
      <c r="H4881" s="11" t="str">
        <f>IFERROR(VLOOKUP(tbl_product_scores[[#This Row],[product_key]],tbl_products[[product_key]:[group_display_key]],2,FALSE),"")</f>
        <v/>
      </c>
    </row>
    <row r="4882" spans="8:8" x14ac:dyDescent="0.2">
      <c r="H4882" s="11" t="str">
        <f>IFERROR(VLOOKUP(tbl_product_scores[[#This Row],[product_key]],tbl_products[[product_key]:[group_display_key]],2,FALSE),"")</f>
        <v/>
      </c>
    </row>
    <row r="4883" spans="8:8" x14ac:dyDescent="0.2">
      <c r="H4883" s="11" t="str">
        <f>IFERROR(VLOOKUP(tbl_product_scores[[#This Row],[product_key]],tbl_products[[product_key]:[group_display_key]],2,FALSE),"")</f>
        <v/>
      </c>
    </row>
    <row r="4884" spans="8:8" x14ac:dyDescent="0.2">
      <c r="H4884" s="11" t="str">
        <f>IFERROR(VLOOKUP(tbl_product_scores[[#This Row],[product_key]],tbl_products[[product_key]:[group_display_key]],2,FALSE),"")</f>
        <v/>
      </c>
    </row>
    <row r="4885" spans="8:8" x14ac:dyDescent="0.2">
      <c r="H4885" s="11" t="str">
        <f>IFERROR(VLOOKUP(tbl_product_scores[[#This Row],[product_key]],tbl_products[[product_key]:[group_display_key]],2,FALSE),"")</f>
        <v/>
      </c>
    </row>
    <row r="4886" spans="8:8" x14ac:dyDescent="0.2">
      <c r="H4886" s="11" t="str">
        <f>IFERROR(VLOOKUP(tbl_product_scores[[#This Row],[product_key]],tbl_products[[product_key]:[group_display_key]],2,FALSE),"")</f>
        <v/>
      </c>
    </row>
    <row r="4887" spans="8:8" x14ac:dyDescent="0.2">
      <c r="H4887" s="11" t="str">
        <f>IFERROR(VLOOKUP(tbl_product_scores[[#This Row],[product_key]],tbl_products[[product_key]:[group_display_key]],2,FALSE),"")</f>
        <v/>
      </c>
    </row>
    <row r="4888" spans="8:8" x14ac:dyDescent="0.2">
      <c r="H4888" s="11" t="str">
        <f>IFERROR(VLOOKUP(tbl_product_scores[[#This Row],[product_key]],tbl_products[[product_key]:[group_display_key]],2,FALSE),"")</f>
        <v/>
      </c>
    </row>
    <row r="4889" spans="8:8" x14ac:dyDescent="0.2">
      <c r="H4889" s="11" t="str">
        <f>IFERROR(VLOOKUP(tbl_product_scores[[#This Row],[product_key]],tbl_products[[product_key]:[group_display_key]],2,FALSE),"")</f>
        <v/>
      </c>
    </row>
    <row r="4890" spans="8:8" x14ac:dyDescent="0.2">
      <c r="H4890" s="11" t="str">
        <f>IFERROR(VLOOKUP(tbl_product_scores[[#This Row],[product_key]],tbl_products[[product_key]:[group_display_key]],2,FALSE),"")</f>
        <v/>
      </c>
    </row>
    <row r="4891" spans="8:8" x14ac:dyDescent="0.2">
      <c r="H4891" s="11" t="str">
        <f>IFERROR(VLOOKUP(tbl_product_scores[[#This Row],[product_key]],tbl_products[[product_key]:[group_display_key]],2,FALSE),"")</f>
        <v/>
      </c>
    </row>
    <row r="4892" spans="8:8" x14ac:dyDescent="0.2">
      <c r="H4892" s="11" t="str">
        <f>IFERROR(VLOOKUP(tbl_product_scores[[#This Row],[product_key]],tbl_products[[product_key]:[group_display_key]],2,FALSE),"")</f>
        <v/>
      </c>
    </row>
    <row r="4893" spans="8:8" x14ac:dyDescent="0.2">
      <c r="H4893" s="11" t="str">
        <f>IFERROR(VLOOKUP(tbl_product_scores[[#This Row],[product_key]],tbl_products[[product_key]:[group_display_key]],2,FALSE),"")</f>
        <v/>
      </c>
    </row>
    <row r="4894" spans="8:8" x14ac:dyDescent="0.2">
      <c r="H4894" s="11" t="str">
        <f>IFERROR(VLOOKUP(tbl_product_scores[[#This Row],[product_key]],tbl_products[[product_key]:[group_display_key]],2,FALSE),"")</f>
        <v/>
      </c>
    </row>
    <row r="4895" spans="8:8" x14ac:dyDescent="0.2">
      <c r="H4895" s="11" t="str">
        <f>IFERROR(VLOOKUP(tbl_product_scores[[#This Row],[product_key]],tbl_products[[product_key]:[group_display_key]],2,FALSE),"")</f>
        <v/>
      </c>
    </row>
    <row r="4896" spans="8:8" x14ac:dyDescent="0.2">
      <c r="H4896" s="11" t="str">
        <f>IFERROR(VLOOKUP(tbl_product_scores[[#This Row],[product_key]],tbl_products[[product_key]:[group_display_key]],2,FALSE),"")</f>
        <v/>
      </c>
    </row>
    <row r="4897" spans="8:8" x14ac:dyDescent="0.2">
      <c r="H4897" s="11" t="str">
        <f>IFERROR(VLOOKUP(tbl_product_scores[[#This Row],[product_key]],tbl_products[[product_key]:[group_display_key]],2,FALSE),"")</f>
        <v/>
      </c>
    </row>
    <row r="4898" spans="8:8" x14ac:dyDescent="0.2">
      <c r="H4898" s="11" t="str">
        <f>IFERROR(VLOOKUP(tbl_product_scores[[#This Row],[product_key]],tbl_products[[product_key]:[group_display_key]],2,FALSE),"")</f>
        <v/>
      </c>
    </row>
    <row r="4899" spans="8:8" x14ac:dyDescent="0.2">
      <c r="H4899" s="11" t="str">
        <f>IFERROR(VLOOKUP(tbl_product_scores[[#This Row],[product_key]],tbl_products[[product_key]:[group_display_key]],2,FALSE),"")</f>
        <v/>
      </c>
    </row>
    <row r="4900" spans="8:8" x14ac:dyDescent="0.2">
      <c r="H4900" s="11" t="str">
        <f>IFERROR(VLOOKUP(tbl_product_scores[[#This Row],[product_key]],tbl_products[[product_key]:[group_display_key]],2,FALSE),"")</f>
        <v/>
      </c>
    </row>
    <row r="4901" spans="8:8" x14ac:dyDescent="0.2">
      <c r="H4901" s="11" t="str">
        <f>IFERROR(VLOOKUP(tbl_product_scores[[#This Row],[product_key]],tbl_products[[product_key]:[group_display_key]],2,FALSE),"")</f>
        <v/>
      </c>
    </row>
    <row r="4902" spans="8:8" x14ac:dyDescent="0.2">
      <c r="H4902" s="11" t="str">
        <f>IFERROR(VLOOKUP(tbl_product_scores[[#This Row],[product_key]],tbl_products[[product_key]:[group_display_key]],2,FALSE),"")</f>
        <v/>
      </c>
    </row>
    <row r="4903" spans="8:8" x14ac:dyDescent="0.2">
      <c r="H4903" s="11" t="str">
        <f>IFERROR(VLOOKUP(tbl_product_scores[[#This Row],[product_key]],tbl_products[[product_key]:[group_display_key]],2,FALSE),"")</f>
        <v/>
      </c>
    </row>
    <row r="4904" spans="8:8" x14ac:dyDescent="0.2">
      <c r="H4904" s="11" t="str">
        <f>IFERROR(VLOOKUP(tbl_product_scores[[#This Row],[product_key]],tbl_products[[product_key]:[group_display_key]],2,FALSE),"")</f>
        <v/>
      </c>
    </row>
    <row r="4905" spans="8:8" x14ac:dyDescent="0.2">
      <c r="H4905" s="11" t="str">
        <f>IFERROR(VLOOKUP(tbl_product_scores[[#This Row],[product_key]],tbl_products[[product_key]:[group_display_key]],2,FALSE),"")</f>
        <v/>
      </c>
    </row>
    <row r="4906" spans="8:8" x14ac:dyDescent="0.2">
      <c r="H4906" s="11" t="str">
        <f>IFERROR(VLOOKUP(tbl_product_scores[[#This Row],[product_key]],tbl_products[[product_key]:[group_display_key]],2,FALSE),"")</f>
        <v/>
      </c>
    </row>
    <row r="4907" spans="8:8" x14ac:dyDescent="0.2">
      <c r="H4907" s="11" t="str">
        <f>IFERROR(VLOOKUP(tbl_product_scores[[#This Row],[product_key]],tbl_products[[product_key]:[group_display_key]],2,FALSE),"")</f>
        <v/>
      </c>
    </row>
    <row r="4908" spans="8:8" x14ac:dyDescent="0.2">
      <c r="H4908" s="11" t="str">
        <f>IFERROR(VLOOKUP(tbl_product_scores[[#This Row],[product_key]],tbl_products[[product_key]:[group_display_key]],2,FALSE),"")</f>
        <v/>
      </c>
    </row>
    <row r="4909" spans="8:8" x14ac:dyDescent="0.2">
      <c r="H4909" s="11" t="str">
        <f>IFERROR(VLOOKUP(tbl_product_scores[[#This Row],[product_key]],tbl_products[[product_key]:[group_display_key]],2,FALSE),"")</f>
        <v/>
      </c>
    </row>
    <row r="4910" spans="8:8" x14ac:dyDescent="0.2">
      <c r="H4910" s="11" t="str">
        <f>IFERROR(VLOOKUP(tbl_product_scores[[#This Row],[product_key]],tbl_products[[product_key]:[group_display_key]],2,FALSE),"")</f>
        <v/>
      </c>
    </row>
    <row r="4911" spans="8:8" x14ac:dyDescent="0.2">
      <c r="H4911" s="11" t="str">
        <f>IFERROR(VLOOKUP(tbl_product_scores[[#This Row],[product_key]],tbl_products[[product_key]:[group_display_key]],2,FALSE),"")</f>
        <v/>
      </c>
    </row>
    <row r="4912" spans="8:8" x14ac:dyDescent="0.2">
      <c r="H4912" s="11" t="str">
        <f>IFERROR(VLOOKUP(tbl_product_scores[[#This Row],[product_key]],tbl_products[[product_key]:[group_display_key]],2,FALSE),"")</f>
        <v/>
      </c>
    </row>
    <row r="4913" spans="8:8" x14ac:dyDescent="0.2">
      <c r="H4913" s="11" t="str">
        <f>IFERROR(VLOOKUP(tbl_product_scores[[#This Row],[product_key]],tbl_products[[product_key]:[group_display_key]],2,FALSE),"")</f>
        <v/>
      </c>
    </row>
    <row r="4914" spans="8:8" x14ac:dyDescent="0.2">
      <c r="H4914" s="11" t="str">
        <f>IFERROR(VLOOKUP(tbl_product_scores[[#This Row],[product_key]],tbl_products[[product_key]:[group_display_key]],2,FALSE),"")</f>
        <v/>
      </c>
    </row>
    <row r="4915" spans="8:8" x14ac:dyDescent="0.2">
      <c r="H4915" s="11" t="str">
        <f>IFERROR(VLOOKUP(tbl_product_scores[[#This Row],[product_key]],tbl_products[[product_key]:[group_display_key]],2,FALSE),"")</f>
        <v/>
      </c>
    </row>
    <row r="4916" spans="8:8" x14ac:dyDescent="0.2">
      <c r="H4916" s="11" t="str">
        <f>IFERROR(VLOOKUP(tbl_product_scores[[#This Row],[product_key]],tbl_products[[product_key]:[group_display_key]],2,FALSE),"")</f>
        <v/>
      </c>
    </row>
    <row r="4917" spans="8:8" x14ac:dyDescent="0.2">
      <c r="H4917" s="11" t="str">
        <f>IFERROR(VLOOKUP(tbl_product_scores[[#This Row],[product_key]],tbl_products[[product_key]:[group_display_key]],2,FALSE),"")</f>
        <v/>
      </c>
    </row>
    <row r="4918" spans="8:8" x14ac:dyDescent="0.2">
      <c r="H4918" s="11" t="str">
        <f>IFERROR(VLOOKUP(tbl_product_scores[[#This Row],[product_key]],tbl_products[[product_key]:[group_display_key]],2,FALSE),"")</f>
        <v/>
      </c>
    </row>
    <row r="4919" spans="8:8" x14ac:dyDescent="0.2">
      <c r="H4919" s="11" t="str">
        <f>IFERROR(VLOOKUP(tbl_product_scores[[#This Row],[product_key]],tbl_products[[product_key]:[group_display_key]],2,FALSE),"")</f>
        <v/>
      </c>
    </row>
    <row r="4920" spans="8:8" x14ac:dyDescent="0.2">
      <c r="H4920" s="11" t="str">
        <f>IFERROR(VLOOKUP(tbl_product_scores[[#This Row],[product_key]],tbl_products[[product_key]:[group_display_key]],2,FALSE),"")</f>
        <v/>
      </c>
    </row>
    <row r="4921" spans="8:8" x14ac:dyDescent="0.2">
      <c r="H4921" s="11" t="str">
        <f>IFERROR(VLOOKUP(tbl_product_scores[[#This Row],[product_key]],tbl_products[[product_key]:[group_display_key]],2,FALSE),"")</f>
        <v/>
      </c>
    </row>
    <row r="4922" spans="8:8" x14ac:dyDescent="0.2">
      <c r="H4922" s="11" t="str">
        <f>IFERROR(VLOOKUP(tbl_product_scores[[#This Row],[product_key]],tbl_products[[product_key]:[group_display_key]],2,FALSE),"")</f>
        <v/>
      </c>
    </row>
    <row r="4923" spans="8:8" x14ac:dyDescent="0.2">
      <c r="H4923" s="11" t="str">
        <f>IFERROR(VLOOKUP(tbl_product_scores[[#This Row],[product_key]],tbl_products[[product_key]:[group_display_key]],2,FALSE),"")</f>
        <v/>
      </c>
    </row>
    <row r="4924" spans="8:8" x14ac:dyDescent="0.2">
      <c r="H4924" s="11" t="str">
        <f>IFERROR(VLOOKUP(tbl_product_scores[[#This Row],[product_key]],tbl_products[[product_key]:[group_display_key]],2,FALSE),"")</f>
        <v/>
      </c>
    </row>
    <row r="4925" spans="8:8" x14ac:dyDescent="0.2">
      <c r="H4925" s="11" t="str">
        <f>IFERROR(VLOOKUP(tbl_product_scores[[#This Row],[product_key]],tbl_products[[product_key]:[group_display_key]],2,FALSE),"")</f>
        <v/>
      </c>
    </row>
    <row r="4926" spans="8:8" x14ac:dyDescent="0.2">
      <c r="H4926" s="11" t="str">
        <f>IFERROR(VLOOKUP(tbl_product_scores[[#This Row],[product_key]],tbl_products[[product_key]:[group_display_key]],2,FALSE),"")</f>
        <v/>
      </c>
    </row>
    <row r="4927" spans="8:8" x14ac:dyDescent="0.2">
      <c r="H4927" s="11" t="str">
        <f>IFERROR(VLOOKUP(tbl_product_scores[[#This Row],[product_key]],tbl_products[[product_key]:[group_display_key]],2,FALSE),"")</f>
        <v/>
      </c>
    </row>
    <row r="4928" spans="8:8" x14ac:dyDescent="0.2">
      <c r="H4928" s="11" t="str">
        <f>IFERROR(VLOOKUP(tbl_product_scores[[#This Row],[product_key]],tbl_products[[product_key]:[group_display_key]],2,FALSE),"")</f>
        <v/>
      </c>
    </row>
    <row r="4929" spans="8:8" x14ac:dyDescent="0.2">
      <c r="H4929" s="11" t="str">
        <f>IFERROR(VLOOKUP(tbl_product_scores[[#This Row],[product_key]],tbl_products[[product_key]:[group_display_key]],2,FALSE),"")</f>
        <v/>
      </c>
    </row>
    <row r="4930" spans="8:8" x14ac:dyDescent="0.2">
      <c r="H4930" s="11" t="str">
        <f>IFERROR(VLOOKUP(tbl_product_scores[[#This Row],[product_key]],tbl_products[[product_key]:[group_display_key]],2,FALSE),"")</f>
        <v/>
      </c>
    </row>
    <row r="4931" spans="8:8" x14ac:dyDescent="0.2">
      <c r="H4931" s="11" t="str">
        <f>IFERROR(VLOOKUP(tbl_product_scores[[#This Row],[product_key]],tbl_products[[product_key]:[group_display_key]],2,FALSE),"")</f>
        <v/>
      </c>
    </row>
    <row r="4932" spans="8:8" x14ac:dyDescent="0.2">
      <c r="H4932" s="11" t="str">
        <f>IFERROR(VLOOKUP(tbl_product_scores[[#This Row],[product_key]],tbl_products[[product_key]:[group_display_key]],2,FALSE),"")</f>
        <v/>
      </c>
    </row>
    <row r="4933" spans="8:8" x14ac:dyDescent="0.2">
      <c r="H4933" s="11" t="str">
        <f>IFERROR(VLOOKUP(tbl_product_scores[[#This Row],[product_key]],tbl_products[[product_key]:[group_display_key]],2,FALSE),"")</f>
        <v/>
      </c>
    </row>
    <row r="4934" spans="8:8" x14ac:dyDescent="0.2">
      <c r="H4934" s="11" t="str">
        <f>IFERROR(VLOOKUP(tbl_product_scores[[#This Row],[product_key]],tbl_products[[product_key]:[group_display_key]],2,FALSE),"")</f>
        <v/>
      </c>
    </row>
    <row r="4935" spans="8:8" x14ac:dyDescent="0.2">
      <c r="H4935" s="11" t="str">
        <f>IFERROR(VLOOKUP(tbl_product_scores[[#This Row],[product_key]],tbl_products[[product_key]:[group_display_key]],2,FALSE),"")</f>
        <v/>
      </c>
    </row>
    <row r="4936" spans="8:8" x14ac:dyDescent="0.2">
      <c r="H4936" s="11" t="str">
        <f>IFERROR(VLOOKUP(tbl_product_scores[[#This Row],[product_key]],tbl_products[[product_key]:[group_display_key]],2,FALSE),"")</f>
        <v/>
      </c>
    </row>
    <row r="4937" spans="8:8" x14ac:dyDescent="0.2">
      <c r="H4937" s="11" t="str">
        <f>IFERROR(VLOOKUP(tbl_product_scores[[#This Row],[product_key]],tbl_products[[product_key]:[group_display_key]],2,FALSE),"")</f>
        <v/>
      </c>
    </row>
    <row r="4938" spans="8:8" x14ac:dyDescent="0.2">
      <c r="H4938" s="11" t="str">
        <f>IFERROR(VLOOKUP(tbl_product_scores[[#This Row],[product_key]],tbl_products[[product_key]:[group_display_key]],2,FALSE),"")</f>
        <v/>
      </c>
    </row>
    <row r="4939" spans="8:8" x14ac:dyDescent="0.2">
      <c r="H4939" s="11" t="str">
        <f>IFERROR(VLOOKUP(tbl_product_scores[[#This Row],[product_key]],tbl_products[[product_key]:[group_display_key]],2,FALSE),"")</f>
        <v/>
      </c>
    </row>
    <row r="4940" spans="8:8" x14ac:dyDescent="0.2">
      <c r="H4940" s="11" t="str">
        <f>IFERROR(VLOOKUP(tbl_product_scores[[#This Row],[product_key]],tbl_products[[product_key]:[group_display_key]],2,FALSE),"")</f>
        <v/>
      </c>
    </row>
    <row r="4941" spans="8:8" x14ac:dyDescent="0.2">
      <c r="H4941" s="11" t="str">
        <f>IFERROR(VLOOKUP(tbl_product_scores[[#This Row],[product_key]],tbl_products[[product_key]:[group_display_key]],2,FALSE),"")</f>
        <v/>
      </c>
    </row>
    <row r="4942" spans="8:8" x14ac:dyDescent="0.2">
      <c r="H4942" s="11" t="str">
        <f>IFERROR(VLOOKUP(tbl_product_scores[[#This Row],[product_key]],tbl_products[[product_key]:[group_display_key]],2,FALSE),"")</f>
        <v/>
      </c>
    </row>
    <row r="4943" spans="8:8" x14ac:dyDescent="0.2">
      <c r="H4943" s="11" t="str">
        <f>IFERROR(VLOOKUP(tbl_product_scores[[#This Row],[product_key]],tbl_products[[product_key]:[group_display_key]],2,FALSE),"")</f>
        <v/>
      </c>
    </row>
    <row r="4944" spans="8:8" x14ac:dyDescent="0.2">
      <c r="H4944" s="11" t="str">
        <f>IFERROR(VLOOKUP(tbl_product_scores[[#This Row],[product_key]],tbl_products[[product_key]:[group_display_key]],2,FALSE),"")</f>
        <v/>
      </c>
    </row>
    <row r="4945" spans="8:8" x14ac:dyDescent="0.2">
      <c r="H4945" s="11" t="str">
        <f>IFERROR(VLOOKUP(tbl_product_scores[[#This Row],[product_key]],tbl_products[[product_key]:[group_display_key]],2,FALSE),"")</f>
        <v/>
      </c>
    </row>
    <row r="4946" spans="8:8" x14ac:dyDescent="0.2">
      <c r="H4946" s="11" t="str">
        <f>IFERROR(VLOOKUP(tbl_product_scores[[#This Row],[product_key]],tbl_products[[product_key]:[group_display_key]],2,FALSE),"")</f>
        <v/>
      </c>
    </row>
    <row r="4947" spans="8:8" x14ac:dyDescent="0.2">
      <c r="H4947" s="11" t="str">
        <f>IFERROR(VLOOKUP(tbl_product_scores[[#This Row],[product_key]],tbl_products[[product_key]:[group_display_key]],2,FALSE),"")</f>
        <v/>
      </c>
    </row>
    <row r="4948" spans="8:8" x14ac:dyDescent="0.2">
      <c r="H4948" s="11" t="str">
        <f>IFERROR(VLOOKUP(tbl_product_scores[[#This Row],[product_key]],tbl_products[[product_key]:[group_display_key]],2,FALSE),"")</f>
        <v/>
      </c>
    </row>
    <row r="4949" spans="8:8" x14ac:dyDescent="0.2">
      <c r="H4949" s="11" t="str">
        <f>IFERROR(VLOOKUP(tbl_product_scores[[#This Row],[product_key]],tbl_products[[product_key]:[group_display_key]],2,FALSE),"")</f>
        <v/>
      </c>
    </row>
    <row r="4950" spans="8:8" x14ac:dyDescent="0.2">
      <c r="H4950" s="11" t="str">
        <f>IFERROR(VLOOKUP(tbl_product_scores[[#This Row],[product_key]],tbl_products[[product_key]:[group_display_key]],2,FALSE),"")</f>
        <v/>
      </c>
    </row>
    <row r="4951" spans="8:8" x14ac:dyDescent="0.2">
      <c r="H4951" s="11" t="str">
        <f>IFERROR(VLOOKUP(tbl_product_scores[[#This Row],[product_key]],tbl_products[[product_key]:[group_display_key]],2,FALSE),"")</f>
        <v/>
      </c>
    </row>
    <row r="4952" spans="8:8" x14ac:dyDescent="0.2">
      <c r="H4952" s="11" t="str">
        <f>IFERROR(VLOOKUP(tbl_product_scores[[#This Row],[product_key]],tbl_products[[product_key]:[group_display_key]],2,FALSE),"")</f>
        <v/>
      </c>
    </row>
    <row r="4953" spans="8:8" x14ac:dyDescent="0.2">
      <c r="H4953" s="11" t="str">
        <f>IFERROR(VLOOKUP(tbl_product_scores[[#This Row],[product_key]],tbl_products[[product_key]:[group_display_key]],2,FALSE),"")</f>
        <v/>
      </c>
    </row>
    <row r="4954" spans="8:8" x14ac:dyDescent="0.2">
      <c r="H4954" s="11" t="str">
        <f>IFERROR(VLOOKUP(tbl_product_scores[[#This Row],[product_key]],tbl_products[[product_key]:[group_display_key]],2,FALSE),"")</f>
        <v/>
      </c>
    </row>
    <row r="4955" spans="8:8" x14ac:dyDescent="0.2">
      <c r="H4955" s="11" t="str">
        <f>IFERROR(VLOOKUP(tbl_product_scores[[#This Row],[product_key]],tbl_products[[product_key]:[group_display_key]],2,FALSE),"")</f>
        <v/>
      </c>
    </row>
    <row r="4956" spans="8:8" x14ac:dyDescent="0.2">
      <c r="H4956" s="11" t="str">
        <f>IFERROR(VLOOKUP(tbl_product_scores[[#This Row],[product_key]],tbl_products[[product_key]:[group_display_key]],2,FALSE),"")</f>
        <v/>
      </c>
    </row>
    <row r="4957" spans="8:8" x14ac:dyDescent="0.2">
      <c r="H4957" s="11" t="str">
        <f>IFERROR(VLOOKUP(tbl_product_scores[[#This Row],[product_key]],tbl_products[[product_key]:[group_display_key]],2,FALSE),"")</f>
        <v/>
      </c>
    </row>
    <row r="4958" spans="8:8" x14ac:dyDescent="0.2">
      <c r="H4958" s="11" t="str">
        <f>IFERROR(VLOOKUP(tbl_product_scores[[#This Row],[product_key]],tbl_products[[product_key]:[group_display_key]],2,FALSE),"")</f>
        <v/>
      </c>
    </row>
    <row r="4959" spans="8:8" x14ac:dyDescent="0.2">
      <c r="H4959" s="11" t="str">
        <f>IFERROR(VLOOKUP(tbl_product_scores[[#This Row],[product_key]],tbl_products[[product_key]:[group_display_key]],2,FALSE),"")</f>
        <v/>
      </c>
    </row>
    <row r="4960" spans="8:8" x14ac:dyDescent="0.2">
      <c r="H4960" s="11" t="str">
        <f>IFERROR(VLOOKUP(tbl_product_scores[[#This Row],[product_key]],tbl_products[[product_key]:[group_display_key]],2,FALSE),"")</f>
        <v/>
      </c>
    </row>
    <row r="4961" spans="8:8" x14ac:dyDescent="0.2">
      <c r="H4961" s="11" t="str">
        <f>IFERROR(VLOOKUP(tbl_product_scores[[#This Row],[product_key]],tbl_products[[product_key]:[group_display_key]],2,FALSE),"")</f>
        <v/>
      </c>
    </row>
    <row r="4962" spans="8:8" x14ac:dyDescent="0.2">
      <c r="H4962" s="11" t="str">
        <f>IFERROR(VLOOKUP(tbl_product_scores[[#This Row],[product_key]],tbl_products[[product_key]:[group_display_key]],2,FALSE),"")</f>
        <v/>
      </c>
    </row>
    <row r="4963" spans="8:8" x14ac:dyDescent="0.2">
      <c r="H4963" s="11" t="str">
        <f>IFERROR(VLOOKUP(tbl_product_scores[[#This Row],[product_key]],tbl_products[[product_key]:[group_display_key]],2,FALSE),"")</f>
        <v/>
      </c>
    </row>
    <row r="4964" spans="8:8" x14ac:dyDescent="0.2">
      <c r="H4964" s="11" t="str">
        <f>IFERROR(VLOOKUP(tbl_product_scores[[#This Row],[product_key]],tbl_products[[product_key]:[group_display_key]],2,FALSE),"")</f>
        <v/>
      </c>
    </row>
    <row r="4965" spans="8:8" x14ac:dyDescent="0.2">
      <c r="H4965" s="11" t="str">
        <f>IFERROR(VLOOKUP(tbl_product_scores[[#This Row],[product_key]],tbl_products[[product_key]:[group_display_key]],2,FALSE),"")</f>
        <v/>
      </c>
    </row>
    <row r="4966" spans="8:8" x14ac:dyDescent="0.2">
      <c r="H4966" s="11" t="str">
        <f>IFERROR(VLOOKUP(tbl_product_scores[[#This Row],[product_key]],tbl_products[[product_key]:[group_display_key]],2,FALSE),"")</f>
        <v/>
      </c>
    </row>
    <row r="4967" spans="8:8" x14ac:dyDescent="0.2">
      <c r="H4967" s="11" t="str">
        <f>IFERROR(VLOOKUP(tbl_product_scores[[#This Row],[product_key]],tbl_products[[product_key]:[group_display_key]],2,FALSE),"")</f>
        <v/>
      </c>
    </row>
    <row r="4968" spans="8:8" x14ac:dyDescent="0.2">
      <c r="H4968" s="11" t="str">
        <f>IFERROR(VLOOKUP(tbl_product_scores[[#This Row],[product_key]],tbl_products[[product_key]:[group_display_key]],2,FALSE),"")</f>
        <v/>
      </c>
    </row>
    <row r="4969" spans="8:8" x14ac:dyDescent="0.2">
      <c r="H4969" s="11" t="str">
        <f>IFERROR(VLOOKUP(tbl_product_scores[[#This Row],[product_key]],tbl_products[[product_key]:[group_display_key]],2,FALSE),"")</f>
        <v/>
      </c>
    </row>
    <row r="4970" spans="8:8" x14ac:dyDescent="0.2">
      <c r="H4970" s="11" t="str">
        <f>IFERROR(VLOOKUP(tbl_product_scores[[#This Row],[product_key]],tbl_products[[product_key]:[group_display_key]],2,FALSE),"")</f>
        <v/>
      </c>
    </row>
    <row r="4971" spans="8:8" x14ac:dyDescent="0.2">
      <c r="H4971" s="11" t="str">
        <f>IFERROR(VLOOKUP(tbl_product_scores[[#This Row],[product_key]],tbl_products[[product_key]:[group_display_key]],2,FALSE),"")</f>
        <v/>
      </c>
    </row>
    <row r="4972" spans="8:8" x14ac:dyDescent="0.2">
      <c r="H4972" s="11" t="str">
        <f>IFERROR(VLOOKUP(tbl_product_scores[[#This Row],[product_key]],tbl_products[[product_key]:[group_display_key]],2,FALSE),"")</f>
        <v/>
      </c>
    </row>
    <row r="4973" spans="8:8" x14ac:dyDescent="0.2">
      <c r="H4973" s="11" t="str">
        <f>IFERROR(VLOOKUP(tbl_product_scores[[#This Row],[product_key]],tbl_products[[product_key]:[group_display_key]],2,FALSE),"")</f>
        <v/>
      </c>
    </row>
    <row r="4974" spans="8:8" x14ac:dyDescent="0.2">
      <c r="H4974" s="11" t="str">
        <f>IFERROR(VLOOKUP(tbl_product_scores[[#This Row],[product_key]],tbl_products[[product_key]:[group_display_key]],2,FALSE),"")</f>
        <v/>
      </c>
    </row>
    <row r="4975" spans="8:8" x14ac:dyDescent="0.2">
      <c r="H4975" s="11" t="str">
        <f>IFERROR(VLOOKUP(tbl_product_scores[[#This Row],[product_key]],tbl_products[[product_key]:[group_display_key]],2,FALSE),"")</f>
        <v/>
      </c>
    </row>
    <row r="4976" spans="8:8" x14ac:dyDescent="0.2">
      <c r="H4976" s="11" t="str">
        <f>IFERROR(VLOOKUP(tbl_product_scores[[#This Row],[product_key]],tbl_products[[product_key]:[group_display_key]],2,FALSE),"")</f>
        <v/>
      </c>
    </row>
    <row r="4977" spans="8:8" x14ac:dyDescent="0.2">
      <c r="H4977" s="11" t="str">
        <f>IFERROR(VLOOKUP(tbl_product_scores[[#This Row],[product_key]],tbl_products[[product_key]:[group_display_key]],2,FALSE),"")</f>
        <v/>
      </c>
    </row>
    <row r="4978" spans="8:8" x14ac:dyDescent="0.2">
      <c r="H4978" s="11" t="str">
        <f>IFERROR(VLOOKUP(tbl_product_scores[[#This Row],[product_key]],tbl_products[[product_key]:[group_display_key]],2,FALSE),"")</f>
        <v/>
      </c>
    </row>
    <row r="4979" spans="8:8" x14ac:dyDescent="0.2">
      <c r="H4979" s="11" t="str">
        <f>IFERROR(VLOOKUP(tbl_product_scores[[#This Row],[product_key]],tbl_products[[product_key]:[group_display_key]],2,FALSE),"")</f>
        <v/>
      </c>
    </row>
    <row r="4980" spans="8:8" x14ac:dyDescent="0.2">
      <c r="H4980" s="11" t="str">
        <f>IFERROR(VLOOKUP(tbl_product_scores[[#This Row],[product_key]],tbl_products[[product_key]:[group_display_key]],2,FALSE),"")</f>
        <v/>
      </c>
    </row>
    <row r="4981" spans="8:8" x14ac:dyDescent="0.2">
      <c r="H4981" s="11" t="str">
        <f>IFERROR(VLOOKUP(tbl_product_scores[[#This Row],[product_key]],tbl_products[[product_key]:[group_display_key]],2,FALSE),"")</f>
        <v/>
      </c>
    </row>
    <row r="4982" spans="8:8" x14ac:dyDescent="0.2">
      <c r="H4982" s="11" t="str">
        <f>IFERROR(VLOOKUP(tbl_product_scores[[#This Row],[product_key]],tbl_products[[product_key]:[group_display_key]],2,FALSE),"")</f>
        <v/>
      </c>
    </row>
    <row r="4983" spans="8:8" x14ac:dyDescent="0.2">
      <c r="H4983" s="11" t="str">
        <f>IFERROR(VLOOKUP(tbl_product_scores[[#This Row],[product_key]],tbl_products[[product_key]:[group_display_key]],2,FALSE),"")</f>
        <v/>
      </c>
    </row>
    <row r="4984" spans="8:8" x14ac:dyDescent="0.2">
      <c r="H4984" s="11" t="str">
        <f>IFERROR(VLOOKUP(tbl_product_scores[[#This Row],[product_key]],tbl_products[[product_key]:[group_display_key]],2,FALSE),"")</f>
        <v/>
      </c>
    </row>
    <row r="4985" spans="8:8" x14ac:dyDescent="0.2">
      <c r="H4985" s="11" t="str">
        <f>IFERROR(VLOOKUP(tbl_product_scores[[#This Row],[product_key]],tbl_products[[product_key]:[group_display_key]],2,FALSE),"")</f>
        <v/>
      </c>
    </row>
    <row r="4986" spans="8:8" x14ac:dyDescent="0.2">
      <c r="H4986" s="11" t="str">
        <f>IFERROR(VLOOKUP(tbl_product_scores[[#This Row],[product_key]],tbl_products[[product_key]:[group_display_key]],2,FALSE),"")</f>
        <v/>
      </c>
    </row>
    <row r="4987" spans="8:8" x14ac:dyDescent="0.2">
      <c r="H4987" s="11" t="str">
        <f>IFERROR(VLOOKUP(tbl_product_scores[[#This Row],[product_key]],tbl_products[[product_key]:[group_display_key]],2,FALSE),"")</f>
        <v/>
      </c>
    </row>
    <row r="4988" spans="8:8" x14ac:dyDescent="0.2">
      <c r="H4988" s="11" t="str">
        <f>IFERROR(VLOOKUP(tbl_product_scores[[#This Row],[product_key]],tbl_products[[product_key]:[group_display_key]],2,FALSE),"")</f>
        <v/>
      </c>
    </row>
    <row r="4989" spans="8:8" x14ac:dyDescent="0.2">
      <c r="H4989" s="11" t="str">
        <f>IFERROR(VLOOKUP(tbl_product_scores[[#This Row],[product_key]],tbl_products[[product_key]:[group_display_key]],2,FALSE),"")</f>
        <v/>
      </c>
    </row>
    <row r="4990" spans="8:8" x14ac:dyDescent="0.2">
      <c r="H4990" s="11" t="str">
        <f>IFERROR(VLOOKUP(tbl_product_scores[[#This Row],[product_key]],tbl_products[[product_key]:[group_display_key]],2,FALSE),"")</f>
        <v/>
      </c>
    </row>
    <row r="4991" spans="8:8" x14ac:dyDescent="0.2">
      <c r="H4991" s="11" t="str">
        <f>IFERROR(VLOOKUP(tbl_product_scores[[#This Row],[product_key]],tbl_products[[product_key]:[group_display_key]],2,FALSE),"")</f>
        <v/>
      </c>
    </row>
    <row r="4992" spans="8:8" x14ac:dyDescent="0.2">
      <c r="H4992" s="11" t="str">
        <f>IFERROR(VLOOKUP(tbl_product_scores[[#This Row],[product_key]],tbl_products[[product_key]:[group_display_key]],2,FALSE),"")</f>
        <v/>
      </c>
    </row>
    <row r="4993" spans="8:8" x14ac:dyDescent="0.2">
      <c r="H4993" s="11" t="str">
        <f>IFERROR(VLOOKUP(tbl_product_scores[[#This Row],[product_key]],tbl_products[[product_key]:[group_display_key]],2,FALSE),"")</f>
        <v/>
      </c>
    </row>
    <row r="4994" spans="8:8" x14ac:dyDescent="0.2">
      <c r="H4994" s="11" t="str">
        <f>IFERROR(VLOOKUP(tbl_product_scores[[#This Row],[product_key]],tbl_products[[product_key]:[group_display_key]],2,FALSE),"")</f>
        <v/>
      </c>
    </row>
    <row r="4995" spans="8:8" x14ac:dyDescent="0.2">
      <c r="H4995" s="11" t="str">
        <f>IFERROR(VLOOKUP(tbl_product_scores[[#This Row],[product_key]],tbl_products[[product_key]:[group_display_key]],2,FALSE),"")</f>
        <v/>
      </c>
    </row>
    <row r="4996" spans="8:8" x14ac:dyDescent="0.2">
      <c r="H4996" s="11" t="str">
        <f>IFERROR(VLOOKUP(tbl_product_scores[[#This Row],[product_key]],tbl_products[[product_key]:[group_display_key]],2,FALSE),"")</f>
        <v/>
      </c>
    </row>
    <row r="4997" spans="8:8" x14ac:dyDescent="0.2">
      <c r="H4997" s="11" t="str">
        <f>IFERROR(VLOOKUP(tbl_product_scores[[#This Row],[product_key]],tbl_products[[product_key]:[group_display_key]],2,FALSE),"")</f>
        <v/>
      </c>
    </row>
    <row r="4998" spans="8:8" x14ac:dyDescent="0.2">
      <c r="H4998" s="11" t="str">
        <f>IFERROR(VLOOKUP(tbl_product_scores[[#This Row],[product_key]],tbl_products[[product_key]:[group_display_key]],2,FALSE),"")</f>
        <v/>
      </c>
    </row>
    <row r="4999" spans="8:8" x14ac:dyDescent="0.2">
      <c r="H4999" s="11" t="str">
        <f>IFERROR(VLOOKUP(tbl_product_scores[[#This Row],[product_key]],tbl_products[[product_key]:[group_display_key]],2,FALSE),"")</f>
        <v/>
      </c>
    </row>
    <row r="5000" spans="8:8" x14ac:dyDescent="0.2">
      <c r="H5000" s="11" t="str">
        <f>IFERROR(VLOOKUP(tbl_product_scores[[#This Row],[product_key]],tbl_products[[product_key]:[group_display_key]],2,FALSE),"")</f>
        <v/>
      </c>
    </row>
    <row r="5001" spans="8:8" x14ac:dyDescent="0.2">
      <c r="H5001" s="11" t="str">
        <f>IFERROR(VLOOKUP(tbl_product_scores[[#This Row],[product_key]],tbl_products[[product_key]:[group_display_key]],2,FALSE),"")</f>
        <v/>
      </c>
    </row>
  </sheetData>
  <sheetProtection sheet="1" objects="1" scenarios="1" insertRows="0" selectLockedCells="1"/>
  <autoFilter ref="H1:H5001" xr:uid="{448FF9C2-32ED-E046-AEB6-68E310F9C66F}"/>
  <phoneticPr fontId="2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D122D9B-73F1-774F-9FFA-AC5817F1BB08}">
          <x14:formula1>
            <xm:f>PREPARATIONS!$A$2:$A$16</xm:f>
          </x14:formula1>
          <xm:sqref>B2:B316</xm:sqref>
        </x14:dataValidation>
        <x14:dataValidation type="list" allowBlank="1" showInputMessage="1" showErrorMessage="1" xr:uid="{B4F571CF-D54F-4A46-A2A5-2BB1763BDD39}">
          <x14:formula1>
            <xm:f>PRODUCTS!$A$2:$A$75</xm:f>
          </x14:formula1>
          <xm:sqref>A2:A316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24428-9205-8044-B98C-77D3B5D0E6A5}">
  <dimension ref="A1:E43"/>
  <sheetViews>
    <sheetView zoomScale="120" zoomScaleNormal="120" workbookViewId="0">
      <selection activeCell="G27" sqref="G27"/>
    </sheetView>
  </sheetViews>
  <sheetFormatPr baseColWidth="10" defaultRowHeight="16" x14ac:dyDescent="0.2"/>
  <cols>
    <col min="1" max="1" width="16.5" style="4" bestFit="1" customWidth="1"/>
    <col min="2" max="2" width="11.83203125" style="4" customWidth="1"/>
    <col min="3" max="3" width="10.83203125" style="4"/>
    <col min="4" max="4" width="12.6640625" style="4" customWidth="1"/>
    <col min="5" max="5" width="21" style="4" customWidth="1"/>
    <col min="6" max="16384" width="10.83203125" style="4"/>
  </cols>
  <sheetData>
    <row r="1" spans="1:5" s="3" customFormat="1" x14ac:dyDescent="0.2">
      <c r="A1" s="3" t="s">
        <v>28</v>
      </c>
      <c r="B1" s="3" t="s">
        <v>122</v>
      </c>
      <c r="C1" s="3" t="s">
        <v>123</v>
      </c>
      <c r="D1" s="3" t="s">
        <v>6</v>
      </c>
      <c r="E1" s="3" t="s">
        <v>106</v>
      </c>
    </row>
    <row r="2" spans="1:5" x14ac:dyDescent="0.2">
      <c r="A2" s="1" t="s">
        <v>124</v>
      </c>
      <c r="B2" s="1" t="s">
        <v>30</v>
      </c>
      <c r="C2" s="1" t="s">
        <v>39</v>
      </c>
      <c r="D2" s="1">
        <v>1</v>
      </c>
      <c r="E2" s="1" t="s">
        <v>125</v>
      </c>
    </row>
    <row r="3" spans="1:5" x14ac:dyDescent="0.2">
      <c r="A3" s="1" t="s">
        <v>126</v>
      </c>
      <c r="B3" s="1" t="s">
        <v>32</v>
      </c>
      <c r="C3" s="1" t="s">
        <v>39</v>
      </c>
      <c r="D3" s="1">
        <v>2</v>
      </c>
      <c r="E3" s="1" t="s">
        <v>127</v>
      </c>
    </row>
    <row r="4" spans="1:5" x14ac:dyDescent="0.2">
      <c r="A4" s="4" t="s">
        <v>474</v>
      </c>
      <c r="B4" s="4" t="s">
        <v>34</v>
      </c>
      <c r="C4" s="4" t="s">
        <v>9</v>
      </c>
      <c r="D4" s="1">
        <v>3</v>
      </c>
      <c r="E4" s="4" t="s">
        <v>473</v>
      </c>
    </row>
    <row r="5" spans="1:5" x14ac:dyDescent="0.2">
      <c r="A5" s="4" t="s">
        <v>183</v>
      </c>
      <c r="B5" s="4" t="s">
        <v>32</v>
      </c>
      <c r="C5" s="4" t="s">
        <v>9</v>
      </c>
      <c r="D5" s="1">
        <v>4</v>
      </c>
      <c r="E5" s="4" t="s">
        <v>184</v>
      </c>
    </row>
    <row r="6" spans="1:5" x14ac:dyDescent="0.2">
      <c r="A6" s="4" t="s">
        <v>658</v>
      </c>
      <c r="B6" s="4" t="s">
        <v>32</v>
      </c>
      <c r="C6" s="4" t="s">
        <v>9</v>
      </c>
      <c r="D6" s="1">
        <v>5</v>
      </c>
      <c r="E6" s="4" t="s">
        <v>285</v>
      </c>
    </row>
    <row r="7" spans="1:5" x14ac:dyDescent="0.2">
      <c r="A7" s="1" t="s">
        <v>657</v>
      </c>
      <c r="B7" s="1" t="s">
        <v>32</v>
      </c>
      <c r="C7" s="1" t="s">
        <v>9</v>
      </c>
      <c r="D7" s="1">
        <v>6</v>
      </c>
      <c r="E7" s="1" t="s">
        <v>284</v>
      </c>
    </row>
    <row r="8" spans="1:5" x14ac:dyDescent="0.2">
      <c r="A8" s="1" t="s">
        <v>663</v>
      </c>
      <c r="B8" s="1" t="s">
        <v>32</v>
      </c>
      <c r="C8" s="1" t="s">
        <v>9</v>
      </c>
      <c r="D8" s="1">
        <v>7</v>
      </c>
      <c r="E8" s="1" t="s">
        <v>666</v>
      </c>
    </row>
    <row r="9" spans="1:5" x14ac:dyDescent="0.2">
      <c r="A9" s="1" t="s">
        <v>664</v>
      </c>
      <c r="B9" s="1" t="s">
        <v>32</v>
      </c>
      <c r="C9" s="1" t="s">
        <v>9</v>
      </c>
      <c r="D9" s="1">
        <v>8</v>
      </c>
      <c r="E9" s="1" t="s">
        <v>667</v>
      </c>
    </row>
    <row r="10" spans="1:5" x14ac:dyDescent="0.2">
      <c r="A10" s="1" t="s">
        <v>665</v>
      </c>
      <c r="B10" s="1" t="s">
        <v>32</v>
      </c>
      <c r="C10" s="1" t="s">
        <v>9</v>
      </c>
      <c r="D10" s="1">
        <v>9</v>
      </c>
      <c r="E10" s="1" t="s">
        <v>668</v>
      </c>
    </row>
    <row r="11" spans="1:5" x14ac:dyDescent="0.2">
      <c r="A11" s="4" t="s">
        <v>287</v>
      </c>
      <c r="B11" s="4" t="s">
        <v>32</v>
      </c>
      <c r="C11" s="4" t="s">
        <v>9</v>
      </c>
      <c r="D11" s="1">
        <v>10</v>
      </c>
      <c r="E11" s="4" t="s">
        <v>289</v>
      </c>
    </row>
    <row r="12" spans="1:5" x14ac:dyDescent="0.2">
      <c r="A12" s="4" t="s">
        <v>660</v>
      </c>
      <c r="B12" s="4" t="s">
        <v>32</v>
      </c>
      <c r="C12" s="4" t="s">
        <v>9</v>
      </c>
      <c r="D12" s="1">
        <v>11</v>
      </c>
      <c r="E12" s="4" t="s">
        <v>288</v>
      </c>
    </row>
    <row r="13" spans="1:5" x14ac:dyDescent="0.2">
      <c r="A13" s="4" t="s">
        <v>659</v>
      </c>
      <c r="B13" s="4" t="s">
        <v>32</v>
      </c>
      <c r="C13" s="4" t="s">
        <v>9</v>
      </c>
      <c r="D13" s="1">
        <v>12</v>
      </c>
      <c r="E13" s="4" t="s">
        <v>290</v>
      </c>
    </row>
    <row r="14" spans="1:5" x14ac:dyDescent="0.2">
      <c r="A14" s="4" t="s">
        <v>760</v>
      </c>
      <c r="B14" s="4" t="s">
        <v>34</v>
      </c>
      <c r="C14" s="4" t="s">
        <v>9</v>
      </c>
      <c r="D14" s="1">
        <v>13</v>
      </c>
      <c r="E14" s="4" t="s">
        <v>764</v>
      </c>
    </row>
    <row r="15" spans="1:5" x14ac:dyDescent="0.2">
      <c r="A15" s="4" t="s">
        <v>761</v>
      </c>
      <c r="B15" s="4" t="s">
        <v>34</v>
      </c>
      <c r="C15" s="4" t="s">
        <v>9</v>
      </c>
      <c r="D15" s="1">
        <v>14</v>
      </c>
      <c r="E15" s="4" t="s">
        <v>765</v>
      </c>
    </row>
    <row r="16" spans="1:5" x14ac:dyDescent="0.2">
      <c r="A16" s="4" t="s">
        <v>762</v>
      </c>
      <c r="B16" s="4" t="s">
        <v>34</v>
      </c>
      <c r="C16" s="4" t="s">
        <v>9</v>
      </c>
      <c r="D16" s="1">
        <v>15</v>
      </c>
      <c r="E16" s="4" t="s">
        <v>763</v>
      </c>
    </row>
    <row r="17" spans="1:5" x14ac:dyDescent="0.2">
      <c r="A17" s="4" t="s">
        <v>190</v>
      </c>
      <c r="B17" s="4" t="s">
        <v>32</v>
      </c>
      <c r="C17" s="4" t="s">
        <v>9</v>
      </c>
      <c r="D17" s="1">
        <v>16</v>
      </c>
      <c r="E17" s="4" t="s">
        <v>191</v>
      </c>
    </row>
    <row r="18" spans="1:5" x14ac:dyDescent="0.2">
      <c r="A18" s="4" t="s">
        <v>662</v>
      </c>
      <c r="B18" s="4" t="s">
        <v>32</v>
      </c>
      <c r="C18" s="4" t="s">
        <v>9</v>
      </c>
      <c r="D18" s="1">
        <v>17</v>
      </c>
      <c r="E18" s="4" t="s">
        <v>200</v>
      </c>
    </row>
    <row r="19" spans="1:5" x14ac:dyDescent="0.2">
      <c r="A19" s="4" t="s">
        <v>661</v>
      </c>
      <c r="B19" s="4" t="s">
        <v>32</v>
      </c>
      <c r="C19" s="4" t="s">
        <v>9</v>
      </c>
      <c r="D19" s="1">
        <v>18</v>
      </c>
      <c r="E19" s="4" t="s">
        <v>286</v>
      </c>
    </row>
    <row r="20" spans="1:5" x14ac:dyDescent="0.2">
      <c r="A20" s="4" t="s">
        <v>717</v>
      </c>
      <c r="B20" s="4" t="s">
        <v>34</v>
      </c>
      <c r="C20" s="4" t="s">
        <v>9</v>
      </c>
      <c r="D20" s="1">
        <v>19</v>
      </c>
      <c r="E20" s="4" t="s">
        <v>718</v>
      </c>
    </row>
    <row r="21" spans="1:5" x14ac:dyDescent="0.2">
      <c r="A21" s="4" t="s">
        <v>724</v>
      </c>
      <c r="B21" s="4" t="s">
        <v>34</v>
      </c>
      <c r="C21" s="4" t="s">
        <v>9</v>
      </c>
      <c r="D21" s="1">
        <v>20</v>
      </c>
      <c r="E21" s="4" t="s">
        <v>727</v>
      </c>
    </row>
    <row r="22" spans="1:5" x14ac:dyDescent="0.2">
      <c r="A22" s="4" t="s">
        <v>725</v>
      </c>
      <c r="B22" s="4" t="s">
        <v>34</v>
      </c>
      <c r="C22" s="4" t="s">
        <v>9</v>
      </c>
      <c r="D22" s="1">
        <v>21</v>
      </c>
      <c r="E22" s="4" t="s">
        <v>726</v>
      </c>
    </row>
    <row r="23" spans="1:5" x14ac:dyDescent="0.2">
      <c r="A23" s="4" t="s">
        <v>862</v>
      </c>
      <c r="B23" s="4" t="s">
        <v>32</v>
      </c>
      <c r="C23" s="4" t="s">
        <v>9</v>
      </c>
      <c r="D23" s="1">
        <v>22</v>
      </c>
      <c r="E23" s="4" t="s">
        <v>865</v>
      </c>
    </row>
    <row r="24" spans="1:5" x14ac:dyDescent="0.2">
      <c r="A24" s="4" t="s">
        <v>863</v>
      </c>
      <c r="B24" s="4" t="s">
        <v>32</v>
      </c>
      <c r="C24" s="4" t="s">
        <v>9</v>
      </c>
      <c r="D24" s="1">
        <v>23</v>
      </c>
      <c r="E24" s="4" t="s">
        <v>866</v>
      </c>
    </row>
    <row r="25" spans="1:5" x14ac:dyDescent="0.2">
      <c r="A25" s="4" t="s">
        <v>864</v>
      </c>
      <c r="B25" s="4" t="s">
        <v>32</v>
      </c>
      <c r="C25" s="4" t="s">
        <v>9</v>
      </c>
      <c r="D25" s="1">
        <v>24</v>
      </c>
      <c r="E25" s="4" t="s">
        <v>867</v>
      </c>
    </row>
    <row r="26" spans="1:5" x14ac:dyDescent="0.2">
      <c r="A26" s="4" t="s">
        <v>442</v>
      </c>
      <c r="B26" s="4" t="s">
        <v>30</v>
      </c>
      <c r="C26" s="4" t="s">
        <v>9</v>
      </c>
      <c r="D26" s="1">
        <v>25</v>
      </c>
      <c r="E26" s="4" t="s">
        <v>441</v>
      </c>
    </row>
    <row r="27" spans="1:5" x14ac:dyDescent="0.2">
      <c r="A27" s="1" t="s">
        <v>130</v>
      </c>
      <c r="B27" s="1" t="s">
        <v>32</v>
      </c>
      <c r="C27" s="1" t="s">
        <v>9</v>
      </c>
      <c r="D27" s="1">
        <v>26</v>
      </c>
      <c r="E27" s="1" t="s">
        <v>131</v>
      </c>
    </row>
    <row r="28" spans="1:5" x14ac:dyDescent="0.2">
      <c r="A28" s="1" t="s">
        <v>656</v>
      </c>
      <c r="B28" s="1" t="s">
        <v>32</v>
      </c>
      <c r="C28" s="1" t="s">
        <v>9</v>
      </c>
      <c r="D28" s="1">
        <v>27</v>
      </c>
      <c r="E28" s="1" t="s">
        <v>199</v>
      </c>
    </row>
    <row r="29" spans="1:5" x14ac:dyDescent="0.2">
      <c r="A29" s="1" t="s">
        <v>655</v>
      </c>
      <c r="B29" s="1" t="s">
        <v>32</v>
      </c>
      <c r="C29" s="1" t="s">
        <v>9</v>
      </c>
      <c r="D29" s="1">
        <v>28</v>
      </c>
      <c r="E29" s="1" t="s">
        <v>36</v>
      </c>
    </row>
    <row r="30" spans="1:5" x14ac:dyDescent="0.2">
      <c r="A30" s="4" t="s">
        <v>457</v>
      </c>
      <c r="B30" s="4" t="s">
        <v>34</v>
      </c>
      <c r="C30" s="4" t="s">
        <v>9</v>
      </c>
      <c r="D30" s="1">
        <v>29</v>
      </c>
      <c r="E30" s="4" t="s">
        <v>458</v>
      </c>
    </row>
    <row r="31" spans="1:5" x14ac:dyDescent="0.2">
      <c r="A31" s="1" t="s">
        <v>555</v>
      </c>
      <c r="B31" s="1" t="s">
        <v>34</v>
      </c>
      <c r="C31" s="1" t="s">
        <v>9</v>
      </c>
      <c r="D31" s="1">
        <v>30</v>
      </c>
      <c r="E31" s="1" t="s">
        <v>558</v>
      </c>
    </row>
    <row r="32" spans="1:5" x14ac:dyDescent="0.2">
      <c r="A32" s="1" t="s">
        <v>132</v>
      </c>
      <c r="B32" s="1" t="s">
        <v>32</v>
      </c>
      <c r="C32" s="1" t="s">
        <v>9</v>
      </c>
      <c r="D32" s="1">
        <v>31</v>
      </c>
      <c r="E32" s="1" t="s">
        <v>133</v>
      </c>
    </row>
    <row r="33" spans="1:5" x14ac:dyDescent="0.2">
      <c r="A33" s="1" t="s">
        <v>554</v>
      </c>
      <c r="B33" s="1" t="s">
        <v>34</v>
      </c>
      <c r="C33" s="1" t="s">
        <v>9</v>
      </c>
      <c r="D33" s="1">
        <v>32</v>
      </c>
      <c r="E33" s="1" t="s">
        <v>557</v>
      </c>
    </row>
    <row r="34" spans="1:5" x14ac:dyDescent="0.2">
      <c r="A34" s="4" t="s">
        <v>192</v>
      </c>
      <c r="B34" s="4" t="s">
        <v>32</v>
      </c>
      <c r="C34" s="4" t="s">
        <v>9</v>
      </c>
      <c r="D34" s="1">
        <v>33</v>
      </c>
      <c r="E34" s="4" t="s">
        <v>193</v>
      </c>
    </row>
    <row r="35" spans="1:5" x14ac:dyDescent="0.2">
      <c r="A35" s="4" t="s">
        <v>472</v>
      </c>
      <c r="B35" s="4" t="s">
        <v>34</v>
      </c>
      <c r="C35" s="4" t="s">
        <v>9</v>
      </c>
      <c r="D35" s="1">
        <v>34</v>
      </c>
      <c r="E35" s="4" t="s">
        <v>488</v>
      </c>
    </row>
    <row r="36" spans="1:5" x14ac:dyDescent="0.2">
      <c r="A36" s="1" t="s">
        <v>128</v>
      </c>
      <c r="B36" s="1" t="s">
        <v>34</v>
      </c>
      <c r="C36" s="1" t="s">
        <v>9</v>
      </c>
      <c r="D36" s="1">
        <v>35</v>
      </c>
      <c r="E36" s="1" t="s">
        <v>129</v>
      </c>
    </row>
    <row r="37" spans="1:5" x14ac:dyDescent="0.2">
      <c r="A37" s="1" t="s">
        <v>388</v>
      </c>
      <c r="B37" s="1" t="s">
        <v>30</v>
      </c>
      <c r="C37" s="1" t="s">
        <v>9</v>
      </c>
      <c r="D37" s="1">
        <v>36</v>
      </c>
      <c r="E37" s="1" t="s">
        <v>389</v>
      </c>
    </row>
    <row r="38" spans="1:5" x14ac:dyDescent="0.2">
      <c r="A38" s="1" t="s">
        <v>810</v>
      </c>
      <c r="B38" s="1" t="s">
        <v>34</v>
      </c>
      <c r="C38" s="1" t="s">
        <v>9</v>
      </c>
      <c r="D38" s="1">
        <v>37</v>
      </c>
      <c r="E38" s="1" t="s">
        <v>813</v>
      </c>
    </row>
    <row r="39" spans="1:5" x14ac:dyDescent="0.2">
      <c r="A39" s="1" t="s">
        <v>811</v>
      </c>
      <c r="B39" s="1" t="s">
        <v>34</v>
      </c>
      <c r="C39" s="1" t="s">
        <v>9</v>
      </c>
      <c r="D39" s="1">
        <v>38</v>
      </c>
      <c r="E39" s="1" t="s">
        <v>814</v>
      </c>
    </row>
    <row r="40" spans="1:5" x14ac:dyDescent="0.2">
      <c r="A40" s="1" t="s">
        <v>812</v>
      </c>
      <c r="B40" s="1" t="s">
        <v>34</v>
      </c>
      <c r="C40" s="1" t="s">
        <v>9</v>
      </c>
      <c r="D40" s="1">
        <v>39</v>
      </c>
      <c r="E40" s="1" t="s">
        <v>815</v>
      </c>
    </row>
    <row r="41" spans="1:5" x14ac:dyDescent="0.2">
      <c r="A41" s="1" t="s">
        <v>553</v>
      </c>
      <c r="B41" s="1" t="s">
        <v>34</v>
      </c>
      <c r="C41" s="1" t="s">
        <v>9</v>
      </c>
      <c r="D41" s="1">
        <v>40</v>
      </c>
      <c r="E41" s="1" t="s">
        <v>556</v>
      </c>
    </row>
    <row r="42" spans="1:5" x14ac:dyDescent="0.2">
      <c r="A42" s="4" t="s">
        <v>439</v>
      </c>
      <c r="B42" s="4" t="s">
        <v>30</v>
      </c>
      <c r="C42" s="4" t="s">
        <v>9</v>
      </c>
      <c r="D42" s="1">
        <v>41</v>
      </c>
      <c r="E42" s="4" t="s">
        <v>440</v>
      </c>
    </row>
    <row r="43" spans="1:5" x14ac:dyDescent="0.2">
      <c r="A43" s="4" t="s">
        <v>784</v>
      </c>
      <c r="B43" s="4" t="s">
        <v>34</v>
      </c>
      <c r="C43" s="4" t="s">
        <v>9</v>
      </c>
      <c r="D43" s="1">
        <v>42</v>
      </c>
      <c r="E43" s="4" t="s">
        <v>785</v>
      </c>
    </row>
  </sheetData>
  <sheetProtection sheet="1" objects="1" scenarios="1" selectLockedCells="1" selectUnlockedCells="1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8628F-628E-3343-A59C-38C3FD5C68AD}">
  <dimension ref="A1:C211"/>
  <sheetViews>
    <sheetView topLeftCell="A117" zoomScale="120" zoomScaleNormal="120" workbookViewId="0">
      <selection activeCell="C107" sqref="C107"/>
    </sheetView>
  </sheetViews>
  <sheetFormatPr baseColWidth="10" defaultRowHeight="16" x14ac:dyDescent="0.2"/>
  <cols>
    <col min="1" max="1" width="16.5" style="4" bestFit="1" customWidth="1"/>
    <col min="2" max="2" width="8.5" style="4" customWidth="1"/>
    <col min="3" max="3" width="17.83203125" style="4" bestFit="1" customWidth="1"/>
    <col min="4" max="16384" width="10.83203125" style="4"/>
  </cols>
  <sheetData>
    <row r="1" spans="1:3" s="3" customFormat="1" x14ac:dyDescent="0.2">
      <c r="A1" s="3" t="s">
        <v>28</v>
      </c>
      <c r="B1" s="3" t="s">
        <v>11</v>
      </c>
      <c r="C1" s="3" t="s">
        <v>35</v>
      </c>
    </row>
    <row r="2" spans="1:3" x14ac:dyDescent="0.2">
      <c r="A2" s="1" t="s">
        <v>183</v>
      </c>
      <c r="B2" s="1" t="s">
        <v>13</v>
      </c>
      <c r="C2" s="1" t="s">
        <v>185</v>
      </c>
    </row>
    <row r="3" spans="1:3" x14ac:dyDescent="0.2">
      <c r="A3" s="1" t="s">
        <v>183</v>
      </c>
      <c r="B3" s="1" t="s">
        <v>14</v>
      </c>
      <c r="C3" s="1" t="s">
        <v>186</v>
      </c>
    </row>
    <row r="4" spans="1:3" x14ac:dyDescent="0.2">
      <c r="A4" s="1" t="s">
        <v>183</v>
      </c>
      <c r="B4" s="1" t="s">
        <v>17</v>
      </c>
      <c r="C4" s="1" t="s">
        <v>187</v>
      </c>
    </row>
    <row r="5" spans="1:3" x14ac:dyDescent="0.2">
      <c r="A5" s="1" t="s">
        <v>183</v>
      </c>
      <c r="B5" s="1" t="s">
        <v>15</v>
      </c>
      <c r="C5" s="1" t="s">
        <v>188</v>
      </c>
    </row>
    <row r="6" spans="1:3" x14ac:dyDescent="0.2">
      <c r="A6" s="1" t="s">
        <v>183</v>
      </c>
      <c r="B6" s="1" t="s">
        <v>19</v>
      </c>
      <c r="C6" s="1" t="s">
        <v>189</v>
      </c>
    </row>
    <row r="7" spans="1:3" x14ac:dyDescent="0.2">
      <c r="A7" s="1" t="s">
        <v>657</v>
      </c>
      <c r="B7" s="1" t="s">
        <v>13</v>
      </c>
      <c r="C7" s="1" t="s">
        <v>291</v>
      </c>
    </row>
    <row r="8" spans="1:3" x14ac:dyDescent="0.2">
      <c r="A8" s="1" t="s">
        <v>657</v>
      </c>
      <c r="B8" s="1" t="s">
        <v>14</v>
      </c>
      <c r="C8" s="1" t="s">
        <v>292</v>
      </c>
    </row>
    <row r="9" spans="1:3" x14ac:dyDescent="0.2">
      <c r="A9" s="1" t="s">
        <v>657</v>
      </c>
      <c r="B9" s="1" t="s">
        <v>17</v>
      </c>
      <c r="C9" s="1" t="s">
        <v>293</v>
      </c>
    </row>
    <row r="10" spans="1:3" x14ac:dyDescent="0.2">
      <c r="A10" s="1" t="s">
        <v>657</v>
      </c>
      <c r="B10" s="1" t="s">
        <v>15</v>
      </c>
      <c r="C10" s="1" t="s">
        <v>294</v>
      </c>
    </row>
    <row r="11" spans="1:3" x14ac:dyDescent="0.2">
      <c r="A11" s="1" t="s">
        <v>657</v>
      </c>
      <c r="B11" s="1" t="s">
        <v>19</v>
      </c>
      <c r="C11" s="1" t="s">
        <v>295</v>
      </c>
    </row>
    <row r="12" spans="1:3" x14ac:dyDescent="0.2">
      <c r="A12" s="1" t="s">
        <v>658</v>
      </c>
      <c r="B12" s="1" t="s">
        <v>13</v>
      </c>
      <c r="C12" s="1" t="s">
        <v>296</v>
      </c>
    </row>
    <row r="13" spans="1:3" x14ac:dyDescent="0.2">
      <c r="A13" s="1" t="s">
        <v>658</v>
      </c>
      <c r="B13" s="1" t="s">
        <v>14</v>
      </c>
      <c r="C13" s="1" t="s">
        <v>297</v>
      </c>
    </row>
    <row r="14" spans="1:3" x14ac:dyDescent="0.2">
      <c r="A14" s="1" t="s">
        <v>658</v>
      </c>
      <c r="B14" s="1" t="s">
        <v>17</v>
      </c>
      <c r="C14" s="1" t="s">
        <v>298</v>
      </c>
    </row>
    <row r="15" spans="1:3" x14ac:dyDescent="0.2">
      <c r="A15" s="1" t="s">
        <v>658</v>
      </c>
      <c r="B15" s="1" t="s">
        <v>15</v>
      </c>
      <c r="C15" s="1" t="s">
        <v>300</v>
      </c>
    </row>
    <row r="16" spans="1:3" x14ac:dyDescent="0.2">
      <c r="A16" s="1" t="s">
        <v>658</v>
      </c>
      <c r="B16" s="1" t="s">
        <v>19</v>
      </c>
      <c r="C16" s="1" t="s">
        <v>299</v>
      </c>
    </row>
    <row r="17" spans="1:3" x14ac:dyDescent="0.2">
      <c r="A17" s="1" t="s">
        <v>663</v>
      </c>
      <c r="B17" s="1" t="s">
        <v>13</v>
      </c>
      <c r="C17" s="1" t="s">
        <v>670</v>
      </c>
    </row>
    <row r="18" spans="1:3" x14ac:dyDescent="0.2">
      <c r="A18" s="1" t="s">
        <v>663</v>
      </c>
      <c r="B18" s="1" t="s">
        <v>14</v>
      </c>
      <c r="C18" s="1" t="s">
        <v>676</v>
      </c>
    </row>
    <row r="19" spans="1:3" x14ac:dyDescent="0.2">
      <c r="A19" s="1" t="s">
        <v>663</v>
      </c>
      <c r="B19" s="1" t="s">
        <v>17</v>
      </c>
      <c r="C19" s="1" t="s">
        <v>678</v>
      </c>
    </row>
    <row r="20" spans="1:3" x14ac:dyDescent="0.2">
      <c r="A20" s="1" t="s">
        <v>663</v>
      </c>
      <c r="B20" s="1" t="s">
        <v>15</v>
      </c>
      <c r="C20" s="1" t="s">
        <v>677</v>
      </c>
    </row>
    <row r="21" spans="1:3" x14ac:dyDescent="0.2">
      <c r="A21" s="1" t="s">
        <v>663</v>
      </c>
      <c r="B21" s="1" t="s">
        <v>19</v>
      </c>
      <c r="C21" s="1" t="s">
        <v>679</v>
      </c>
    </row>
    <row r="22" spans="1:3" x14ac:dyDescent="0.2">
      <c r="A22" s="1" t="s">
        <v>665</v>
      </c>
      <c r="B22" s="1" t="s">
        <v>13</v>
      </c>
      <c r="C22" s="1" t="s">
        <v>669</v>
      </c>
    </row>
    <row r="23" spans="1:3" x14ac:dyDescent="0.2">
      <c r="A23" s="1" t="s">
        <v>665</v>
      </c>
      <c r="B23" s="1" t="s">
        <v>14</v>
      </c>
      <c r="C23" s="1" t="s">
        <v>672</v>
      </c>
    </row>
    <row r="24" spans="1:3" x14ac:dyDescent="0.2">
      <c r="A24" s="1" t="s">
        <v>665</v>
      </c>
      <c r="B24" s="1" t="s">
        <v>17</v>
      </c>
      <c r="C24" s="1" t="s">
        <v>674</v>
      </c>
    </row>
    <row r="25" spans="1:3" x14ac:dyDescent="0.2">
      <c r="A25" s="1" t="s">
        <v>665</v>
      </c>
      <c r="B25" s="1" t="s">
        <v>15</v>
      </c>
      <c r="C25" s="1" t="s">
        <v>673</v>
      </c>
    </row>
    <row r="26" spans="1:3" x14ac:dyDescent="0.2">
      <c r="A26" s="1" t="s">
        <v>665</v>
      </c>
      <c r="B26" s="1" t="s">
        <v>19</v>
      </c>
      <c r="C26" s="1" t="s">
        <v>675</v>
      </c>
    </row>
    <row r="27" spans="1:3" x14ac:dyDescent="0.2">
      <c r="A27" s="1" t="s">
        <v>664</v>
      </c>
      <c r="B27" s="1" t="s">
        <v>13</v>
      </c>
      <c r="C27" s="1" t="s">
        <v>671</v>
      </c>
    </row>
    <row r="28" spans="1:3" x14ac:dyDescent="0.2">
      <c r="A28" s="1" t="s">
        <v>664</v>
      </c>
      <c r="B28" s="1" t="s">
        <v>14</v>
      </c>
      <c r="C28" s="1" t="s">
        <v>680</v>
      </c>
    </row>
    <row r="29" spans="1:3" x14ac:dyDescent="0.2">
      <c r="A29" s="1" t="s">
        <v>664</v>
      </c>
      <c r="B29" s="1" t="s">
        <v>17</v>
      </c>
      <c r="C29" s="1" t="s">
        <v>683</v>
      </c>
    </row>
    <row r="30" spans="1:3" x14ac:dyDescent="0.2">
      <c r="A30" s="1" t="s">
        <v>664</v>
      </c>
      <c r="B30" s="1" t="s">
        <v>15</v>
      </c>
      <c r="C30" s="1" t="s">
        <v>681</v>
      </c>
    </row>
    <row r="31" spans="1:3" x14ac:dyDescent="0.2">
      <c r="A31" s="1" t="s">
        <v>664</v>
      </c>
      <c r="B31" s="1" t="s">
        <v>19</v>
      </c>
      <c r="C31" s="1" t="s">
        <v>682</v>
      </c>
    </row>
    <row r="32" spans="1:3" x14ac:dyDescent="0.2">
      <c r="A32" s="1" t="s">
        <v>287</v>
      </c>
      <c r="B32" s="1" t="s">
        <v>13</v>
      </c>
      <c r="C32" s="1" t="s">
        <v>323</v>
      </c>
    </row>
    <row r="33" spans="1:3" x14ac:dyDescent="0.2">
      <c r="A33" s="1" t="s">
        <v>287</v>
      </c>
      <c r="B33" s="1" t="s">
        <v>14</v>
      </c>
      <c r="C33" s="1" t="s">
        <v>301</v>
      </c>
    </row>
    <row r="34" spans="1:3" x14ac:dyDescent="0.2">
      <c r="A34" s="1" t="s">
        <v>287</v>
      </c>
      <c r="B34" s="1" t="s">
        <v>17</v>
      </c>
      <c r="C34" s="1" t="s">
        <v>302</v>
      </c>
    </row>
    <row r="35" spans="1:3" x14ac:dyDescent="0.2">
      <c r="A35" s="1" t="s">
        <v>287</v>
      </c>
      <c r="B35" s="1" t="s">
        <v>15</v>
      </c>
      <c r="C35" s="1" t="s">
        <v>303</v>
      </c>
    </row>
    <row r="36" spans="1:3" x14ac:dyDescent="0.2">
      <c r="A36" s="1" t="s">
        <v>287</v>
      </c>
      <c r="B36" s="1" t="s">
        <v>19</v>
      </c>
      <c r="C36" s="1" t="s">
        <v>304</v>
      </c>
    </row>
    <row r="37" spans="1:3" x14ac:dyDescent="0.2">
      <c r="A37" s="1" t="s">
        <v>659</v>
      </c>
      <c r="B37" s="1" t="s">
        <v>13</v>
      </c>
      <c r="C37" s="1" t="s">
        <v>324</v>
      </c>
    </row>
    <row r="38" spans="1:3" x14ac:dyDescent="0.2">
      <c r="A38" s="1" t="s">
        <v>659</v>
      </c>
      <c r="B38" s="1" t="s">
        <v>14</v>
      </c>
      <c r="C38" s="1" t="s">
        <v>305</v>
      </c>
    </row>
    <row r="39" spans="1:3" x14ac:dyDescent="0.2">
      <c r="A39" s="1" t="s">
        <v>659</v>
      </c>
      <c r="B39" s="1" t="s">
        <v>17</v>
      </c>
      <c r="C39" s="1" t="s">
        <v>306</v>
      </c>
    </row>
    <row r="40" spans="1:3" x14ac:dyDescent="0.2">
      <c r="A40" s="1" t="s">
        <v>659</v>
      </c>
      <c r="B40" s="1" t="s">
        <v>15</v>
      </c>
      <c r="C40" s="1" t="s">
        <v>307</v>
      </c>
    </row>
    <row r="41" spans="1:3" x14ac:dyDescent="0.2">
      <c r="A41" s="1" t="s">
        <v>659</v>
      </c>
      <c r="B41" s="1" t="s">
        <v>19</v>
      </c>
      <c r="C41" s="1" t="s">
        <v>308</v>
      </c>
    </row>
    <row r="42" spans="1:3" x14ac:dyDescent="0.2">
      <c r="A42" s="1" t="s">
        <v>660</v>
      </c>
      <c r="B42" s="1" t="s">
        <v>13</v>
      </c>
      <c r="C42" s="1" t="s">
        <v>309</v>
      </c>
    </row>
    <row r="43" spans="1:3" x14ac:dyDescent="0.2">
      <c r="A43" s="1" t="s">
        <v>660</v>
      </c>
      <c r="B43" s="1" t="s">
        <v>14</v>
      </c>
      <c r="C43" s="1" t="s">
        <v>310</v>
      </c>
    </row>
    <row r="44" spans="1:3" x14ac:dyDescent="0.2">
      <c r="A44" s="1" t="s">
        <v>660</v>
      </c>
      <c r="B44" s="1" t="s">
        <v>17</v>
      </c>
      <c r="C44" s="1" t="s">
        <v>311</v>
      </c>
    </row>
    <row r="45" spans="1:3" x14ac:dyDescent="0.2">
      <c r="A45" s="1" t="s">
        <v>660</v>
      </c>
      <c r="B45" s="1" t="s">
        <v>15</v>
      </c>
      <c r="C45" s="1" t="s">
        <v>312</v>
      </c>
    </row>
    <row r="46" spans="1:3" x14ac:dyDescent="0.2">
      <c r="A46" s="1" t="s">
        <v>660</v>
      </c>
      <c r="B46" s="1" t="s">
        <v>19</v>
      </c>
      <c r="C46" s="1" t="s">
        <v>313</v>
      </c>
    </row>
    <row r="47" spans="1:3" x14ac:dyDescent="0.2">
      <c r="A47" s="1" t="s">
        <v>760</v>
      </c>
      <c r="B47" s="1" t="s">
        <v>13</v>
      </c>
      <c r="C47" s="1" t="s">
        <v>766</v>
      </c>
    </row>
    <row r="48" spans="1:3" x14ac:dyDescent="0.2">
      <c r="A48" s="1" t="s">
        <v>760</v>
      </c>
      <c r="B48" s="1" t="s">
        <v>14</v>
      </c>
      <c r="C48" s="1" t="s">
        <v>767</v>
      </c>
    </row>
    <row r="49" spans="1:3" x14ac:dyDescent="0.2">
      <c r="A49" s="1" t="s">
        <v>760</v>
      </c>
      <c r="B49" s="1" t="s">
        <v>17</v>
      </c>
      <c r="C49" s="1" t="s">
        <v>767</v>
      </c>
    </row>
    <row r="50" spans="1:3" x14ac:dyDescent="0.2">
      <c r="A50" s="1" t="s">
        <v>760</v>
      </c>
      <c r="B50" s="1" t="s">
        <v>15</v>
      </c>
      <c r="C50" s="1" t="s">
        <v>768</v>
      </c>
    </row>
    <row r="51" spans="1:3" x14ac:dyDescent="0.2">
      <c r="A51" s="1" t="s">
        <v>760</v>
      </c>
      <c r="B51" s="1" t="s">
        <v>19</v>
      </c>
      <c r="C51" s="1" t="s">
        <v>769</v>
      </c>
    </row>
    <row r="52" spans="1:3" x14ac:dyDescent="0.2">
      <c r="A52" s="1" t="s">
        <v>762</v>
      </c>
      <c r="B52" s="1" t="s">
        <v>13</v>
      </c>
      <c r="C52" s="1" t="s">
        <v>770</v>
      </c>
    </row>
    <row r="53" spans="1:3" x14ac:dyDescent="0.2">
      <c r="A53" s="1" t="s">
        <v>762</v>
      </c>
      <c r="B53" s="1" t="s">
        <v>14</v>
      </c>
      <c r="C53" s="1" t="s">
        <v>771</v>
      </c>
    </row>
    <row r="54" spans="1:3" x14ac:dyDescent="0.2">
      <c r="A54" s="1" t="s">
        <v>762</v>
      </c>
      <c r="B54" s="1" t="s">
        <v>17</v>
      </c>
      <c r="C54" s="1" t="s">
        <v>772</v>
      </c>
    </row>
    <row r="55" spans="1:3" x14ac:dyDescent="0.2">
      <c r="A55" s="1" t="s">
        <v>762</v>
      </c>
      <c r="B55" s="1" t="s">
        <v>15</v>
      </c>
      <c r="C55" s="1" t="s">
        <v>773</v>
      </c>
    </row>
    <row r="56" spans="1:3" x14ac:dyDescent="0.2">
      <c r="A56" s="1" t="s">
        <v>762</v>
      </c>
      <c r="B56" s="1" t="s">
        <v>19</v>
      </c>
      <c r="C56" s="1" t="s">
        <v>774</v>
      </c>
    </row>
    <row r="57" spans="1:3" x14ac:dyDescent="0.2">
      <c r="A57" s="1" t="s">
        <v>761</v>
      </c>
      <c r="B57" s="1" t="s">
        <v>13</v>
      </c>
      <c r="C57" s="1" t="s">
        <v>775</v>
      </c>
    </row>
    <row r="58" spans="1:3" x14ac:dyDescent="0.2">
      <c r="A58" s="1" t="s">
        <v>761</v>
      </c>
      <c r="B58" s="1" t="s">
        <v>14</v>
      </c>
      <c r="C58" s="1" t="s">
        <v>776</v>
      </c>
    </row>
    <row r="59" spans="1:3" x14ac:dyDescent="0.2">
      <c r="A59" s="1" t="s">
        <v>761</v>
      </c>
      <c r="B59" s="1" t="s">
        <v>17</v>
      </c>
      <c r="C59" s="1" t="s">
        <v>777</v>
      </c>
    </row>
    <row r="60" spans="1:3" x14ac:dyDescent="0.2">
      <c r="A60" s="1" t="s">
        <v>761</v>
      </c>
      <c r="B60" s="1" t="s">
        <v>15</v>
      </c>
      <c r="C60" s="1" t="s">
        <v>778</v>
      </c>
    </row>
    <row r="61" spans="1:3" x14ac:dyDescent="0.2">
      <c r="A61" s="1" t="s">
        <v>761</v>
      </c>
      <c r="B61" s="1" t="s">
        <v>19</v>
      </c>
      <c r="C61" s="1" t="s">
        <v>779</v>
      </c>
    </row>
    <row r="62" spans="1:3" x14ac:dyDescent="0.2">
      <c r="A62" s="1" t="s">
        <v>190</v>
      </c>
      <c r="B62" s="1" t="s">
        <v>13</v>
      </c>
      <c r="C62" s="1" t="s">
        <v>194</v>
      </c>
    </row>
    <row r="63" spans="1:3" x14ac:dyDescent="0.2">
      <c r="A63" s="1" t="s">
        <v>190</v>
      </c>
      <c r="B63" s="1" t="s">
        <v>14</v>
      </c>
      <c r="C63" s="1" t="s">
        <v>195</v>
      </c>
    </row>
    <row r="64" spans="1:3" x14ac:dyDescent="0.2">
      <c r="A64" s="1" t="s">
        <v>190</v>
      </c>
      <c r="B64" s="1" t="s">
        <v>17</v>
      </c>
      <c r="C64" s="1" t="s">
        <v>196</v>
      </c>
    </row>
    <row r="65" spans="1:3" x14ac:dyDescent="0.2">
      <c r="A65" s="1" t="s">
        <v>190</v>
      </c>
      <c r="B65" s="1" t="s">
        <v>15</v>
      </c>
      <c r="C65" s="1" t="s">
        <v>197</v>
      </c>
    </row>
    <row r="66" spans="1:3" x14ac:dyDescent="0.2">
      <c r="A66" s="1" t="s">
        <v>190</v>
      </c>
      <c r="B66" s="1" t="s">
        <v>19</v>
      </c>
      <c r="C66" s="1" t="s">
        <v>198</v>
      </c>
    </row>
    <row r="67" spans="1:3" x14ac:dyDescent="0.2">
      <c r="A67" s="1" t="s">
        <v>661</v>
      </c>
      <c r="B67" s="1" t="s">
        <v>13</v>
      </c>
      <c r="C67" s="1" t="s">
        <v>314</v>
      </c>
    </row>
    <row r="68" spans="1:3" x14ac:dyDescent="0.2">
      <c r="A68" s="1" t="s">
        <v>661</v>
      </c>
      <c r="B68" s="1" t="s">
        <v>14</v>
      </c>
      <c r="C68" s="1" t="s">
        <v>315</v>
      </c>
    </row>
    <row r="69" spans="1:3" x14ac:dyDescent="0.2">
      <c r="A69" s="1" t="s">
        <v>661</v>
      </c>
      <c r="B69" s="1" t="s">
        <v>17</v>
      </c>
      <c r="C69" s="1" t="s">
        <v>316</v>
      </c>
    </row>
    <row r="70" spans="1:3" x14ac:dyDescent="0.2">
      <c r="A70" s="1" t="s">
        <v>661</v>
      </c>
      <c r="B70" s="1" t="s">
        <v>15</v>
      </c>
      <c r="C70" s="1" t="s">
        <v>317</v>
      </c>
    </row>
    <row r="71" spans="1:3" x14ac:dyDescent="0.2">
      <c r="A71" s="1" t="s">
        <v>661</v>
      </c>
      <c r="B71" s="1" t="s">
        <v>19</v>
      </c>
      <c r="C71" s="1" t="s">
        <v>318</v>
      </c>
    </row>
    <row r="72" spans="1:3" x14ac:dyDescent="0.2">
      <c r="A72" s="1" t="s">
        <v>662</v>
      </c>
      <c r="B72" s="1" t="s">
        <v>13</v>
      </c>
      <c r="C72" s="1" t="s">
        <v>201</v>
      </c>
    </row>
    <row r="73" spans="1:3" x14ac:dyDescent="0.2">
      <c r="A73" s="1" t="s">
        <v>662</v>
      </c>
      <c r="B73" s="1" t="s">
        <v>14</v>
      </c>
      <c r="C73" s="1" t="s">
        <v>202</v>
      </c>
    </row>
    <row r="74" spans="1:3" x14ac:dyDescent="0.2">
      <c r="A74" s="1" t="s">
        <v>662</v>
      </c>
      <c r="B74" s="1" t="s">
        <v>17</v>
      </c>
      <c r="C74" s="1" t="s">
        <v>203</v>
      </c>
    </row>
    <row r="75" spans="1:3" x14ac:dyDescent="0.2">
      <c r="A75" s="1" t="s">
        <v>662</v>
      </c>
      <c r="B75" s="1" t="s">
        <v>15</v>
      </c>
      <c r="C75" s="1" t="s">
        <v>204</v>
      </c>
    </row>
    <row r="76" spans="1:3" x14ac:dyDescent="0.2">
      <c r="A76" s="1" t="s">
        <v>662</v>
      </c>
      <c r="B76" s="1" t="s">
        <v>19</v>
      </c>
      <c r="C76" s="1" t="s">
        <v>685</v>
      </c>
    </row>
    <row r="77" spans="1:3" x14ac:dyDescent="0.2">
      <c r="A77" s="1" t="s">
        <v>717</v>
      </c>
      <c r="B77" s="1" t="s">
        <v>13</v>
      </c>
      <c r="C77" s="1" t="s">
        <v>719</v>
      </c>
    </row>
    <row r="78" spans="1:3" x14ac:dyDescent="0.2">
      <c r="A78" s="1" t="s">
        <v>717</v>
      </c>
      <c r="B78" s="1" t="s">
        <v>14</v>
      </c>
      <c r="C78" s="1" t="s">
        <v>720</v>
      </c>
    </row>
    <row r="79" spans="1:3" x14ac:dyDescent="0.2">
      <c r="A79" s="1" t="s">
        <v>717</v>
      </c>
      <c r="B79" s="1" t="s">
        <v>17</v>
      </c>
      <c r="C79" s="1" t="s">
        <v>721</v>
      </c>
    </row>
    <row r="80" spans="1:3" x14ac:dyDescent="0.2">
      <c r="A80" s="1" t="s">
        <v>717</v>
      </c>
      <c r="B80" s="1" t="s">
        <v>15</v>
      </c>
      <c r="C80" s="1" t="s">
        <v>722</v>
      </c>
    </row>
    <row r="81" spans="1:3" x14ac:dyDescent="0.2">
      <c r="A81" s="1" t="s">
        <v>717</v>
      </c>
      <c r="B81" s="1" t="s">
        <v>19</v>
      </c>
      <c r="C81" s="1" t="s">
        <v>723</v>
      </c>
    </row>
    <row r="82" spans="1:3" x14ac:dyDescent="0.2">
      <c r="A82" s="1" t="s">
        <v>725</v>
      </c>
      <c r="B82" s="1" t="s">
        <v>13</v>
      </c>
      <c r="C82" s="1" t="s">
        <v>728</v>
      </c>
    </row>
    <row r="83" spans="1:3" x14ac:dyDescent="0.2">
      <c r="A83" s="1" t="s">
        <v>725</v>
      </c>
      <c r="B83" s="1" t="s">
        <v>14</v>
      </c>
      <c r="C83" s="1" t="s">
        <v>729</v>
      </c>
    </row>
    <row r="84" spans="1:3" x14ac:dyDescent="0.2">
      <c r="A84" s="1" t="s">
        <v>725</v>
      </c>
      <c r="B84" s="1" t="s">
        <v>17</v>
      </c>
      <c r="C84" s="1" t="s">
        <v>730</v>
      </c>
    </row>
    <row r="85" spans="1:3" x14ac:dyDescent="0.2">
      <c r="A85" s="1" t="s">
        <v>725</v>
      </c>
      <c r="B85" s="1" t="s">
        <v>15</v>
      </c>
      <c r="C85" s="1" t="s">
        <v>731</v>
      </c>
    </row>
    <row r="86" spans="1:3" x14ac:dyDescent="0.2">
      <c r="A86" s="1" t="s">
        <v>725</v>
      </c>
      <c r="B86" s="1" t="s">
        <v>19</v>
      </c>
      <c r="C86" s="1" t="s">
        <v>732</v>
      </c>
    </row>
    <row r="87" spans="1:3" x14ac:dyDescent="0.2">
      <c r="A87" s="1" t="s">
        <v>724</v>
      </c>
      <c r="B87" s="1" t="s">
        <v>13</v>
      </c>
      <c r="C87" s="1" t="s">
        <v>733</v>
      </c>
    </row>
    <row r="88" spans="1:3" x14ac:dyDescent="0.2">
      <c r="A88" s="1" t="s">
        <v>724</v>
      </c>
      <c r="B88" s="1" t="s">
        <v>14</v>
      </c>
      <c r="C88" s="1" t="s">
        <v>734</v>
      </c>
    </row>
    <row r="89" spans="1:3" x14ac:dyDescent="0.2">
      <c r="A89" s="1" t="s">
        <v>724</v>
      </c>
      <c r="B89" s="1" t="s">
        <v>17</v>
      </c>
      <c r="C89" s="1" t="s">
        <v>735</v>
      </c>
    </row>
    <row r="90" spans="1:3" x14ac:dyDescent="0.2">
      <c r="A90" s="1" t="s">
        <v>724</v>
      </c>
      <c r="B90" s="1" t="s">
        <v>15</v>
      </c>
      <c r="C90" s="1" t="s">
        <v>736</v>
      </c>
    </row>
    <row r="91" spans="1:3" x14ac:dyDescent="0.2">
      <c r="A91" s="1" t="s">
        <v>724</v>
      </c>
      <c r="B91" s="1" t="s">
        <v>19</v>
      </c>
      <c r="C91" s="1" t="s">
        <v>737</v>
      </c>
    </row>
    <row r="92" spans="1:3" x14ac:dyDescent="0.2">
      <c r="A92" s="1" t="s">
        <v>862</v>
      </c>
      <c r="B92" s="1" t="s">
        <v>13</v>
      </c>
      <c r="C92" s="1" t="s">
        <v>872</v>
      </c>
    </row>
    <row r="93" spans="1:3" x14ac:dyDescent="0.2">
      <c r="A93" s="1" t="s">
        <v>862</v>
      </c>
      <c r="B93" s="1" t="s">
        <v>14</v>
      </c>
      <c r="C93" s="1" t="s">
        <v>871</v>
      </c>
    </row>
    <row r="94" spans="1:3" x14ac:dyDescent="0.2">
      <c r="A94" s="1" t="s">
        <v>862</v>
      </c>
      <c r="B94" s="1" t="s">
        <v>17</v>
      </c>
      <c r="C94" s="1" t="s">
        <v>870</v>
      </c>
    </row>
    <row r="95" spans="1:3" x14ac:dyDescent="0.2">
      <c r="A95" s="1" t="s">
        <v>862</v>
      </c>
      <c r="B95" s="1" t="s">
        <v>15</v>
      </c>
      <c r="C95" s="1" t="s">
        <v>868</v>
      </c>
    </row>
    <row r="96" spans="1:3" x14ac:dyDescent="0.2">
      <c r="A96" s="1" t="s">
        <v>862</v>
      </c>
      <c r="B96" s="1" t="s">
        <v>19</v>
      </c>
      <c r="C96" s="1" t="s">
        <v>869</v>
      </c>
    </row>
    <row r="97" spans="1:3" x14ac:dyDescent="0.2">
      <c r="A97" s="1" t="s">
        <v>864</v>
      </c>
      <c r="B97" s="1" t="s">
        <v>13</v>
      </c>
      <c r="C97" s="1" t="s">
        <v>873</v>
      </c>
    </row>
    <row r="98" spans="1:3" x14ac:dyDescent="0.2">
      <c r="A98" s="1" t="s">
        <v>864</v>
      </c>
      <c r="B98" s="1" t="s">
        <v>14</v>
      </c>
      <c r="C98" s="1" t="s">
        <v>874</v>
      </c>
    </row>
    <row r="99" spans="1:3" x14ac:dyDescent="0.2">
      <c r="A99" s="1" t="s">
        <v>864</v>
      </c>
      <c r="B99" s="1" t="s">
        <v>17</v>
      </c>
      <c r="C99" s="1" t="s">
        <v>875</v>
      </c>
    </row>
    <row r="100" spans="1:3" x14ac:dyDescent="0.2">
      <c r="A100" s="1" t="s">
        <v>864</v>
      </c>
      <c r="B100" s="1" t="s">
        <v>15</v>
      </c>
      <c r="C100" s="1" t="s">
        <v>876</v>
      </c>
    </row>
    <row r="101" spans="1:3" x14ac:dyDescent="0.2">
      <c r="A101" s="1" t="s">
        <v>864</v>
      </c>
      <c r="B101" s="1" t="s">
        <v>19</v>
      </c>
      <c r="C101" s="1" t="s">
        <v>877</v>
      </c>
    </row>
    <row r="102" spans="1:3" x14ac:dyDescent="0.2">
      <c r="A102" s="1" t="s">
        <v>863</v>
      </c>
      <c r="B102" s="1" t="s">
        <v>13</v>
      </c>
      <c r="C102" s="1" t="s">
        <v>878</v>
      </c>
    </row>
    <row r="103" spans="1:3" x14ac:dyDescent="0.2">
      <c r="A103" s="1" t="s">
        <v>863</v>
      </c>
      <c r="B103" s="1" t="s">
        <v>14</v>
      </c>
      <c r="C103" s="1" t="s">
        <v>879</v>
      </c>
    </row>
    <row r="104" spans="1:3" x14ac:dyDescent="0.2">
      <c r="A104" s="1" t="s">
        <v>863</v>
      </c>
      <c r="B104" s="1" t="s">
        <v>17</v>
      </c>
      <c r="C104" s="1" t="s">
        <v>880</v>
      </c>
    </row>
    <row r="105" spans="1:3" x14ac:dyDescent="0.2">
      <c r="A105" s="1" t="s">
        <v>863</v>
      </c>
      <c r="B105" s="1" t="s">
        <v>15</v>
      </c>
      <c r="C105" s="1" t="s">
        <v>881</v>
      </c>
    </row>
    <row r="106" spans="1:3" x14ac:dyDescent="0.2">
      <c r="A106" s="1" t="s">
        <v>863</v>
      </c>
      <c r="B106" s="1" t="s">
        <v>19</v>
      </c>
      <c r="C106" s="1" t="s">
        <v>882</v>
      </c>
    </row>
    <row r="107" spans="1:3" x14ac:dyDescent="0.2">
      <c r="A107" s="1" t="s">
        <v>192</v>
      </c>
      <c r="B107" s="1" t="s">
        <v>13</v>
      </c>
      <c r="C107" s="1" t="s">
        <v>319</v>
      </c>
    </row>
    <row r="108" spans="1:3" x14ac:dyDescent="0.2">
      <c r="A108" s="1" t="s">
        <v>192</v>
      </c>
      <c r="B108" s="1" t="s">
        <v>14</v>
      </c>
      <c r="C108" s="1" t="s">
        <v>320</v>
      </c>
    </row>
    <row r="109" spans="1:3" x14ac:dyDescent="0.2">
      <c r="A109" s="1" t="s">
        <v>192</v>
      </c>
      <c r="B109" s="1" t="s">
        <v>17</v>
      </c>
      <c r="C109" s="1" t="s">
        <v>320</v>
      </c>
    </row>
    <row r="110" spans="1:3" x14ac:dyDescent="0.2">
      <c r="A110" s="1" t="s">
        <v>192</v>
      </c>
      <c r="B110" s="1" t="s">
        <v>15</v>
      </c>
      <c r="C110" s="1" t="s">
        <v>321</v>
      </c>
    </row>
    <row r="111" spans="1:3" x14ac:dyDescent="0.2">
      <c r="A111" s="1" t="s">
        <v>192</v>
      </c>
      <c r="B111" s="1" t="s">
        <v>19</v>
      </c>
      <c r="C111" s="1" t="s">
        <v>322</v>
      </c>
    </row>
    <row r="112" spans="1:3" x14ac:dyDescent="0.2">
      <c r="A112" s="1" t="s">
        <v>130</v>
      </c>
      <c r="B112" s="1" t="s">
        <v>13</v>
      </c>
      <c r="C112" s="1" t="s">
        <v>141</v>
      </c>
    </row>
    <row r="113" spans="1:3" x14ac:dyDescent="0.2">
      <c r="A113" s="1" t="s">
        <v>130</v>
      </c>
      <c r="B113" s="1" t="s">
        <v>14</v>
      </c>
      <c r="C113" s="1" t="s">
        <v>33</v>
      </c>
    </row>
    <row r="114" spans="1:3" x14ac:dyDescent="0.2">
      <c r="A114" s="1" t="s">
        <v>130</v>
      </c>
      <c r="B114" s="1" t="s">
        <v>17</v>
      </c>
      <c r="C114" s="1" t="s">
        <v>142</v>
      </c>
    </row>
    <row r="115" spans="1:3" x14ac:dyDescent="0.2">
      <c r="A115" s="1" t="s">
        <v>130</v>
      </c>
      <c r="B115" s="1" t="s">
        <v>15</v>
      </c>
      <c r="C115" s="1" t="s">
        <v>131</v>
      </c>
    </row>
    <row r="116" spans="1:3" x14ac:dyDescent="0.2">
      <c r="A116" s="1" t="s">
        <v>130</v>
      </c>
      <c r="B116" s="1" t="s">
        <v>19</v>
      </c>
      <c r="C116" s="1" t="s">
        <v>143</v>
      </c>
    </row>
    <row r="117" spans="1:3" x14ac:dyDescent="0.2">
      <c r="A117" s="1" t="s">
        <v>655</v>
      </c>
      <c r="B117" s="1" t="s">
        <v>13</v>
      </c>
      <c r="C117" s="1" t="s">
        <v>136</v>
      </c>
    </row>
    <row r="118" spans="1:3" x14ac:dyDescent="0.2">
      <c r="A118" s="1" t="s">
        <v>655</v>
      </c>
      <c r="B118" s="1" t="s">
        <v>14</v>
      </c>
      <c r="C118" s="1" t="s">
        <v>137</v>
      </c>
    </row>
    <row r="119" spans="1:3" x14ac:dyDescent="0.2">
      <c r="A119" s="1" t="s">
        <v>655</v>
      </c>
      <c r="B119" s="1" t="s">
        <v>17</v>
      </c>
      <c r="C119" s="1" t="s">
        <v>138</v>
      </c>
    </row>
    <row r="120" spans="1:3" x14ac:dyDescent="0.2">
      <c r="A120" s="1" t="s">
        <v>655</v>
      </c>
      <c r="B120" s="1" t="s">
        <v>15</v>
      </c>
      <c r="C120" s="1" t="s">
        <v>139</v>
      </c>
    </row>
    <row r="121" spans="1:3" x14ac:dyDescent="0.2">
      <c r="A121" s="1" t="s">
        <v>655</v>
      </c>
      <c r="B121" s="1" t="s">
        <v>19</v>
      </c>
      <c r="C121" s="1" t="s">
        <v>140</v>
      </c>
    </row>
    <row r="122" spans="1:3" x14ac:dyDescent="0.2">
      <c r="A122" s="1" t="s">
        <v>656</v>
      </c>
      <c r="B122" s="1" t="s">
        <v>13</v>
      </c>
      <c r="C122" s="1" t="s">
        <v>205</v>
      </c>
    </row>
    <row r="123" spans="1:3" x14ac:dyDescent="0.2">
      <c r="A123" s="1" t="s">
        <v>656</v>
      </c>
      <c r="B123" s="1" t="s">
        <v>14</v>
      </c>
      <c r="C123" s="1" t="s">
        <v>206</v>
      </c>
    </row>
    <row r="124" spans="1:3" x14ac:dyDescent="0.2">
      <c r="A124" s="1" t="s">
        <v>656</v>
      </c>
      <c r="B124" s="1" t="s">
        <v>17</v>
      </c>
      <c r="C124" s="1" t="s">
        <v>146</v>
      </c>
    </row>
    <row r="125" spans="1:3" x14ac:dyDescent="0.2">
      <c r="A125" s="1" t="s">
        <v>656</v>
      </c>
      <c r="B125" s="1" t="s">
        <v>15</v>
      </c>
      <c r="C125" s="1" t="s">
        <v>207</v>
      </c>
    </row>
    <row r="126" spans="1:3" x14ac:dyDescent="0.2">
      <c r="A126" s="1" t="s">
        <v>656</v>
      </c>
      <c r="B126" s="1" t="s">
        <v>19</v>
      </c>
      <c r="C126" s="1" t="s">
        <v>208</v>
      </c>
    </row>
    <row r="127" spans="1:3" x14ac:dyDescent="0.2">
      <c r="A127" s="1" t="s">
        <v>132</v>
      </c>
      <c r="B127" s="1" t="s">
        <v>13</v>
      </c>
      <c r="C127" s="1" t="s">
        <v>144</v>
      </c>
    </row>
    <row r="128" spans="1:3" x14ac:dyDescent="0.2">
      <c r="A128" s="1" t="s">
        <v>132</v>
      </c>
      <c r="B128" s="1" t="s">
        <v>14</v>
      </c>
      <c r="C128" s="1" t="s">
        <v>145</v>
      </c>
    </row>
    <row r="129" spans="1:3" x14ac:dyDescent="0.2">
      <c r="A129" s="1" t="s">
        <v>132</v>
      </c>
      <c r="B129" s="1" t="s">
        <v>17</v>
      </c>
      <c r="C129" s="1" t="s">
        <v>686</v>
      </c>
    </row>
    <row r="130" spans="1:3" x14ac:dyDescent="0.2">
      <c r="A130" s="1" t="s">
        <v>132</v>
      </c>
      <c r="B130" s="1" t="s">
        <v>15</v>
      </c>
      <c r="C130" s="1" t="s">
        <v>133</v>
      </c>
    </row>
    <row r="131" spans="1:3" x14ac:dyDescent="0.2">
      <c r="A131" s="1" t="s">
        <v>132</v>
      </c>
      <c r="B131" s="1" t="s">
        <v>19</v>
      </c>
      <c r="C131" s="1" t="s">
        <v>147</v>
      </c>
    </row>
    <row r="132" spans="1:3" x14ac:dyDescent="0.2">
      <c r="A132" s="1" t="s">
        <v>124</v>
      </c>
      <c r="B132" s="1" t="s">
        <v>13</v>
      </c>
      <c r="C132" s="1" t="s">
        <v>29</v>
      </c>
    </row>
    <row r="133" spans="1:3" x14ac:dyDescent="0.2">
      <c r="A133" s="1" t="s">
        <v>124</v>
      </c>
      <c r="B133" s="1" t="s">
        <v>14</v>
      </c>
      <c r="C133" s="1" t="s">
        <v>29</v>
      </c>
    </row>
    <row r="134" spans="1:3" x14ac:dyDescent="0.2">
      <c r="A134" s="1" t="s">
        <v>124</v>
      </c>
      <c r="B134" s="1" t="s">
        <v>17</v>
      </c>
      <c r="C134" s="1" t="s">
        <v>134</v>
      </c>
    </row>
    <row r="135" spans="1:3" x14ac:dyDescent="0.2">
      <c r="A135" s="1" t="s">
        <v>124</v>
      </c>
      <c r="B135" s="1" t="s">
        <v>15</v>
      </c>
      <c r="C135" s="1" t="s">
        <v>135</v>
      </c>
    </row>
    <row r="136" spans="1:3" x14ac:dyDescent="0.2">
      <c r="A136" s="1" t="s">
        <v>124</v>
      </c>
      <c r="B136" s="1" t="s">
        <v>19</v>
      </c>
      <c r="C136" s="1" t="s">
        <v>29</v>
      </c>
    </row>
    <row r="137" spans="1:3" x14ac:dyDescent="0.2">
      <c r="A137" s="1" t="s">
        <v>126</v>
      </c>
      <c r="B137" s="1" t="s">
        <v>13</v>
      </c>
      <c r="C137" s="1" t="s">
        <v>31</v>
      </c>
    </row>
    <row r="138" spans="1:3" x14ac:dyDescent="0.2">
      <c r="A138" s="1" t="s">
        <v>126</v>
      </c>
      <c r="B138" s="1" t="s">
        <v>14</v>
      </c>
      <c r="C138" s="1" t="s">
        <v>31</v>
      </c>
    </row>
    <row r="139" spans="1:3" x14ac:dyDescent="0.2">
      <c r="A139" s="1" t="s">
        <v>126</v>
      </c>
      <c r="B139" s="1" t="s">
        <v>17</v>
      </c>
      <c r="C139" s="1" t="s">
        <v>31</v>
      </c>
    </row>
    <row r="140" spans="1:3" x14ac:dyDescent="0.2">
      <c r="A140" s="1" t="s">
        <v>126</v>
      </c>
      <c r="B140" s="1" t="s">
        <v>15</v>
      </c>
      <c r="C140" s="1" t="s">
        <v>31</v>
      </c>
    </row>
    <row r="141" spans="1:3" x14ac:dyDescent="0.2">
      <c r="A141" s="1" t="s">
        <v>126</v>
      </c>
      <c r="B141" s="1" t="s">
        <v>19</v>
      </c>
      <c r="C141" s="1" t="s">
        <v>31</v>
      </c>
    </row>
    <row r="142" spans="1:3" x14ac:dyDescent="0.2">
      <c r="A142" s="1" t="s">
        <v>388</v>
      </c>
      <c r="B142" s="1" t="s">
        <v>13</v>
      </c>
      <c r="C142" s="1" t="s">
        <v>390</v>
      </c>
    </row>
    <row r="143" spans="1:3" x14ac:dyDescent="0.2">
      <c r="A143" s="1" t="s">
        <v>388</v>
      </c>
      <c r="B143" s="1" t="s">
        <v>14</v>
      </c>
      <c r="C143" s="1" t="s">
        <v>391</v>
      </c>
    </row>
    <row r="144" spans="1:3" x14ac:dyDescent="0.2">
      <c r="A144" s="1" t="s">
        <v>388</v>
      </c>
      <c r="B144" s="1" t="s">
        <v>17</v>
      </c>
      <c r="C144" s="1" t="s">
        <v>393</v>
      </c>
    </row>
    <row r="145" spans="1:3" x14ac:dyDescent="0.2">
      <c r="A145" s="1" t="s">
        <v>388</v>
      </c>
      <c r="B145" s="1" t="s">
        <v>15</v>
      </c>
      <c r="C145" s="1" t="s">
        <v>392</v>
      </c>
    </row>
    <row r="146" spans="1:3" x14ac:dyDescent="0.2">
      <c r="A146" s="1" t="s">
        <v>388</v>
      </c>
      <c r="B146" s="1" t="s">
        <v>19</v>
      </c>
      <c r="C146" s="1" t="s">
        <v>394</v>
      </c>
    </row>
    <row r="147" spans="1:3" x14ac:dyDescent="0.2">
      <c r="A147" s="1" t="s">
        <v>810</v>
      </c>
      <c r="B147" s="1" t="s">
        <v>13</v>
      </c>
      <c r="C147" s="1" t="s">
        <v>816</v>
      </c>
    </row>
    <row r="148" spans="1:3" x14ac:dyDescent="0.2">
      <c r="A148" s="1" t="s">
        <v>810</v>
      </c>
      <c r="B148" s="1" t="s">
        <v>14</v>
      </c>
      <c r="C148" s="1" t="s">
        <v>817</v>
      </c>
    </row>
    <row r="149" spans="1:3" x14ac:dyDescent="0.2">
      <c r="A149" s="1" t="s">
        <v>810</v>
      </c>
      <c r="B149" s="1" t="s">
        <v>17</v>
      </c>
      <c r="C149" s="1" t="s">
        <v>721</v>
      </c>
    </row>
    <row r="150" spans="1:3" x14ac:dyDescent="0.2">
      <c r="A150" s="1" t="s">
        <v>810</v>
      </c>
      <c r="B150" s="1" t="s">
        <v>15</v>
      </c>
      <c r="C150" s="1" t="s">
        <v>819</v>
      </c>
    </row>
    <row r="151" spans="1:3" x14ac:dyDescent="0.2">
      <c r="A151" s="1" t="s">
        <v>810</v>
      </c>
      <c r="B151" s="1" t="s">
        <v>19</v>
      </c>
      <c r="C151" s="1" t="s">
        <v>818</v>
      </c>
    </row>
    <row r="152" spans="1:3" x14ac:dyDescent="0.2">
      <c r="A152" s="1" t="s">
        <v>812</v>
      </c>
      <c r="B152" s="1" t="s">
        <v>13</v>
      </c>
      <c r="C152" s="1" t="s">
        <v>820</v>
      </c>
    </row>
    <row r="153" spans="1:3" x14ac:dyDescent="0.2">
      <c r="A153" s="1" t="s">
        <v>812</v>
      </c>
      <c r="B153" s="1" t="s">
        <v>14</v>
      </c>
      <c r="C153" s="1" t="s">
        <v>821</v>
      </c>
    </row>
    <row r="154" spans="1:3" x14ac:dyDescent="0.2">
      <c r="A154" s="1" t="s">
        <v>812</v>
      </c>
      <c r="B154" s="1" t="s">
        <v>17</v>
      </c>
      <c r="C154" s="1" t="s">
        <v>730</v>
      </c>
    </row>
    <row r="155" spans="1:3" x14ac:dyDescent="0.2">
      <c r="A155" s="1" t="s">
        <v>812</v>
      </c>
      <c r="B155" s="1" t="s">
        <v>15</v>
      </c>
      <c r="C155" s="1" t="s">
        <v>822</v>
      </c>
    </row>
    <row r="156" spans="1:3" x14ac:dyDescent="0.2">
      <c r="A156" s="1" t="s">
        <v>812</v>
      </c>
      <c r="B156" s="1" t="s">
        <v>19</v>
      </c>
      <c r="C156" s="1" t="s">
        <v>823</v>
      </c>
    </row>
    <row r="157" spans="1:3" x14ac:dyDescent="0.2">
      <c r="A157" s="1" t="s">
        <v>811</v>
      </c>
      <c r="B157" s="1" t="s">
        <v>13</v>
      </c>
      <c r="C157" s="1" t="s">
        <v>824</v>
      </c>
    </row>
    <row r="158" spans="1:3" x14ac:dyDescent="0.2">
      <c r="A158" s="1" t="s">
        <v>811</v>
      </c>
      <c r="B158" s="1" t="s">
        <v>14</v>
      </c>
      <c r="C158" s="1" t="s">
        <v>825</v>
      </c>
    </row>
    <row r="159" spans="1:3" x14ac:dyDescent="0.2">
      <c r="A159" s="1" t="s">
        <v>811</v>
      </c>
      <c r="B159" s="1" t="s">
        <v>17</v>
      </c>
      <c r="C159" s="1" t="s">
        <v>735</v>
      </c>
    </row>
    <row r="160" spans="1:3" x14ac:dyDescent="0.2">
      <c r="A160" s="1" t="s">
        <v>811</v>
      </c>
      <c r="B160" s="1" t="s">
        <v>15</v>
      </c>
      <c r="C160" s="1" t="s">
        <v>826</v>
      </c>
    </row>
    <row r="161" spans="1:3" x14ac:dyDescent="0.2">
      <c r="A161" s="1" t="s">
        <v>811</v>
      </c>
      <c r="B161" s="1" t="s">
        <v>19</v>
      </c>
      <c r="C161" s="1" t="s">
        <v>827</v>
      </c>
    </row>
    <row r="162" spans="1:3" x14ac:dyDescent="0.2">
      <c r="A162" s="1" t="s">
        <v>442</v>
      </c>
      <c r="B162" s="1" t="s">
        <v>13</v>
      </c>
      <c r="C162" s="1" t="s">
        <v>443</v>
      </c>
    </row>
    <row r="163" spans="1:3" x14ac:dyDescent="0.2">
      <c r="A163" s="1" t="s">
        <v>442</v>
      </c>
      <c r="B163" s="1" t="s">
        <v>14</v>
      </c>
      <c r="C163" s="1" t="s">
        <v>444</v>
      </c>
    </row>
    <row r="164" spans="1:3" x14ac:dyDescent="0.2">
      <c r="A164" s="1" t="s">
        <v>442</v>
      </c>
      <c r="B164" s="1" t="s">
        <v>17</v>
      </c>
      <c r="C164" s="1" t="s">
        <v>445</v>
      </c>
    </row>
    <row r="165" spans="1:3" x14ac:dyDescent="0.2">
      <c r="A165" s="1" t="s">
        <v>442</v>
      </c>
      <c r="B165" s="1" t="s">
        <v>15</v>
      </c>
      <c r="C165" s="1" t="s">
        <v>446</v>
      </c>
    </row>
    <row r="166" spans="1:3" x14ac:dyDescent="0.2">
      <c r="A166" s="1" t="s">
        <v>442</v>
      </c>
      <c r="B166" s="1" t="s">
        <v>19</v>
      </c>
      <c r="C166" s="1" t="s">
        <v>447</v>
      </c>
    </row>
    <row r="167" spans="1:3" x14ac:dyDescent="0.2">
      <c r="A167" s="1" t="s">
        <v>439</v>
      </c>
      <c r="B167" s="1" t="s">
        <v>13</v>
      </c>
      <c r="C167" s="1" t="s">
        <v>448</v>
      </c>
    </row>
    <row r="168" spans="1:3" x14ac:dyDescent="0.2">
      <c r="A168" s="1" t="s">
        <v>439</v>
      </c>
      <c r="B168" s="1" t="s">
        <v>14</v>
      </c>
      <c r="C168" s="1" t="s">
        <v>684</v>
      </c>
    </row>
    <row r="169" spans="1:3" x14ac:dyDescent="0.2">
      <c r="A169" s="1" t="s">
        <v>439</v>
      </c>
      <c r="B169" s="1" t="s">
        <v>17</v>
      </c>
      <c r="C169" s="1" t="s">
        <v>449</v>
      </c>
    </row>
    <row r="170" spans="1:3" x14ac:dyDescent="0.2">
      <c r="A170" s="1" t="s">
        <v>439</v>
      </c>
      <c r="B170" s="1" t="s">
        <v>15</v>
      </c>
      <c r="C170" s="1" t="s">
        <v>450</v>
      </c>
    </row>
    <row r="171" spans="1:3" x14ac:dyDescent="0.2">
      <c r="A171" s="1" t="s">
        <v>439</v>
      </c>
      <c r="B171" s="1" t="s">
        <v>19</v>
      </c>
      <c r="C171" s="1" t="s">
        <v>451</v>
      </c>
    </row>
    <row r="172" spans="1:3" x14ac:dyDescent="0.2">
      <c r="A172" s="1" t="s">
        <v>457</v>
      </c>
      <c r="B172" s="1" t="s">
        <v>13</v>
      </c>
      <c r="C172" s="1" t="s">
        <v>459</v>
      </c>
    </row>
    <row r="173" spans="1:3" x14ac:dyDescent="0.2">
      <c r="A173" s="1" t="s">
        <v>457</v>
      </c>
      <c r="B173" s="1" t="s">
        <v>14</v>
      </c>
      <c r="C173" s="1" t="s">
        <v>460</v>
      </c>
    </row>
    <row r="174" spans="1:3" x14ac:dyDescent="0.2">
      <c r="A174" s="1" t="s">
        <v>457</v>
      </c>
      <c r="B174" s="1" t="s">
        <v>17</v>
      </c>
      <c r="C174" s="1" t="s">
        <v>461</v>
      </c>
    </row>
    <row r="175" spans="1:3" x14ac:dyDescent="0.2">
      <c r="A175" s="1" t="s">
        <v>457</v>
      </c>
      <c r="B175" s="1" t="s">
        <v>15</v>
      </c>
      <c r="C175" s="1" t="s">
        <v>462</v>
      </c>
    </row>
    <row r="176" spans="1:3" x14ac:dyDescent="0.2">
      <c r="A176" s="1" t="s">
        <v>457</v>
      </c>
      <c r="B176" s="1" t="s">
        <v>19</v>
      </c>
      <c r="C176" s="1" t="s">
        <v>463</v>
      </c>
    </row>
    <row r="177" spans="1:3" x14ac:dyDescent="0.2">
      <c r="A177" s="1" t="s">
        <v>474</v>
      </c>
      <c r="B177" s="1" t="s">
        <v>13</v>
      </c>
      <c r="C177" s="1" t="s">
        <v>475</v>
      </c>
    </row>
    <row r="178" spans="1:3" x14ac:dyDescent="0.2">
      <c r="A178" s="1" t="s">
        <v>474</v>
      </c>
      <c r="B178" s="1" t="s">
        <v>14</v>
      </c>
      <c r="C178" s="1" t="s">
        <v>476</v>
      </c>
    </row>
    <row r="179" spans="1:3" x14ac:dyDescent="0.2">
      <c r="A179" s="1" t="s">
        <v>474</v>
      </c>
      <c r="B179" s="1" t="s">
        <v>17</v>
      </c>
      <c r="C179" s="1" t="s">
        <v>477</v>
      </c>
    </row>
    <row r="180" spans="1:3" x14ac:dyDescent="0.2">
      <c r="A180" s="1" t="s">
        <v>474</v>
      </c>
      <c r="B180" s="1" t="s">
        <v>15</v>
      </c>
      <c r="C180" s="1" t="s">
        <v>478</v>
      </c>
    </row>
    <row r="181" spans="1:3" x14ac:dyDescent="0.2">
      <c r="A181" s="1" t="s">
        <v>474</v>
      </c>
      <c r="B181" s="1" t="s">
        <v>19</v>
      </c>
      <c r="C181" s="1" t="s">
        <v>479</v>
      </c>
    </row>
    <row r="182" spans="1:3" x14ac:dyDescent="0.2">
      <c r="A182" s="1" t="s">
        <v>472</v>
      </c>
      <c r="B182" s="1" t="s">
        <v>13</v>
      </c>
      <c r="C182" s="1" t="s">
        <v>480</v>
      </c>
    </row>
    <row r="183" spans="1:3" x14ac:dyDescent="0.2">
      <c r="A183" s="1" t="s">
        <v>472</v>
      </c>
      <c r="B183" s="1" t="s">
        <v>14</v>
      </c>
      <c r="C183" s="1" t="s">
        <v>481</v>
      </c>
    </row>
    <row r="184" spans="1:3" x14ac:dyDescent="0.2">
      <c r="A184" s="1" t="s">
        <v>472</v>
      </c>
      <c r="B184" s="1" t="s">
        <v>17</v>
      </c>
      <c r="C184" s="1" t="s">
        <v>482</v>
      </c>
    </row>
    <row r="185" spans="1:3" x14ac:dyDescent="0.2">
      <c r="A185" s="1" t="s">
        <v>472</v>
      </c>
      <c r="B185" s="1" t="s">
        <v>15</v>
      </c>
      <c r="C185" s="1" t="s">
        <v>483</v>
      </c>
    </row>
    <row r="186" spans="1:3" x14ac:dyDescent="0.2">
      <c r="A186" s="1" t="s">
        <v>472</v>
      </c>
      <c r="B186" s="1" t="s">
        <v>19</v>
      </c>
      <c r="C186" s="1" t="s">
        <v>484</v>
      </c>
    </row>
    <row r="187" spans="1:3" x14ac:dyDescent="0.2">
      <c r="A187" s="1" t="s">
        <v>128</v>
      </c>
      <c r="B187" s="1" t="s">
        <v>13</v>
      </c>
      <c r="C187" s="1" t="s">
        <v>179</v>
      </c>
    </row>
    <row r="188" spans="1:3" x14ac:dyDescent="0.2">
      <c r="A188" s="1" t="s">
        <v>128</v>
      </c>
      <c r="B188" s="1" t="s">
        <v>14</v>
      </c>
      <c r="C188" s="1" t="s">
        <v>34</v>
      </c>
    </row>
    <row r="189" spans="1:3" x14ac:dyDescent="0.2">
      <c r="A189" s="1" t="s">
        <v>128</v>
      </c>
      <c r="B189" s="1" t="s">
        <v>17</v>
      </c>
      <c r="C189" s="1" t="s">
        <v>180</v>
      </c>
    </row>
    <row r="190" spans="1:3" x14ac:dyDescent="0.2">
      <c r="A190" s="1" t="s">
        <v>128</v>
      </c>
      <c r="B190" s="1" t="s">
        <v>15</v>
      </c>
      <c r="C190" s="1" t="s">
        <v>181</v>
      </c>
    </row>
    <row r="191" spans="1:3" x14ac:dyDescent="0.2">
      <c r="A191" s="1" t="s">
        <v>128</v>
      </c>
      <c r="B191" s="1" t="s">
        <v>19</v>
      </c>
      <c r="C191" s="1" t="s">
        <v>182</v>
      </c>
    </row>
    <row r="192" spans="1:3" x14ac:dyDescent="0.2">
      <c r="A192" s="1" t="s">
        <v>553</v>
      </c>
      <c r="B192" s="1" t="s">
        <v>13</v>
      </c>
      <c r="C192" s="1" t="s">
        <v>559</v>
      </c>
    </row>
    <row r="193" spans="1:3" x14ac:dyDescent="0.2">
      <c r="A193" s="1" t="s">
        <v>553</v>
      </c>
      <c r="B193" s="1" t="s">
        <v>14</v>
      </c>
      <c r="C193" s="1" t="s">
        <v>562</v>
      </c>
    </row>
    <row r="194" spans="1:3" x14ac:dyDescent="0.2">
      <c r="A194" s="1" t="s">
        <v>553</v>
      </c>
      <c r="B194" s="1" t="s">
        <v>17</v>
      </c>
      <c r="C194" s="1" t="s">
        <v>563</v>
      </c>
    </row>
    <row r="195" spans="1:3" x14ac:dyDescent="0.2">
      <c r="A195" s="1" t="s">
        <v>553</v>
      </c>
      <c r="B195" s="1" t="s">
        <v>15</v>
      </c>
      <c r="C195" s="1" t="s">
        <v>559</v>
      </c>
    </row>
    <row r="196" spans="1:3" x14ac:dyDescent="0.2">
      <c r="A196" s="1" t="s">
        <v>553</v>
      </c>
      <c r="B196" s="1" t="s">
        <v>19</v>
      </c>
      <c r="C196" s="1" t="s">
        <v>564</v>
      </c>
    </row>
    <row r="197" spans="1:3" x14ac:dyDescent="0.2">
      <c r="A197" s="1" t="s">
        <v>554</v>
      </c>
      <c r="B197" s="1" t="s">
        <v>13</v>
      </c>
      <c r="C197" s="1" t="s">
        <v>560</v>
      </c>
    </row>
    <row r="198" spans="1:3" x14ac:dyDescent="0.2">
      <c r="A198" s="1" t="s">
        <v>554</v>
      </c>
      <c r="B198" s="1" t="s">
        <v>14</v>
      </c>
      <c r="C198" s="1" t="s">
        <v>565</v>
      </c>
    </row>
    <row r="199" spans="1:3" x14ac:dyDescent="0.2">
      <c r="A199" s="1" t="s">
        <v>554</v>
      </c>
      <c r="B199" s="1" t="s">
        <v>17</v>
      </c>
      <c r="C199" s="1" t="s">
        <v>566</v>
      </c>
    </row>
    <row r="200" spans="1:3" x14ac:dyDescent="0.2">
      <c r="A200" s="1" t="s">
        <v>554</v>
      </c>
      <c r="B200" s="1" t="s">
        <v>15</v>
      </c>
      <c r="C200" s="1" t="s">
        <v>567</v>
      </c>
    </row>
    <row r="201" spans="1:3" x14ac:dyDescent="0.2">
      <c r="A201" s="1" t="s">
        <v>554</v>
      </c>
      <c r="B201" s="1" t="s">
        <v>19</v>
      </c>
      <c r="C201" s="1" t="s">
        <v>568</v>
      </c>
    </row>
    <row r="202" spans="1:3" x14ac:dyDescent="0.2">
      <c r="A202" s="1" t="s">
        <v>555</v>
      </c>
      <c r="B202" s="1" t="s">
        <v>13</v>
      </c>
      <c r="C202" s="4" t="s">
        <v>561</v>
      </c>
    </row>
    <row r="203" spans="1:3" x14ac:dyDescent="0.2">
      <c r="A203" s="1" t="s">
        <v>555</v>
      </c>
      <c r="B203" s="1" t="s">
        <v>14</v>
      </c>
      <c r="C203" s="4" t="s">
        <v>569</v>
      </c>
    </row>
    <row r="204" spans="1:3" x14ac:dyDescent="0.2">
      <c r="A204" s="1" t="s">
        <v>555</v>
      </c>
      <c r="B204" s="1" t="s">
        <v>17</v>
      </c>
      <c r="C204" s="4" t="s">
        <v>570</v>
      </c>
    </row>
    <row r="205" spans="1:3" x14ac:dyDescent="0.2">
      <c r="A205" s="1" t="s">
        <v>555</v>
      </c>
      <c r="B205" s="1" t="s">
        <v>15</v>
      </c>
      <c r="C205" s="4" t="s">
        <v>571</v>
      </c>
    </row>
    <row r="206" spans="1:3" x14ac:dyDescent="0.2">
      <c r="A206" s="1" t="s">
        <v>555</v>
      </c>
      <c r="B206" s="1" t="s">
        <v>19</v>
      </c>
      <c r="C206" s="4" t="s">
        <v>572</v>
      </c>
    </row>
    <row r="207" spans="1:3" x14ac:dyDescent="0.2">
      <c r="A207" s="1" t="s">
        <v>784</v>
      </c>
      <c r="B207" s="1" t="s">
        <v>13</v>
      </c>
      <c r="C207" s="4" t="s">
        <v>786</v>
      </c>
    </row>
    <row r="208" spans="1:3" x14ac:dyDescent="0.2">
      <c r="A208" s="1" t="s">
        <v>784</v>
      </c>
      <c r="B208" s="1" t="s">
        <v>14</v>
      </c>
      <c r="C208" s="4" t="s">
        <v>787</v>
      </c>
    </row>
    <row r="209" spans="1:3" x14ac:dyDescent="0.2">
      <c r="A209" s="1" t="s">
        <v>784</v>
      </c>
      <c r="B209" s="1" t="s">
        <v>17</v>
      </c>
      <c r="C209" s="4" t="s">
        <v>788</v>
      </c>
    </row>
    <row r="210" spans="1:3" x14ac:dyDescent="0.2">
      <c r="A210" s="1" t="s">
        <v>784</v>
      </c>
      <c r="B210" s="1" t="s">
        <v>15</v>
      </c>
      <c r="C210" s="4" t="s">
        <v>789</v>
      </c>
    </row>
    <row r="211" spans="1:3" x14ac:dyDescent="0.2">
      <c r="A211" s="1" t="s">
        <v>784</v>
      </c>
      <c r="B211" s="1" t="s">
        <v>19</v>
      </c>
      <c r="C211" s="4" t="s">
        <v>790</v>
      </c>
    </row>
  </sheetData>
  <sheetProtection sheet="1" objects="1" scenarios="1" selectLockedCells="1" selectUnlockedCells="1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FE6C041-307B-1D42-85A3-B9F98CA8790B}">
          <x14:formula1>
            <xm:f>UNITS!$A$2:$A$43</xm:f>
          </x14:formula1>
          <xm:sqref>A2:A211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94254-3E1D-C643-A2DC-D19CEA7EFE2D}">
  <dimension ref="A1:G313"/>
  <sheetViews>
    <sheetView topLeftCell="A69" zoomScale="120" zoomScaleNormal="120" workbookViewId="0">
      <selection activeCell="A119" sqref="A119"/>
    </sheetView>
  </sheetViews>
  <sheetFormatPr baseColWidth="10" defaultRowHeight="16" x14ac:dyDescent="0.2"/>
  <cols>
    <col min="1" max="1" width="32.33203125" style="4" bestFit="1" customWidth="1"/>
    <col min="2" max="2" width="19.33203125" style="4" bestFit="1" customWidth="1"/>
    <col min="3" max="3" width="16.5" style="4" bestFit="1" customWidth="1"/>
    <col min="4" max="4" width="10" style="4" bestFit="1" customWidth="1"/>
    <col min="5" max="5" width="6.83203125" style="4" bestFit="1" customWidth="1"/>
    <col min="6" max="6" width="12.83203125" style="4" bestFit="1" customWidth="1"/>
    <col min="7" max="7" width="13.1640625" style="4" bestFit="1" customWidth="1"/>
    <col min="8" max="16384" width="10.83203125" style="4"/>
  </cols>
  <sheetData>
    <row r="1" spans="1:7" s="3" customFormat="1" x14ac:dyDescent="0.2">
      <c r="A1" s="8" t="s">
        <v>0</v>
      </c>
      <c r="B1" s="8" t="s">
        <v>40</v>
      </c>
      <c r="C1" s="8" t="s">
        <v>28</v>
      </c>
      <c r="D1" s="8" t="s">
        <v>37</v>
      </c>
      <c r="E1" s="8" t="s">
        <v>31</v>
      </c>
      <c r="F1" s="8" t="s">
        <v>38</v>
      </c>
      <c r="G1" s="8" t="s">
        <v>6</v>
      </c>
    </row>
    <row r="2" spans="1:7" s="9" customFormat="1" x14ac:dyDescent="0.2">
      <c r="A2" s="11" t="s">
        <v>615</v>
      </c>
      <c r="B2" s="11" t="s">
        <v>579</v>
      </c>
      <c r="C2" s="1" t="s">
        <v>553</v>
      </c>
      <c r="D2" s="11">
        <v>76</v>
      </c>
      <c r="E2" s="11"/>
      <c r="F2" s="1" t="s">
        <v>9</v>
      </c>
      <c r="G2" s="11">
        <v>1</v>
      </c>
    </row>
    <row r="3" spans="1:7" s="9" customFormat="1" x14ac:dyDescent="0.2">
      <c r="A3" s="11" t="s">
        <v>615</v>
      </c>
      <c r="B3" s="11" t="s">
        <v>579</v>
      </c>
      <c r="C3" s="1" t="s">
        <v>554</v>
      </c>
      <c r="D3" s="11">
        <v>135</v>
      </c>
      <c r="E3" s="11"/>
      <c r="F3" s="1" t="s">
        <v>39</v>
      </c>
      <c r="G3" s="11">
        <v>2</v>
      </c>
    </row>
    <row r="4" spans="1:7" s="9" customFormat="1" x14ac:dyDescent="0.2">
      <c r="A4" s="11" t="s">
        <v>615</v>
      </c>
      <c r="B4" s="11" t="s">
        <v>579</v>
      </c>
      <c r="C4" s="1" t="s">
        <v>555</v>
      </c>
      <c r="D4" s="11">
        <v>162</v>
      </c>
      <c r="E4" s="11"/>
      <c r="F4" s="1" t="s">
        <v>9</v>
      </c>
      <c r="G4" s="11">
        <v>3</v>
      </c>
    </row>
    <row r="5" spans="1:7" s="9" customFormat="1" x14ac:dyDescent="0.2">
      <c r="A5" s="11" t="s">
        <v>615</v>
      </c>
      <c r="B5" s="11" t="s">
        <v>579</v>
      </c>
      <c r="C5" s="1" t="s">
        <v>124</v>
      </c>
      <c r="D5" s="11">
        <v>1</v>
      </c>
      <c r="E5" s="11"/>
      <c r="F5" s="1" t="s">
        <v>9</v>
      </c>
      <c r="G5" s="11">
        <v>99</v>
      </c>
    </row>
    <row r="6" spans="1:7" s="9" customFormat="1" x14ac:dyDescent="0.2">
      <c r="A6" s="11" t="s">
        <v>615</v>
      </c>
      <c r="B6" s="11" t="s">
        <v>581</v>
      </c>
      <c r="C6" s="1" t="s">
        <v>553</v>
      </c>
      <c r="D6" s="11">
        <v>68</v>
      </c>
      <c r="E6" s="11"/>
      <c r="F6" s="1" t="s">
        <v>9</v>
      </c>
      <c r="G6" s="11">
        <v>1</v>
      </c>
    </row>
    <row r="7" spans="1:7" s="9" customFormat="1" x14ac:dyDescent="0.2">
      <c r="A7" s="11" t="s">
        <v>615</v>
      </c>
      <c r="B7" s="11" t="s">
        <v>581</v>
      </c>
      <c r="C7" s="1" t="s">
        <v>554</v>
      </c>
      <c r="D7" s="11">
        <v>120</v>
      </c>
      <c r="E7" s="11"/>
      <c r="F7" s="1" t="s">
        <v>39</v>
      </c>
      <c r="G7" s="11">
        <v>2</v>
      </c>
    </row>
    <row r="8" spans="1:7" s="9" customFormat="1" x14ac:dyDescent="0.2">
      <c r="A8" s="11" t="s">
        <v>615</v>
      </c>
      <c r="B8" s="11" t="s">
        <v>581</v>
      </c>
      <c r="C8" s="1" t="s">
        <v>555</v>
      </c>
      <c r="D8" s="11">
        <v>144</v>
      </c>
      <c r="E8" s="11"/>
      <c r="F8" s="1" t="s">
        <v>9</v>
      </c>
      <c r="G8" s="11">
        <v>3</v>
      </c>
    </row>
    <row r="9" spans="1:7" x14ac:dyDescent="0.2">
      <c r="A9" s="11" t="s">
        <v>615</v>
      </c>
      <c r="B9" s="11" t="s">
        <v>581</v>
      </c>
      <c r="C9" s="1" t="s">
        <v>124</v>
      </c>
      <c r="D9" s="11">
        <v>1</v>
      </c>
      <c r="E9" s="11"/>
      <c r="F9" s="1" t="s">
        <v>9</v>
      </c>
      <c r="G9" s="11">
        <v>99</v>
      </c>
    </row>
    <row r="10" spans="1:7" x14ac:dyDescent="0.2">
      <c r="A10" s="11" t="s">
        <v>883</v>
      </c>
      <c r="B10" s="11" t="s">
        <v>115</v>
      </c>
      <c r="C10" s="1" t="s">
        <v>128</v>
      </c>
      <c r="D10" s="11">
        <v>24</v>
      </c>
      <c r="E10" s="11"/>
      <c r="F10" s="1" t="s">
        <v>39</v>
      </c>
      <c r="G10" s="11">
        <v>1</v>
      </c>
    </row>
    <row r="11" spans="1:7" x14ac:dyDescent="0.2">
      <c r="A11" s="11" t="s">
        <v>883</v>
      </c>
      <c r="B11" s="11" t="s">
        <v>115</v>
      </c>
      <c r="C11" s="1" t="s">
        <v>124</v>
      </c>
      <c r="D11" s="11">
        <v>1</v>
      </c>
      <c r="E11" s="11"/>
      <c r="F11" s="1" t="s">
        <v>9</v>
      </c>
      <c r="G11" s="11">
        <v>99</v>
      </c>
    </row>
    <row r="12" spans="1:7" x14ac:dyDescent="0.2">
      <c r="A12" s="11" t="s">
        <v>1048</v>
      </c>
      <c r="B12" s="11" t="s">
        <v>365</v>
      </c>
      <c r="C12" s="1" t="s">
        <v>128</v>
      </c>
      <c r="D12" s="11">
        <v>40</v>
      </c>
      <c r="E12" s="11"/>
      <c r="F12" s="1" t="s">
        <v>39</v>
      </c>
      <c r="G12" s="11">
        <v>1</v>
      </c>
    </row>
    <row r="13" spans="1:7" x14ac:dyDescent="0.2">
      <c r="A13" s="11" t="s">
        <v>1048</v>
      </c>
      <c r="B13" s="11" t="s">
        <v>365</v>
      </c>
      <c r="C13" s="1" t="s">
        <v>124</v>
      </c>
      <c r="D13" s="11">
        <v>1</v>
      </c>
      <c r="E13" s="11"/>
      <c r="F13" s="1" t="s">
        <v>9</v>
      </c>
      <c r="G13" s="11">
        <v>99</v>
      </c>
    </row>
    <row r="14" spans="1:7" x14ac:dyDescent="0.2">
      <c r="A14" s="11" t="s">
        <v>1055</v>
      </c>
      <c r="B14" s="11" t="s">
        <v>365</v>
      </c>
      <c r="C14" s="1" t="s">
        <v>862</v>
      </c>
      <c r="D14" s="11">
        <v>25</v>
      </c>
      <c r="E14" s="11"/>
      <c r="F14" s="1" t="s">
        <v>39</v>
      </c>
      <c r="G14" s="11">
        <v>1</v>
      </c>
    </row>
    <row r="15" spans="1:7" x14ac:dyDescent="0.2">
      <c r="A15" s="11" t="s">
        <v>1055</v>
      </c>
      <c r="B15" s="11" t="s">
        <v>365</v>
      </c>
      <c r="C15" s="1" t="s">
        <v>124</v>
      </c>
      <c r="D15" s="11">
        <v>1</v>
      </c>
      <c r="E15" s="11"/>
      <c r="F15" s="1" t="s">
        <v>9</v>
      </c>
      <c r="G15" s="11">
        <v>99</v>
      </c>
    </row>
    <row r="16" spans="1:7" x14ac:dyDescent="0.2">
      <c r="A16" s="11" t="s">
        <v>1061</v>
      </c>
      <c r="B16" s="11" t="s">
        <v>363</v>
      </c>
      <c r="C16" s="1" t="s">
        <v>128</v>
      </c>
      <c r="D16" s="11">
        <v>31</v>
      </c>
      <c r="E16" s="11"/>
      <c r="F16" s="1" t="s">
        <v>39</v>
      </c>
      <c r="G16" s="11">
        <v>1</v>
      </c>
    </row>
    <row r="17" spans="1:7" x14ac:dyDescent="0.2">
      <c r="A17" s="11" t="s">
        <v>1061</v>
      </c>
      <c r="B17" s="11" t="s">
        <v>363</v>
      </c>
      <c r="C17" s="1" t="s">
        <v>124</v>
      </c>
      <c r="D17" s="11">
        <v>1</v>
      </c>
      <c r="E17" s="11"/>
      <c r="F17" s="1" t="s">
        <v>9</v>
      </c>
      <c r="G17" s="11">
        <v>99</v>
      </c>
    </row>
    <row r="18" spans="1:7" x14ac:dyDescent="0.2">
      <c r="A18" s="11" t="s">
        <v>1061</v>
      </c>
      <c r="B18" s="11" t="s">
        <v>365</v>
      </c>
      <c r="C18" s="1" t="s">
        <v>128</v>
      </c>
      <c r="D18" s="11">
        <v>31</v>
      </c>
      <c r="E18" s="11"/>
      <c r="F18" s="1" t="s">
        <v>39</v>
      </c>
      <c r="G18" s="11">
        <v>1</v>
      </c>
    </row>
    <row r="19" spans="1:7" x14ac:dyDescent="0.2">
      <c r="A19" s="11" t="s">
        <v>1061</v>
      </c>
      <c r="B19" s="11" t="s">
        <v>365</v>
      </c>
      <c r="C19" s="1" t="s">
        <v>124</v>
      </c>
      <c r="D19" s="11">
        <v>1</v>
      </c>
      <c r="E19" s="11"/>
      <c r="F19" s="1" t="s">
        <v>9</v>
      </c>
      <c r="G19" s="11">
        <v>99</v>
      </c>
    </row>
    <row r="20" spans="1:7" x14ac:dyDescent="0.2">
      <c r="A20" s="11" t="s">
        <v>1063</v>
      </c>
      <c r="B20" s="11" t="s">
        <v>363</v>
      </c>
      <c r="C20" s="1" t="s">
        <v>128</v>
      </c>
      <c r="D20" s="11">
        <v>31</v>
      </c>
      <c r="E20" s="11"/>
      <c r="F20" s="1" t="s">
        <v>39</v>
      </c>
      <c r="G20" s="11">
        <v>1</v>
      </c>
    </row>
    <row r="21" spans="1:7" x14ac:dyDescent="0.2">
      <c r="A21" s="11" t="s">
        <v>1063</v>
      </c>
      <c r="B21" s="11" t="s">
        <v>363</v>
      </c>
      <c r="C21" s="1" t="s">
        <v>124</v>
      </c>
      <c r="D21" s="11">
        <v>1</v>
      </c>
      <c r="E21" s="11"/>
      <c r="F21" s="1" t="s">
        <v>9</v>
      </c>
      <c r="G21" s="11">
        <v>99</v>
      </c>
    </row>
    <row r="22" spans="1:7" x14ac:dyDescent="0.2">
      <c r="A22" s="11" t="s">
        <v>1063</v>
      </c>
      <c r="B22" s="11" t="s">
        <v>365</v>
      </c>
      <c r="C22" s="1" t="s">
        <v>128</v>
      </c>
      <c r="D22" s="11">
        <v>31</v>
      </c>
      <c r="E22" s="11"/>
      <c r="F22" s="1" t="s">
        <v>39</v>
      </c>
      <c r="G22" s="11">
        <v>1</v>
      </c>
    </row>
    <row r="23" spans="1:7" x14ac:dyDescent="0.2">
      <c r="A23" s="11" t="s">
        <v>1063</v>
      </c>
      <c r="B23" s="11" t="s">
        <v>365</v>
      </c>
      <c r="C23" s="1" t="s">
        <v>124</v>
      </c>
      <c r="D23" s="11">
        <v>1</v>
      </c>
      <c r="E23" s="11"/>
      <c r="F23" s="1" t="s">
        <v>9</v>
      </c>
      <c r="G23" s="11">
        <v>99</v>
      </c>
    </row>
    <row r="24" spans="1:7" x14ac:dyDescent="0.2">
      <c r="A24" s="11" t="s">
        <v>1064</v>
      </c>
      <c r="B24" s="11" t="s">
        <v>363</v>
      </c>
      <c r="C24" s="1" t="s">
        <v>128</v>
      </c>
      <c r="D24" s="11">
        <v>31</v>
      </c>
      <c r="E24" s="11"/>
      <c r="F24" s="1" t="s">
        <v>39</v>
      </c>
      <c r="G24" s="11">
        <v>1</v>
      </c>
    </row>
    <row r="25" spans="1:7" x14ac:dyDescent="0.2">
      <c r="A25" s="11" t="s">
        <v>1064</v>
      </c>
      <c r="B25" s="11" t="s">
        <v>363</v>
      </c>
      <c r="C25" s="1" t="s">
        <v>124</v>
      </c>
      <c r="D25" s="11">
        <v>1</v>
      </c>
      <c r="E25" s="11"/>
      <c r="F25" s="1" t="s">
        <v>9</v>
      </c>
      <c r="G25" s="11">
        <v>99</v>
      </c>
    </row>
    <row r="26" spans="1:7" x14ac:dyDescent="0.2">
      <c r="A26" s="11" t="s">
        <v>1064</v>
      </c>
      <c r="B26" s="11" t="s">
        <v>365</v>
      </c>
      <c r="C26" s="1" t="s">
        <v>128</v>
      </c>
      <c r="D26" s="11">
        <v>31</v>
      </c>
      <c r="E26" s="11"/>
      <c r="F26" s="1" t="s">
        <v>39</v>
      </c>
      <c r="G26" s="11">
        <v>1</v>
      </c>
    </row>
    <row r="27" spans="1:7" x14ac:dyDescent="0.2">
      <c r="A27" s="11" t="s">
        <v>1064</v>
      </c>
      <c r="B27" s="11" t="s">
        <v>365</v>
      </c>
      <c r="C27" s="1" t="s">
        <v>124</v>
      </c>
      <c r="D27" s="11">
        <v>1</v>
      </c>
      <c r="E27" s="11"/>
      <c r="F27" s="1" t="s">
        <v>9</v>
      </c>
      <c r="G27" s="11">
        <v>99</v>
      </c>
    </row>
    <row r="28" spans="1:7" x14ac:dyDescent="0.2">
      <c r="A28" s="1" t="s">
        <v>452</v>
      </c>
      <c r="B28" s="1" t="s">
        <v>115</v>
      </c>
      <c r="C28" s="1" t="s">
        <v>553</v>
      </c>
      <c r="D28" s="11">
        <v>80</v>
      </c>
      <c r="E28" s="11"/>
      <c r="F28" s="1" t="s">
        <v>9</v>
      </c>
      <c r="G28" s="11">
        <v>1</v>
      </c>
    </row>
    <row r="29" spans="1:7" x14ac:dyDescent="0.2">
      <c r="A29" s="1" t="s">
        <v>452</v>
      </c>
      <c r="B29" s="1" t="s">
        <v>115</v>
      </c>
      <c r="C29" s="1" t="s">
        <v>554</v>
      </c>
      <c r="D29" s="11">
        <v>180</v>
      </c>
      <c r="E29" s="11"/>
      <c r="F29" s="1" t="s">
        <v>39</v>
      </c>
      <c r="G29" s="11">
        <v>2</v>
      </c>
    </row>
    <row r="30" spans="1:7" x14ac:dyDescent="0.2">
      <c r="A30" s="1" t="s">
        <v>452</v>
      </c>
      <c r="B30" s="1" t="s">
        <v>115</v>
      </c>
      <c r="C30" s="1" t="s">
        <v>555</v>
      </c>
      <c r="D30" s="11">
        <v>300</v>
      </c>
      <c r="E30" s="11"/>
      <c r="F30" s="1" t="s">
        <v>9</v>
      </c>
      <c r="G30" s="11">
        <v>3</v>
      </c>
    </row>
    <row r="31" spans="1:7" x14ac:dyDescent="0.2">
      <c r="A31" s="1" t="s">
        <v>452</v>
      </c>
      <c r="B31" s="1" t="s">
        <v>115</v>
      </c>
      <c r="C31" s="1" t="s">
        <v>124</v>
      </c>
      <c r="D31" s="11">
        <v>1</v>
      </c>
      <c r="E31" s="11"/>
      <c r="F31" s="1" t="s">
        <v>9</v>
      </c>
      <c r="G31" s="11">
        <v>99</v>
      </c>
    </row>
    <row r="32" spans="1:7" x14ac:dyDescent="0.2">
      <c r="A32" s="1" t="s">
        <v>547</v>
      </c>
      <c r="B32" s="1" t="s">
        <v>115</v>
      </c>
      <c r="C32" s="1" t="s">
        <v>553</v>
      </c>
      <c r="D32" s="11">
        <v>100</v>
      </c>
      <c r="E32" s="11"/>
      <c r="F32" s="1" t="s">
        <v>9</v>
      </c>
      <c r="G32" s="11">
        <v>1</v>
      </c>
    </row>
    <row r="33" spans="1:7" x14ac:dyDescent="0.2">
      <c r="A33" s="1" t="s">
        <v>547</v>
      </c>
      <c r="B33" s="1" t="s">
        <v>115</v>
      </c>
      <c r="C33" s="1" t="s">
        <v>554</v>
      </c>
      <c r="D33" s="11">
        <v>130</v>
      </c>
      <c r="E33" s="11"/>
      <c r="F33" s="1" t="s">
        <v>39</v>
      </c>
      <c r="G33" s="11">
        <v>2</v>
      </c>
    </row>
    <row r="34" spans="1:7" x14ac:dyDescent="0.2">
      <c r="A34" s="1" t="s">
        <v>547</v>
      </c>
      <c r="B34" s="1" t="s">
        <v>115</v>
      </c>
      <c r="C34" s="1" t="s">
        <v>555</v>
      </c>
      <c r="D34" s="11">
        <v>165</v>
      </c>
      <c r="E34" s="11"/>
      <c r="F34" s="1" t="s">
        <v>9</v>
      </c>
      <c r="G34" s="11">
        <v>3</v>
      </c>
    </row>
    <row r="35" spans="1:7" x14ac:dyDescent="0.2">
      <c r="A35" s="1" t="s">
        <v>547</v>
      </c>
      <c r="B35" s="1" t="s">
        <v>115</v>
      </c>
      <c r="C35" s="1" t="s">
        <v>124</v>
      </c>
      <c r="D35" s="11">
        <v>1</v>
      </c>
      <c r="E35" s="11"/>
      <c r="F35" s="1" t="s">
        <v>9</v>
      </c>
      <c r="G35" s="11">
        <v>99</v>
      </c>
    </row>
    <row r="36" spans="1:7" x14ac:dyDescent="0.2">
      <c r="A36" s="1" t="s">
        <v>282</v>
      </c>
      <c r="B36" s="1" t="s">
        <v>115</v>
      </c>
      <c r="C36" s="1" t="s">
        <v>130</v>
      </c>
      <c r="D36" s="11"/>
      <c r="E36" s="11">
        <v>250</v>
      </c>
      <c r="F36" s="1" t="s">
        <v>39</v>
      </c>
      <c r="G36" s="11">
        <v>1</v>
      </c>
    </row>
    <row r="37" spans="1:7" x14ac:dyDescent="0.2">
      <c r="A37" s="1" t="s">
        <v>282</v>
      </c>
      <c r="B37" s="1" t="s">
        <v>115</v>
      </c>
      <c r="C37" s="1" t="s">
        <v>183</v>
      </c>
      <c r="D37" s="11"/>
      <c r="E37" s="11">
        <v>300</v>
      </c>
      <c r="F37" s="1" t="s">
        <v>9</v>
      </c>
      <c r="G37" s="11">
        <v>2</v>
      </c>
    </row>
    <row r="38" spans="1:7" x14ac:dyDescent="0.2">
      <c r="A38" s="1" t="s">
        <v>282</v>
      </c>
      <c r="B38" s="1" t="s">
        <v>115</v>
      </c>
      <c r="C38" s="1" t="s">
        <v>287</v>
      </c>
      <c r="D38" s="11"/>
      <c r="E38" s="11">
        <v>330</v>
      </c>
      <c r="F38" s="1" t="s">
        <v>9</v>
      </c>
      <c r="G38" s="11">
        <v>3</v>
      </c>
    </row>
    <row r="39" spans="1:7" x14ac:dyDescent="0.2">
      <c r="A39" s="1" t="s">
        <v>282</v>
      </c>
      <c r="B39" s="1" t="s">
        <v>115</v>
      </c>
      <c r="C39" s="1" t="s">
        <v>656</v>
      </c>
      <c r="D39" s="11"/>
      <c r="E39" s="11">
        <v>500</v>
      </c>
      <c r="F39" s="1" t="s">
        <v>9</v>
      </c>
      <c r="G39" s="11">
        <v>4</v>
      </c>
    </row>
    <row r="40" spans="1:7" x14ac:dyDescent="0.2">
      <c r="A40" s="1" t="s">
        <v>282</v>
      </c>
      <c r="B40" s="1" t="s">
        <v>115</v>
      </c>
      <c r="C40" s="1" t="s">
        <v>126</v>
      </c>
      <c r="D40" s="11"/>
      <c r="E40" s="11">
        <v>1</v>
      </c>
      <c r="F40" s="1" t="s">
        <v>9</v>
      </c>
      <c r="G40" s="11">
        <v>99</v>
      </c>
    </row>
    <row r="41" spans="1:7" x14ac:dyDescent="0.2">
      <c r="A41" s="1" t="s">
        <v>1084</v>
      </c>
      <c r="B41" s="1" t="s">
        <v>363</v>
      </c>
      <c r="C41" s="1" t="s">
        <v>388</v>
      </c>
      <c r="D41" s="11">
        <v>50</v>
      </c>
      <c r="E41" s="11"/>
      <c r="F41" s="1" t="s">
        <v>39</v>
      </c>
      <c r="G41" s="11">
        <v>1</v>
      </c>
    </row>
    <row r="42" spans="1:7" x14ac:dyDescent="0.2">
      <c r="A42" s="1" t="s">
        <v>1084</v>
      </c>
      <c r="B42" s="1" t="s">
        <v>363</v>
      </c>
      <c r="C42" s="1" t="s">
        <v>124</v>
      </c>
      <c r="D42" s="11">
        <v>1</v>
      </c>
      <c r="E42" s="11"/>
      <c r="F42" s="1" t="s">
        <v>9</v>
      </c>
      <c r="G42" s="11">
        <v>99</v>
      </c>
    </row>
    <row r="43" spans="1:7" x14ac:dyDescent="0.2">
      <c r="A43" s="1" t="s">
        <v>1084</v>
      </c>
      <c r="B43" s="1" t="s">
        <v>365</v>
      </c>
      <c r="C43" s="1" t="s">
        <v>128</v>
      </c>
      <c r="D43" s="11">
        <v>85</v>
      </c>
      <c r="E43" s="11"/>
      <c r="F43" s="1" t="s">
        <v>39</v>
      </c>
      <c r="G43" s="11">
        <v>1</v>
      </c>
    </row>
    <row r="44" spans="1:7" x14ac:dyDescent="0.2">
      <c r="A44" s="1" t="s">
        <v>1084</v>
      </c>
      <c r="B44" s="1" t="s">
        <v>365</v>
      </c>
      <c r="C44" s="1" t="s">
        <v>124</v>
      </c>
      <c r="D44" s="11">
        <v>1</v>
      </c>
      <c r="E44" s="11"/>
      <c r="F44" s="1" t="s">
        <v>9</v>
      </c>
      <c r="G44" s="11">
        <v>99</v>
      </c>
    </row>
    <row r="45" spans="1:7" x14ac:dyDescent="0.2">
      <c r="A45" s="1" t="s">
        <v>989</v>
      </c>
      <c r="B45" s="1" t="s">
        <v>363</v>
      </c>
      <c r="C45" s="1" t="s">
        <v>784</v>
      </c>
      <c r="D45" s="11">
        <v>118</v>
      </c>
      <c r="E45" s="11"/>
      <c r="F45" s="1" t="s">
        <v>39</v>
      </c>
      <c r="G45" s="11">
        <v>1</v>
      </c>
    </row>
    <row r="46" spans="1:7" x14ac:dyDescent="0.2">
      <c r="A46" s="1" t="s">
        <v>989</v>
      </c>
      <c r="B46" s="1" t="s">
        <v>363</v>
      </c>
      <c r="C46" s="1" t="s">
        <v>457</v>
      </c>
      <c r="D46" s="11">
        <v>59</v>
      </c>
      <c r="E46" s="11"/>
      <c r="F46" s="1" t="s">
        <v>9</v>
      </c>
      <c r="G46" s="11">
        <v>2</v>
      </c>
    </row>
    <row r="47" spans="1:7" x14ac:dyDescent="0.2">
      <c r="A47" s="1" t="s">
        <v>989</v>
      </c>
      <c r="B47" s="1" t="s">
        <v>363</v>
      </c>
      <c r="C47" s="1" t="s">
        <v>124</v>
      </c>
      <c r="D47" s="11">
        <v>1</v>
      </c>
      <c r="E47" s="11"/>
      <c r="F47" s="1" t="s">
        <v>9</v>
      </c>
      <c r="G47" s="11">
        <v>99</v>
      </c>
    </row>
    <row r="48" spans="1:7" x14ac:dyDescent="0.2">
      <c r="A48" s="1" t="s">
        <v>989</v>
      </c>
      <c r="B48" s="1" t="s">
        <v>365</v>
      </c>
      <c r="C48" s="1" t="s">
        <v>784</v>
      </c>
      <c r="D48" s="11">
        <v>136</v>
      </c>
      <c r="E48" s="11"/>
      <c r="F48" s="1" t="s">
        <v>39</v>
      </c>
      <c r="G48" s="11">
        <v>1</v>
      </c>
    </row>
    <row r="49" spans="1:7" x14ac:dyDescent="0.2">
      <c r="A49" s="1" t="s">
        <v>989</v>
      </c>
      <c r="B49" s="1" t="s">
        <v>365</v>
      </c>
      <c r="C49" s="1" t="s">
        <v>457</v>
      </c>
      <c r="D49" s="11">
        <v>68</v>
      </c>
      <c r="E49" s="11"/>
      <c r="F49" s="1" t="s">
        <v>9</v>
      </c>
      <c r="G49" s="11">
        <v>2</v>
      </c>
    </row>
    <row r="50" spans="1:7" x14ac:dyDescent="0.2">
      <c r="A50" s="1" t="s">
        <v>989</v>
      </c>
      <c r="B50" s="1" t="s">
        <v>365</v>
      </c>
      <c r="C50" s="1" t="s">
        <v>124</v>
      </c>
      <c r="D50" s="11">
        <v>1</v>
      </c>
      <c r="E50" s="11"/>
      <c r="F50" s="1" t="s">
        <v>9</v>
      </c>
      <c r="G50" s="11">
        <v>99</v>
      </c>
    </row>
    <row r="51" spans="1:7" x14ac:dyDescent="0.2">
      <c r="A51" s="1" t="s">
        <v>991</v>
      </c>
      <c r="B51" s="1" t="s">
        <v>363</v>
      </c>
      <c r="C51" s="1" t="s">
        <v>784</v>
      </c>
      <c r="D51" s="11">
        <v>118</v>
      </c>
      <c r="E51" s="11"/>
      <c r="F51" s="1" t="s">
        <v>39</v>
      </c>
      <c r="G51" s="11">
        <v>1</v>
      </c>
    </row>
    <row r="52" spans="1:7" x14ac:dyDescent="0.2">
      <c r="A52" s="1" t="s">
        <v>991</v>
      </c>
      <c r="B52" s="1" t="s">
        <v>363</v>
      </c>
      <c r="C52" s="1" t="s">
        <v>457</v>
      </c>
      <c r="D52" s="11">
        <v>59</v>
      </c>
      <c r="E52" s="11"/>
      <c r="F52" s="1" t="s">
        <v>9</v>
      </c>
      <c r="G52" s="11">
        <v>2</v>
      </c>
    </row>
    <row r="53" spans="1:7" x14ac:dyDescent="0.2">
      <c r="A53" s="1" t="s">
        <v>991</v>
      </c>
      <c r="B53" s="1" t="s">
        <v>363</v>
      </c>
      <c r="C53" s="1" t="s">
        <v>124</v>
      </c>
      <c r="D53" s="11">
        <v>1</v>
      </c>
      <c r="E53" s="11"/>
      <c r="F53" s="1" t="s">
        <v>9</v>
      </c>
      <c r="G53" s="11">
        <v>99</v>
      </c>
    </row>
    <row r="54" spans="1:7" x14ac:dyDescent="0.2">
      <c r="A54" s="1" t="s">
        <v>991</v>
      </c>
      <c r="B54" s="1" t="s">
        <v>365</v>
      </c>
      <c r="C54" s="1" t="s">
        <v>784</v>
      </c>
      <c r="D54" s="11">
        <v>136</v>
      </c>
      <c r="E54" s="11"/>
      <c r="F54" s="1" t="s">
        <v>39</v>
      </c>
      <c r="G54" s="11">
        <v>1</v>
      </c>
    </row>
    <row r="55" spans="1:7" x14ac:dyDescent="0.2">
      <c r="A55" s="1" t="s">
        <v>991</v>
      </c>
      <c r="B55" s="1" t="s">
        <v>365</v>
      </c>
      <c r="C55" s="1" t="s">
        <v>457</v>
      </c>
      <c r="D55" s="11">
        <v>68</v>
      </c>
      <c r="E55" s="11"/>
      <c r="F55" s="1" t="s">
        <v>9</v>
      </c>
      <c r="G55" s="11">
        <v>2</v>
      </c>
    </row>
    <row r="56" spans="1:7" x14ac:dyDescent="0.2">
      <c r="A56" s="1" t="s">
        <v>991</v>
      </c>
      <c r="B56" s="1" t="s">
        <v>365</v>
      </c>
      <c r="C56" s="1" t="s">
        <v>124</v>
      </c>
      <c r="D56" s="11">
        <v>1</v>
      </c>
      <c r="E56" s="11"/>
      <c r="F56" s="1" t="s">
        <v>9</v>
      </c>
      <c r="G56" s="11">
        <v>99</v>
      </c>
    </row>
    <row r="57" spans="1:7" x14ac:dyDescent="0.2">
      <c r="A57" s="1" t="s">
        <v>994</v>
      </c>
      <c r="B57" s="1" t="s">
        <v>365</v>
      </c>
      <c r="C57" s="1" t="s">
        <v>784</v>
      </c>
      <c r="D57" s="11">
        <v>136</v>
      </c>
      <c r="E57" s="11"/>
      <c r="F57" s="1" t="s">
        <v>39</v>
      </c>
      <c r="G57" s="11">
        <v>1</v>
      </c>
    </row>
    <row r="58" spans="1:7" x14ac:dyDescent="0.2">
      <c r="A58" s="1" t="s">
        <v>994</v>
      </c>
      <c r="B58" s="1" t="s">
        <v>365</v>
      </c>
      <c r="C58" s="1" t="s">
        <v>457</v>
      </c>
      <c r="D58" s="11">
        <v>68</v>
      </c>
      <c r="E58" s="11"/>
      <c r="F58" s="1" t="s">
        <v>9</v>
      </c>
      <c r="G58" s="11">
        <v>2</v>
      </c>
    </row>
    <row r="59" spans="1:7" x14ac:dyDescent="0.2">
      <c r="A59" s="1" t="s">
        <v>994</v>
      </c>
      <c r="B59" s="1" t="s">
        <v>365</v>
      </c>
      <c r="C59" s="1" t="s">
        <v>124</v>
      </c>
      <c r="D59" s="11">
        <v>1</v>
      </c>
      <c r="E59" s="11"/>
      <c r="F59" s="1" t="s">
        <v>9</v>
      </c>
      <c r="G59" s="11">
        <v>99</v>
      </c>
    </row>
    <row r="60" spans="1:7" x14ac:dyDescent="0.2">
      <c r="A60" s="1" t="s">
        <v>992</v>
      </c>
      <c r="B60" s="1" t="s">
        <v>363</v>
      </c>
      <c r="C60" s="1" t="s">
        <v>784</v>
      </c>
      <c r="D60" s="11">
        <v>118</v>
      </c>
      <c r="E60" s="11"/>
      <c r="F60" s="1" t="s">
        <v>39</v>
      </c>
      <c r="G60" s="11">
        <v>1</v>
      </c>
    </row>
    <row r="61" spans="1:7" x14ac:dyDescent="0.2">
      <c r="A61" s="1" t="s">
        <v>992</v>
      </c>
      <c r="B61" s="1" t="s">
        <v>363</v>
      </c>
      <c r="C61" s="1" t="s">
        <v>457</v>
      </c>
      <c r="D61" s="11">
        <v>59</v>
      </c>
      <c r="E61" s="11"/>
      <c r="F61" s="1" t="s">
        <v>9</v>
      </c>
      <c r="G61" s="11">
        <v>2</v>
      </c>
    </row>
    <row r="62" spans="1:7" x14ac:dyDescent="0.2">
      <c r="A62" s="1" t="s">
        <v>992</v>
      </c>
      <c r="B62" s="1" t="s">
        <v>363</v>
      </c>
      <c r="C62" s="1" t="s">
        <v>124</v>
      </c>
      <c r="D62" s="11">
        <v>1</v>
      </c>
      <c r="E62" s="11"/>
      <c r="F62" s="1" t="s">
        <v>9</v>
      </c>
      <c r="G62" s="11">
        <v>99</v>
      </c>
    </row>
    <row r="63" spans="1:7" x14ac:dyDescent="0.2">
      <c r="A63" s="1" t="s">
        <v>992</v>
      </c>
      <c r="B63" s="1" t="s">
        <v>365</v>
      </c>
      <c r="C63" s="1" t="s">
        <v>784</v>
      </c>
      <c r="D63" s="11">
        <v>136</v>
      </c>
      <c r="E63" s="11"/>
      <c r="F63" s="1" t="s">
        <v>39</v>
      </c>
      <c r="G63" s="11">
        <v>1</v>
      </c>
    </row>
    <row r="64" spans="1:7" x14ac:dyDescent="0.2">
      <c r="A64" s="1" t="s">
        <v>992</v>
      </c>
      <c r="B64" s="1" t="s">
        <v>365</v>
      </c>
      <c r="C64" s="1" t="s">
        <v>457</v>
      </c>
      <c r="D64" s="11">
        <v>68</v>
      </c>
      <c r="E64" s="11"/>
      <c r="F64" s="1" t="s">
        <v>9</v>
      </c>
      <c r="G64" s="11">
        <v>2</v>
      </c>
    </row>
    <row r="65" spans="1:7" x14ac:dyDescent="0.2">
      <c r="A65" s="1" t="s">
        <v>992</v>
      </c>
      <c r="B65" s="1" t="s">
        <v>365</v>
      </c>
      <c r="C65" s="1" t="s">
        <v>124</v>
      </c>
      <c r="D65" s="11">
        <v>1</v>
      </c>
      <c r="E65" s="11"/>
      <c r="F65" s="1" t="s">
        <v>9</v>
      </c>
      <c r="G65" s="11">
        <v>99</v>
      </c>
    </row>
    <row r="66" spans="1:7" x14ac:dyDescent="0.2">
      <c r="A66" s="1" t="s">
        <v>993</v>
      </c>
      <c r="B66" s="1" t="s">
        <v>363</v>
      </c>
      <c r="C66" s="1" t="s">
        <v>784</v>
      </c>
      <c r="D66" s="11">
        <v>118</v>
      </c>
      <c r="E66" s="11"/>
      <c r="F66" s="1" t="s">
        <v>39</v>
      </c>
      <c r="G66" s="11">
        <v>1</v>
      </c>
    </row>
    <row r="67" spans="1:7" x14ac:dyDescent="0.2">
      <c r="A67" s="1" t="s">
        <v>993</v>
      </c>
      <c r="B67" s="1" t="s">
        <v>363</v>
      </c>
      <c r="C67" s="1" t="s">
        <v>457</v>
      </c>
      <c r="D67" s="11">
        <v>68</v>
      </c>
      <c r="E67" s="11"/>
      <c r="F67" s="1" t="s">
        <v>9</v>
      </c>
      <c r="G67" s="11">
        <v>2</v>
      </c>
    </row>
    <row r="68" spans="1:7" x14ac:dyDescent="0.2">
      <c r="A68" s="1" t="s">
        <v>993</v>
      </c>
      <c r="B68" s="1" t="s">
        <v>363</v>
      </c>
      <c r="C68" s="1" t="s">
        <v>124</v>
      </c>
      <c r="D68" s="11">
        <v>1</v>
      </c>
      <c r="E68" s="11"/>
      <c r="F68" s="1" t="s">
        <v>9</v>
      </c>
      <c r="G68" s="11">
        <v>99</v>
      </c>
    </row>
    <row r="69" spans="1:7" x14ac:dyDescent="0.2">
      <c r="A69" s="1" t="s">
        <v>993</v>
      </c>
      <c r="B69" s="1" t="s">
        <v>365</v>
      </c>
      <c r="C69" s="1" t="s">
        <v>784</v>
      </c>
      <c r="D69" s="11">
        <v>136</v>
      </c>
      <c r="E69" s="11"/>
      <c r="F69" s="1" t="s">
        <v>39</v>
      </c>
      <c r="G69" s="11">
        <v>1</v>
      </c>
    </row>
    <row r="70" spans="1:7" x14ac:dyDescent="0.2">
      <c r="A70" s="1" t="s">
        <v>993</v>
      </c>
      <c r="B70" s="1" t="s">
        <v>365</v>
      </c>
      <c r="C70" s="1" t="s">
        <v>457</v>
      </c>
      <c r="D70" s="11">
        <v>68</v>
      </c>
      <c r="E70" s="11"/>
      <c r="F70" s="1" t="s">
        <v>9</v>
      </c>
      <c r="G70" s="11">
        <v>2</v>
      </c>
    </row>
    <row r="71" spans="1:7" x14ac:dyDescent="0.2">
      <c r="A71" s="1" t="s">
        <v>993</v>
      </c>
      <c r="B71" s="1" t="s">
        <v>365</v>
      </c>
      <c r="C71" s="1" t="s">
        <v>124</v>
      </c>
      <c r="D71" s="11">
        <v>1</v>
      </c>
      <c r="E71" s="11"/>
      <c r="F71" s="1" t="s">
        <v>9</v>
      </c>
      <c r="G71" s="11">
        <v>99</v>
      </c>
    </row>
    <row r="72" spans="1:7" x14ac:dyDescent="0.2">
      <c r="A72" s="1" t="s">
        <v>708</v>
      </c>
      <c r="B72" s="1" t="s">
        <v>115</v>
      </c>
      <c r="C72" s="1" t="s">
        <v>128</v>
      </c>
      <c r="D72" s="11">
        <v>5</v>
      </c>
      <c r="E72" s="11"/>
      <c r="F72" s="1" t="s">
        <v>39</v>
      </c>
      <c r="G72" s="11">
        <v>1</v>
      </c>
    </row>
    <row r="73" spans="1:7" x14ac:dyDescent="0.2">
      <c r="A73" s="1" t="s">
        <v>708</v>
      </c>
      <c r="B73" s="1" t="s">
        <v>115</v>
      </c>
      <c r="C73" s="1" t="s">
        <v>665</v>
      </c>
      <c r="D73" s="11">
        <v>75</v>
      </c>
      <c r="E73" s="11"/>
      <c r="F73" s="1" t="s">
        <v>9</v>
      </c>
      <c r="G73" s="11">
        <v>2</v>
      </c>
    </row>
    <row r="74" spans="1:7" x14ac:dyDescent="0.2">
      <c r="A74" s="1" t="s">
        <v>708</v>
      </c>
      <c r="B74" s="1" t="s">
        <v>115</v>
      </c>
      <c r="C74" s="1" t="s">
        <v>663</v>
      </c>
      <c r="D74" s="11">
        <v>125</v>
      </c>
      <c r="E74" s="11"/>
      <c r="F74" s="1" t="s">
        <v>9</v>
      </c>
      <c r="G74" s="11">
        <v>3</v>
      </c>
    </row>
    <row r="75" spans="1:7" x14ac:dyDescent="0.2">
      <c r="A75" s="1" t="s">
        <v>708</v>
      </c>
      <c r="B75" s="1" t="s">
        <v>115</v>
      </c>
      <c r="C75" s="1" t="s">
        <v>664</v>
      </c>
      <c r="D75" s="11">
        <v>175</v>
      </c>
      <c r="E75" s="11"/>
      <c r="F75" s="1" t="s">
        <v>9</v>
      </c>
      <c r="G75" s="11">
        <v>4</v>
      </c>
    </row>
    <row r="76" spans="1:7" x14ac:dyDescent="0.2">
      <c r="A76" s="1" t="s">
        <v>708</v>
      </c>
      <c r="B76" s="1" t="s">
        <v>115</v>
      </c>
      <c r="C76" s="1" t="s">
        <v>124</v>
      </c>
      <c r="D76" s="11">
        <v>1</v>
      </c>
      <c r="E76" s="11"/>
      <c r="F76" s="1" t="s">
        <v>9</v>
      </c>
      <c r="G76" s="11">
        <v>99</v>
      </c>
    </row>
    <row r="77" spans="1:7" x14ac:dyDescent="0.2">
      <c r="A77" s="1" t="s">
        <v>694</v>
      </c>
      <c r="B77" s="1" t="s">
        <v>115</v>
      </c>
      <c r="C77" s="1" t="s">
        <v>128</v>
      </c>
      <c r="D77" s="1" t="s">
        <v>715</v>
      </c>
      <c r="E77" s="11"/>
      <c r="F77" s="1" t="s">
        <v>39</v>
      </c>
      <c r="G77" s="11">
        <v>1</v>
      </c>
    </row>
    <row r="78" spans="1:7" x14ac:dyDescent="0.2">
      <c r="A78" s="1" t="s">
        <v>694</v>
      </c>
      <c r="B78" s="1" t="s">
        <v>115</v>
      </c>
      <c r="C78" s="1" t="s">
        <v>665</v>
      </c>
      <c r="D78" s="11">
        <v>50</v>
      </c>
      <c r="E78" s="11"/>
      <c r="F78" s="1" t="s">
        <v>9</v>
      </c>
      <c r="G78" s="11">
        <v>2</v>
      </c>
    </row>
    <row r="79" spans="1:7" x14ac:dyDescent="0.2">
      <c r="A79" s="1" t="s">
        <v>694</v>
      </c>
      <c r="B79" s="1" t="s">
        <v>115</v>
      </c>
      <c r="C79" s="1" t="s">
        <v>663</v>
      </c>
      <c r="D79" s="11">
        <v>100</v>
      </c>
      <c r="E79" s="11"/>
      <c r="F79" s="1" t="s">
        <v>9</v>
      </c>
      <c r="G79" s="11">
        <v>3</v>
      </c>
    </row>
    <row r="80" spans="1:7" x14ac:dyDescent="0.2">
      <c r="A80" s="1" t="s">
        <v>694</v>
      </c>
      <c r="B80" s="1" t="s">
        <v>115</v>
      </c>
      <c r="C80" s="1" t="s">
        <v>664</v>
      </c>
      <c r="D80" s="11">
        <v>150</v>
      </c>
      <c r="E80" s="11"/>
      <c r="F80" s="1" t="s">
        <v>9</v>
      </c>
      <c r="G80" s="11">
        <v>4</v>
      </c>
    </row>
    <row r="81" spans="1:7" x14ac:dyDescent="0.2">
      <c r="A81" s="1" t="s">
        <v>694</v>
      </c>
      <c r="B81" s="1" t="s">
        <v>115</v>
      </c>
      <c r="C81" s="1" t="s">
        <v>124</v>
      </c>
      <c r="D81" s="11">
        <v>1</v>
      </c>
      <c r="E81" s="11"/>
      <c r="F81" s="1" t="s">
        <v>9</v>
      </c>
      <c r="G81" s="11">
        <v>99</v>
      </c>
    </row>
    <row r="82" spans="1:7" x14ac:dyDescent="0.2">
      <c r="A82" s="1" t="s">
        <v>358</v>
      </c>
      <c r="B82" s="1" t="s">
        <v>363</v>
      </c>
      <c r="C82" s="1" t="s">
        <v>388</v>
      </c>
      <c r="D82" s="11">
        <v>50</v>
      </c>
      <c r="E82" s="11"/>
      <c r="F82" s="1" t="s">
        <v>39</v>
      </c>
      <c r="G82" s="11">
        <v>1</v>
      </c>
    </row>
    <row r="83" spans="1:7" x14ac:dyDescent="0.2">
      <c r="A83" s="1" t="s">
        <v>358</v>
      </c>
      <c r="B83" s="1" t="s">
        <v>363</v>
      </c>
      <c r="C83" s="1" t="s">
        <v>124</v>
      </c>
      <c r="D83" s="11">
        <v>1</v>
      </c>
      <c r="E83" s="11"/>
      <c r="F83" s="1" t="s">
        <v>9</v>
      </c>
      <c r="G83" s="11">
        <v>99</v>
      </c>
    </row>
    <row r="84" spans="1:7" x14ac:dyDescent="0.2">
      <c r="A84" s="1" t="s">
        <v>358</v>
      </c>
      <c r="B84" s="1" t="s">
        <v>365</v>
      </c>
      <c r="C84" s="1" t="s">
        <v>388</v>
      </c>
      <c r="D84" s="11">
        <v>50</v>
      </c>
      <c r="E84" s="11"/>
      <c r="F84" s="1" t="s">
        <v>39</v>
      </c>
      <c r="G84" s="11">
        <v>1</v>
      </c>
    </row>
    <row r="85" spans="1:7" x14ac:dyDescent="0.2">
      <c r="A85" s="1" t="s">
        <v>358</v>
      </c>
      <c r="B85" s="1" t="s">
        <v>365</v>
      </c>
      <c r="C85" s="1" t="s">
        <v>124</v>
      </c>
      <c r="D85" s="11">
        <v>1</v>
      </c>
      <c r="E85" s="11"/>
      <c r="F85" s="1" t="s">
        <v>9</v>
      </c>
      <c r="G85" s="11">
        <v>99</v>
      </c>
    </row>
    <row r="86" spans="1:7" x14ac:dyDescent="0.2">
      <c r="A86" s="1" t="s">
        <v>1092</v>
      </c>
      <c r="B86" s="1" t="s">
        <v>363</v>
      </c>
      <c r="C86" s="1" t="s">
        <v>128</v>
      </c>
      <c r="D86" s="11">
        <v>5</v>
      </c>
      <c r="E86" s="11"/>
      <c r="F86" s="1" t="s">
        <v>9</v>
      </c>
      <c r="G86" s="11">
        <v>1</v>
      </c>
    </row>
    <row r="87" spans="1:7" x14ac:dyDescent="0.2">
      <c r="A87" s="1" t="s">
        <v>1092</v>
      </c>
      <c r="B87" s="1" t="s">
        <v>363</v>
      </c>
      <c r="C87" s="1" t="s">
        <v>388</v>
      </c>
      <c r="D87" s="11">
        <v>70</v>
      </c>
      <c r="E87" s="11"/>
      <c r="F87" s="1" t="s">
        <v>39</v>
      </c>
      <c r="G87" s="11">
        <v>2</v>
      </c>
    </row>
    <row r="88" spans="1:7" x14ac:dyDescent="0.2">
      <c r="A88" s="1" t="s">
        <v>1092</v>
      </c>
      <c r="B88" s="1" t="s">
        <v>363</v>
      </c>
      <c r="C88" s="1" t="s">
        <v>124</v>
      </c>
      <c r="D88" s="11">
        <v>1</v>
      </c>
      <c r="E88" s="11"/>
      <c r="F88" s="1" t="s">
        <v>9</v>
      </c>
      <c r="G88" s="11">
        <v>99</v>
      </c>
    </row>
    <row r="89" spans="1:7" x14ac:dyDescent="0.2">
      <c r="A89" s="1" t="s">
        <v>1092</v>
      </c>
      <c r="B89" s="1" t="s">
        <v>365</v>
      </c>
      <c r="C89" s="1" t="s">
        <v>128</v>
      </c>
      <c r="D89" s="11">
        <v>6</v>
      </c>
      <c r="E89" s="11"/>
      <c r="F89" s="1" t="s">
        <v>39</v>
      </c>
      <c r="G89" s="11">
        <v>1</v>
      </c>
    </row>
    <row r="90" spans="1:7" x14ac:dyDescent="0.2">
      <c r="A90" s="1" t="s">
        <v>1092</v>
      </c>
      <c r="B90" s="1" t="s">
        <v>365</v>
      </c>
      <c r="C90" s="1" t="s">
        <v>124</v>
      </c>
      <c r="D90" s="11">
        <v>1</v>
      </c>
      <c r="E90" s="11"/>
      <c r="F90" s="1" t="s">
        <v>9</v>
      </c>
      <c r="G90" s="11">
        <v>99</v>
      </c>
    </row>
    <row r="91" spans="1:7" x14ac:dyDescent="0.2">
      <c r="A91" s="1" t="s">
        <v>1100</v>
      </c>
      <c r="B91" s="1" t="s">
        <v>363</v>
      </c>
      <c r="C91" s="1" t="s">
        <v>439</v>
      </c>
      <c r="D91" s="11">
        <v>25</v>
      </c>
      <c r="E91" s="11"/>
      <c r="F91" s="1" t="s">
        <v>9</v>
      </c>
      <c r="G91" s="11">
        <v>1</v>
      </c>
    </row>
    <row r="92" spans="1:7" x14ac:dyDescent="0.2">
      <c r="A92" s="1" t="s">
        <v>1100</v>
      </c>
      <c r="B92" s="1" t="s">
        <v>363</v>
      </c>
      <c r="C92" s="1" t="s">
        <v>388</v>
      </c>
      <c r="D92" s="11">
        <v>45</v>
      </c>
      <c r="E92" s="11"/>
      <c r="F92" s="1" t="s">
        <v>39</v>
      </c>
      <c r="G92" s="11">
        <v>2</v>
      </c>
    </row>
    <row r="93" spans="1:7" x14ac:dyDescent="0.2">
      <c r="A93" s="1" t="s">
        <v>1100</v>
      </c>
      <c r="B93" s="1" t="s">
        <v>363</v>
      </c>
      <c r="C93" s="1" t="s">
        <v>124</v>
      </c>
      <c r="D93" s="11">
        <v>1</v>
      </c>
      <c r="E93" s="11"/>
      <c r="F93" s="1" t="s">
        <v>9</v>
      </c>
      <c r="G93" s="11">
        <v>99</v>
      </c>
    </row>
    <row r="94" spans="1:7" x14ac:dyDescent="0.2">
      <c r="A94" s="1" t="s">
        <v>1100</v>
      </c>
      <c r="B94" s="1" t="s">
        <v>365</v>
      </c>
      <c r="C94" s="1" t="s">
        <v>439</v>
      </c>
      <c r="D94" s="11">
        <v>25</v>
      </c>
      <c r="E94" s="11"/>
      <c r="F94" s="1" t="s">
        <v>9</v>
      </c>
      <c r="G94" s="11">
        <v>1</v>
      </c>
    </row>
    <row r="95" spans="1:7" x14ac:dyDescent="0.2">
      <c r="A95" s="1" t="s">
        <v>1100</v>
      </c>
      <c r="B95" s="1" t="s">
        <v>365</v>
      </c>
      <c r="C95" s="1" t="s">
        <v>388</v>
      </c>
      <c r="D95" s="11">
        <v>45</v>
      </c>
      <c r="E95" s="11"/>
      <c r="F95" s="1" t="s">
        <v>39</v>
      </c>
      <c r="G95" s="11">
        <v>2</v>
      </c>
    </row>
    <row r="96" spans="1:7" x14ac:dyDescent="0.2">
      <c r="A96" s="1" t="s">
        <v>1100</v>
      </c>
      <c r="B96" s="1" t="s">
        <v>365</v>
      </c>
      <c r="C96" s="1" t="s">
        <v>124</v>
      </c>
      <c r="D96" s="11">
        <v>1</v>
      </c>
      <c r="E96" s="11"/>
      <c r="F96" s="1" t="s">
        <v>9</v>
      </c>
      <c r="G96" s="11">
        <v>99</v>
      </c>
    </row>
    <row r="97" spans="1:7" x14ac:dyDescent="0.2">
      <c r="A97" s="1" t="s">
        <v>1112</v>
      </c>
      <c r="B97" s="1" t="s">
        <v>363</v>
      </c>
      <c r="C97" s="1" t="s">
        <v>439</v>
      </c>
      <c r="D97" s="11">
        <v>25</v>
      </c>
      <c r="E97" s="11"/>
      <c r="F97" s="1" t="s">
        <v>9</v>
      </c>
      <c r="G97" s="11">
        <v>1</v>
      </c>
    </row>
    <row r="98" spans="1:7" x14ac:dyDescent="0.2">
      <c r="A98" s="1" t="s">
        <v>1112</v>
      </c>
      <c r="B98" s="1" t="s">
        <v>363</v>
      </c>
      <c r="C98" s="1" t="s">
        <v>388</v>
      </c>
      <c r="D98" s="11">
        <v>45</v>
      </c>
      <c r="E98" s="11"/>
      <c r="F98" s="1" t="s">
        <v>39</v>
      </c>
      <c r="G98" s="11">
        <v>2</v>
      </c>
    </row>
    <row r="99" spans="1:7" x14ac:dyDescent="0.2">
      <c r="A99" s="1" t="s">
        <v>1112</v>
      </c>
      <c r="B99" s="1" t="s">
        <v>363</v>
      </c>
      <c r="C99" s="1" t="s">
        <v>124</v>
      </c>
      <c r="D99" s="11">
        <v>1</v>
      </c>
      <c r="E99" s="11"/>
      <c r="F99" s="1" t="s">
        <v>9</v>
      </c>
      <c r="G99" s="11">
        <v>99</v>
      </c>
    </row>
    <row r="100" spans="1:7" x14ac:dyDescent="0.2">
      <c r="A100" s="1" t="s">
        <v>1112</v>
      </c>
      <c r="B100" s="1" t="s">
        <v>365</v>
      </c>
      <c r="C100" s="1" t="s">
        <v>439</v>
      </c>
      <c r="D100" s="11">
        <v>25</v>
      </c>
      <c r="E100" s="11"/>
      <c r="F100" s="1" t="s">
        <v>9</v>
      </c>
      <c r="G100" s="11">
        <v>1</v>
      </c>
    </row>
    <row r="101" spans="1:7" x14ac:dyDescent="0.2">
      <c r="A101" s="1" t="s">
        <v>1112</v>
      </c>
      <c r="B101" s="1" t="s">
        <v>365</v>
      </c>
      <c r="C101" s="1" t="s">
        <v>388</v>
      </c>
      <c r="D101" s="11">
        <v>45</v>
      </c>
      <c r="E101" s="11"/>
      <c r="F101" s="1" t="s">
        <v>39</v>
      </c>
      <c r="G101" s="11">
        <v>2</v>
      </c>
    </row>
    <row r="102" spans="1:7" x14ac:dyDescent="0.2">
      <c r="A102" s="1" t="s">
        <v>1112</v>
      </c>
      <c r="B102" s="1" t="s">
        <v>365</v>
      </c>
      <c r="C102" s="1" t="s">
        <v>124</v>
      </c>
      <c r="D102" s="11">
        <v>1</v>
      </c>
      <c r="E102" s="11"/>
      <c r="F102" s="1" t="s">
        <v>9</v>
      </c>
      <c r="G102" s="11">
        <v>99</v>
      </c>
    </row>
    <row r="103" spans="1:7" x14ac:dyDescent="0.2">
      <c r="A103" s="1" t="s">
        <v>1101</v>
      </c>
      <c r="B103" s="1" t="s">
        <v>363</v>
      </c>
      <c r="C103" s="1" t="s">
        <v>439</v>
      </c>
      <c r="D103" s="11">
        <v>25</v>
      </c>
      <c r="E103" s="11"/>
      <c r="F103" s="1" t="s">
        <v>9</v>
      </c>
      <c r="G103" s="11">
        <v>1</v>
      </c>
    </row>
    <row r="104" spans="1:7" x14ac:dyDescent="0.2">
      <c r="A104" s="1" t="s">
        <v>1101</v>
      </c>
      <c r="B104" s="1" t="s">
        <v>363</v>
      </c>
      <c r="C104" s="1" t="s">
        <v>388</v>
      </c>
      <c r="D104" s="11">
        <v>45</v>
      </c>
      <c r="E104" s="11"/>
      <c r="F104" s="1" t="s">
        <v>39</v>
      </c>
      <c r="G104" s="11">
        <v>2</v>
      </c>
    </row>
    <row r="105" spans="1:7" x14ac:dyDescent="0.2">
      <c r="A105" s="1" t="s">
        <v>1101</v>
      </c>
      <c r="B105" s="1" t="s">
        <v>363</v>
      </c>
      <c r="C105" s="1" t="s">
        <v>124</v>
      </c>
      <c r="D105" s="11">
        <v>1</v>
      </c>
      <c r="E105" s="11"/>
      <c r="F105" s="1" t="s">
        <v>9</v>
      </c>
      <c r="G105" s="11">
        <v>99</v>
      </c>
    </row>
    <row r="106" spans="1:7" x14ac:dyDescent="0.2">
      <c r="A106" s="1" t="s">
        <v>1101</v>
      </c>
      <c r="B106" s="1" t="s">
        <v>365</v>
      </c>
      <c r="C106" s="1" t="s">
        <v>439</v>
      </c>
      <c r="D106" s="11">
        <v>25</v>
      </c>
      <c r="E106" s="11"/>
      <c r="F106" s="1" t="s">
        <v>9</v>
      </c>
      <c r="G106" s="11">
        <v>1</v>
      </c>
    </row>
    <row r="107" spans="1:7" x14ac:dyDescent="0.2">
      <c r="A107" s="1" t="s">
        <v>1101</v>
      </c>
      <c r="B107" s="1" t="s">
        <v>365</v>
      </c>
      <c r="C107" s="1" t="s">
        <v>388</v>
      </c>
      <c r="D107" s="11">
        <v>45</v>
      </c>
      <c r="E107" s="11"/>
      <c r="F107" s="1" t="s">
        <v>39</v>
      </c>
      <c r="G107" s="11">
        <v>2</v>
      </c>
    </row>
    <row r="108" spans="1:7" x14ac:dyDescent="0.2">
      <c r="A108" s="1" t="s">
        <v>1101</v>
      </c>
      <c r="B108" s="1" t="s">
        <v>365</v>
      </c>
      <c r="C108" s="1" t="s">
        <v>124</v>
      </c>
      <c r="D108" s="11">
        <v>1</v>
      </c>
      <c r="E108" s="11"/>
      <c r="F108" s="1" t="s">
        <v>9</v>
      </c>
      <c r="G108" s="11">
        <v>99</v>
      </c>
    </row>
    <row r="109" spans="1:7" x14ac:dyDescent="0.2">
      <c r="A109" s="1" t="s">
        <v>524</v>
      </c>
      <c r="B109" s="1" t="s">
        <v>526</v>
      </c>
      <c r="C109" s="1" t="s">
        <v>190</v>
      </c>
      <c r="D109" s="11"/>
      <c r="E109" s="11">
        <v>150</v>
      </c>
      <c r="F109" s="1" t="s">
        <v>39</v>
      </c>
      <c r="G109" s="11">
        <v>1</v>
      </c>
    </row>
    <row r="110" spans="1:7" x14ac:dyDescent="0.2">
      <c r="A110" s="1" t="s">
        <v>524</v>
      </c>
      <c r="B110" s="1" t="s">
        <v>526</v>
      </c>
      <c r="C110" s="1" t="s">
        <v>662</v>
      </c>
      <c r="D110" s="11"/>
      <c r="E110" s="11">
        <v>180</v>
      </c>
      <c r="F110" s="1" t="s">
        <v>9</v>
      </c>
      <c r="G110" s="11">
        <v>2</v>
      </c>
    </row>
    <row r="111" spans="1:7" x14ac:dyDescent="0.2">
      <c r="A111" s="1" t="s">
        <v>524</v>
      </c>
      <c r="B111" s="1" t="s">
        <v>526</v>
      </c>
      <c r="C111" s="1" t="s">
        <v>126</v>
      </c>
      <c r="D111" s="11"/>
      <c r="E111" s="11">
        <v>1</v>
      </c>
      <c r="F111" s="1" t="s">
        <v>9</v>
      </c>
      <c r="G111" s="11">
        <v>99</v>
      </c>
    </row>
    <row r="112" spans="1:7" x14ac:dyDescent="0.2">
      <c r="A112" s="1" t="s">
        <v>524</v>
      </c>
      <c r="B112" s="1" t="s">
        <v>532</v>
      </c>
      <c r="C112" s="1" t="s">
        <v>190</v>
      </c>
      <c r="D112" s="11"/>
      <c r="E112" s="11">
        <v>150</v>
      </c>
      <c r="F112" s="1" t="s">
        <v>39</v>
      </c>
      <c r="G112" s="11">
        <v>1</v>
      </c>
    </row>
    <row r="113" spans="1:7" x14ac:dyDescent="0.2">
      <c r="A113" s="1" t="s">
        <v>524</v>
      </c>
      <c r="B113" s="1" t="s">
        <v>532</v>
      </c>
      <c r="C113" s="1" t="s">
        <v>662</v>
      </c>
      <c r="D113" s="11"/>
      <c r="E113" s="11">
        <v>180</v>
      </c>
      <c r="F113" s="1" t="s">
        <v>9</v>
      </c>
      <c r="G113" s="11">
        <v>2</v>
      </c>
    </row>
    <row r="114" spans="1:7" x14ac:dyDescent="0.2">
      <c r="A114" s="1" t="s">
        <v>524</v>
      </c>
      <c r="B114" s="1" t="s">
        <v>532</v>
      </c>
      <c r="C114" s="1" t="s">
        <v>126</v>
      </c>
      <c r="D114" s="11"/>
      <c r="E114" s="11">
        <v>1</v>
      </c>
      <c r="F114" s="1" t="s">
        <v>9</v>
      </c>
      <c r="G114" s="11">
        <v>99</v>
      </c>
    </row>
    <row r="115" spans="1:7" x14ac:dyDescent="0.2">
      <c r="A115" s="1" t="s">
        <v>1127</v>
      </c>
      <c r="B115" s="1" t="s">
        <v>363</v>
      </c>
      <c r="C115" s="1" t="s">
        <v>439</v>
      </c>
      <c r="D115" s="11">
        <v>30</v>
      </c>
      <c r="E115" s="11"/>
      <c r="F115" s="1" t="s">
        <v>9</v>
      </c>
      <c r="G115" s="11">
        <v>1</v>
      </c>
    </row>
    <row r="116" spans="1:7" x14ac:dyDescent="0.2">
      <c r="A116" s="1" t="s">
        <v>1127</v>
      </c>
      <c r="B116" s="1" t="s">
        <v>363</v>
      </c>
      <c r="C116" s="1" t="s">
        <v>388</v>
      </c>
      <c r="D116" s="11">
        <v>55</v>
      </c>
      <c r="E116" s="11"/>
      <c r="F116" s="1" t="s">
        <v>39</v>
      </c>
      <c r="G116" s="11">
        <v>2</v>
      </c>
    </row>
    <row r="117" spans="1:7" x14ac:dyDescent="0.2">
      <c r="A117" s="1" t="s">
        <v>1127</v>
      </c>
      <c r="B117" s="1" t="s">
        <v>363</v>
      </c>
      <c r="C117" s="1" t="s">
        <v>124</v>
      </c>
      <c r="D117" s="11">
        <v>1</v>
      </c>
      <c r="E117" s="11"/>
      <c r="F117" s="1" t="s">
        <v>9</v>
      </c>
      <c r="G117" s="11">
        <v>99</v>
      </c>
    </row>
    <row r="118" spans="1:7" x14ac:dyDescent="0.2">
      <c r="A118" s="1" t="s">
        <v>1127</v>
      </c>
      <c r="B118" s="1" t="s">
        <v>365</v>
      </c>
      <c r="C118" s="1" t="s">
        <v>128</v>
      </c>
      <c r="D118" s="11">
        <v>20</v>
      </c>
      <c r="E118" s="11"/>
      <c r="F118" s="1" t="s">
        <v>39</v>
      </c>
      <c r="G118" s="11">
        <v>1</v>
      </c>
    </row>
    <row r="119" spans="1:7" x14ac:dyDescent="0.2">
      <c r="A119" s="1" t="s">
        <v>1127</v>
      </c>
      <c r="B119" s="1" t="s">
        <v>365</v>
      </c>
      <c r="C119" s="1" t="s">
        <v>124</v>
      </c>
      <c r="D119" s="11">
        <v>1</v>
      </c>
      <c r="E119" s="11"/>
      <c r="F119" s="1" t="s">
        <v>9</v>
      </c>
      <c r="G119" s="11">
        <v>99</v>
      </c>
    </row>
    <row r="120" spans="1:7" x14ac:dyDescent="0.2">
      <c r="A120" s="1" t="s">
        <v>402</v>
      </c>
      <c r="B120" s="1" t="s">
        <v>363</v>
      </c>
      <c r="C120" s="1" t="s">
        <v>388</v>
      </c>
      <c r="D120" s="11">
        <v>50</v>
      </c>
      <c r="E120" s="11"/>
      <c r="F120" s="1" t="s">
        <v>39</v>
      </c>
      <c r="G120" s="11">
        <v>1</v>
      </c>
    </row>
    <row r="121" spans="1:7" x14ac:dyDescent="0.2">
      <c r="A121" s="1" t="s">
        <v>402</v>
      </c>
      <c r="B121" s="1" t="s">
        <v>363</v>
      </c>
      <c r="C121" s="1" t="s">
        <v>124</v>
      </c>
      <c r="D121" s="11">
        <v>1</v>
      </c>
      <c r="E121" s="11"/>
      <c r="F121" s="1" t="s">
        <v>9</v>
      </c>
      <c r="G121" s="11">
        <v>99</v>
      </c>
    </row>
    <row r="122" spans="1:7" x14ac:dyDescent="0.2">
      <c r="A122" s="1" t="s">
        <v>402</v>
      </c>
      <c r="B122" s="1" t="s">
        <v>365</v>
      </c>
      <c r="C122" s="1" t="s">
        <v>388</v>
      </c>
      <c r="D122" s="11">
        <v>50</v>
      </c>
      <c r="E122" s="11"/>
      <c r="F122" s="1" t="s">
        <v>39</v>
      </c>
      <c r="G122" s="11">
        <v>1</v>
      </c>
    </row>
    <row r="123" spans="1:7" x14ac:dyDescent="0.2">
      <c r="A123" s="1" t="s">
        <v>402</v>
      </c>
      <c r="B123" s="1" t="s">
        <v>365</v>
      </c>
      <c r="C123" s="1" t="s">
        <v>124</v>
      </c>
      <c r="D123" s="11">
        <v>1</v>
      </c>
      <c r="E123" s="11"/>
      <c r="F123" s="1" t="s">
        <v>9</v>
      </c>
      <c r="G123" s="11">
        <v>99</v>
      </c>
    </row>
    <row r="124" spans="1:7" x14ac:dyDescent="0.2">
      <c r="A124" s="1" t="s">
        <v>848</v>
      </c>
      <c r="B124" s="1" t="s">
        <v>115</v>
      </c>
      <c r="C124" s="1" t="s">
        <v>553</v>
      </c>
      <c r="D124" s="11">
        <v>5</v>
      </c>
      <c r="E124" s="11"/>
      <c r="F124" s="1" t="s">
        <v>9</v>
      </c>
      <c r="G124" s="11">
        <v>1</v>
      </c>
    </row>
    <row r="125" spans="1:7" x14ac:dyDescent="0.2">
      <c r="A125" s="1" t="s">
        <v>848</v>
      </c>
      <c r="B125" s="1" t="s">
        <v>115</v>
      </c>
      <c r="C125" s="1" t="s">
        <v>554</v>
      </c>
      <c r="D125" s="11">
        <v>9</v>
      </c>
      <c r="E125" s="11"/>
      <c r="F125" s="1" t="s">
        <v>39</v>
      </c>
      <c r="G125" s="11">
        <v>2</v>
      </c>
    </row>
    <row r="126" spans="1:7" x14ac:dyDescent="0.2">
      <c r="A126" s="1" t="s">
        <v>848</v>
      </c>
      <c r="B126" s="1" t="s">
        <v>115</v>
      </c>
      <c r="C126" s="1" t="s">
        <v>555</v>
      </c>
      <c r="D126" s="11">
        <v>13</v>
      </c>
      <c r="E126" s="11"/>
      <c r="F126" s="1" t="s">
        <v>9</v>
      </c>
      <c r="G126" s="11">
        <v>3</v>
      </c>
    </row>
    <row r="127" spans="1:7" x14ac:dyDescent="0.2">
      <c r="A127" s="1" t="s">
        <v>848</v>
      </c>
      <c r="B127" s="1" t="s">
        <v>115</v>
      </c>
      <c r="C127" s="1" t="s">
        <v>862</v>
      </c>
      <c r="D127" s="11">
        <v>125</v>
      </c>
      <c r="E127" s="11"/>
      <c r="F127" s="1" t="s">
        <v>9</v>
      </c>
      <c r="G127" s="11">
        <v>4</v>
      </c>
    </row>
    <row r="128" spans="1:7" x14ac:dyDescent="0.2">
      <c r="A128" s="1" t="s">
        <v>848</v>
      </c>
      <c r="B128" s="1" t="s">
        <v>115</v>
      </c>
      <c r="C128" s="1" t="s">
        <v>124</v>
      </c>
      <c r="D128" s="11">
        <v>1</v>
      </c>
      <c r="E128" s="11"/>
      <c r="F128" s="1" t="s">
        <v>9</v>
      </c>
      <c r="G128" s="11">
        <v>99</v>
      </c>
    </row>
    <row r="129" spans="1:7" x14ac:dyDescent="0.2">
      <c r="A129" s="1" t="s">
        <v>849</v>
      </c>
      <c r="B129" s="1" t="s">
        <v>115</v>
      </c>
      <c r="C129" s="1" t="s">
        <v>553</v>
      </c>
      <c r="D129" s="11">
        <v>5</v>
      </c>
      <c r="E129" s="11"/>
      <c r="F129" s="1" t="s">
        <v>9</v>
      </c>
      <c r="G129" s="11">
        <v>1</v>
      </c>
    </row>
    <row r="130" spans="1:7" x14ac:dyDescent="0.2">
      <c r="A130" s="1" t="s">
        <v>849</v>
      </c>
      <c r="B130" s="1" t="s">
        <v>115</v>
      </c>
      <c r="C130" s="1" t="s">
        <v>554</v>
      </c>
      <c r="D130" s="11">
        <v>9</v>
      </c>
      <c r="E130" s="11"/>
      <c r="F130" s="1" t="s">
        <v>39</v>
      </c>
      <c r="G130" s="11">
        <v>2</v>
      </c>
    </row>
    <row r="131" spans="1:7" x14ac:dyDescent="0.2">
      <c r="A131" s="1" t="s">
        <v>849</v>
      </c>
      <c r="B131" s="1" t="s">
        <v>115</v>
      </c>
      <c r="C131" s="1" t="s">
        <v>555</v>
      </c>
      <c r="D131" s="11">
        <v>13</v>
      </c>
      <c r="E131" s="11"/>
      <c r="F131" s="1" t="s">
        <v>9</v>
      </c>
      <c r="G131" s="11">
        <v>3</v>
      </c>
    </row>
    <row r="132" spans="1:7" x14ac:dyDescent="0.2">
      <c r="A132" s="1" t="s">
        <v>849</v>
      </c>
      <c r="B132" s="1" t="s">
        <v>115</v>
      </c>
      <c r="C132" s="1" t="s">
        <v>862</v>
      </c>
      <c r="D132" s="11">
        <v>125</v>
      </c>
      <c r="E132" s="11"/>
      <c r="F132" s="1" t="s">
        <v>9</v>
      </c>
      <c r="G132" s="11">
        <v>4</v>
      </c>
    </row>
    <row r="133" spans="1:7" x14ac:dyDescent="0.2">
      <c r="A133" s="1" t="s">
        <v>849</v>
      </c>
      <c r="B133" s="1" t="s">
        <v>115</v>
      </c>
      <c r="C133" s="1" t="s">
        <v>124</v>
      </c>
      <c r="D133" s="11">
        <v>1</v>
      </c>
      <c r="E133" s="11"/>
      <c r="F133" s="1" t="s">
        <v>9</v>
      </c>
      <c r="G133" s="11">
        <v>99</v>
      </c>
    </row>
    <row r="134" spans="1:7" x14ac:dyDescent="0.2">
      <c r="A134" s="1" t="s">
        <v>972</v>
      </c>
      <c r="B134" s="1" t="s">
        <v>952</v>
      </c>
      <c r="C134" s="1" t="s">
        <v>439</v>
      </c>
      <c r="D134" s="11">
        <v>8</v>
      </c>
      <c r="E134" s="11"/>
      <c r="F134" s="1" t="s">
        <v>39</v>
      </c>
      <c r="G134" s="11">
        <v>1</v>
      </c>
    </row>
    <row r="135" spans="1:7" x14ac:dyDescent="0.2">
      <c r="A135" s="1" t="s">
        <v>972</v>
      </c>
      <c r="B135" s="1" t="s">
        <v>952</v>
      </c>
      <c r="C135" s="1" t="s">
        <v>124</v>
      </c>
      <c r="D135" s="11">
        <v>1</v>
      </c>
      <c r="E135" s="11"/>
      <c r="F135" s="1" t="s">
        <v>9</v>
      </c>
      <c r="G135" s="11">
        <v>99</v>
      </c>
    </row>
    <row r="136" spans="1:7" x14ac:dyDescent="0.2">
      <c r="A136" s="1" t="s">
        <v>972</v>
      </c>
      <c r="B136" s="1" t="s">
        <v>950</v>
      </c>
      <c r="C136" s="1" t="s">
        <v>439</v>
      </c>
      <c r="D136" s="11">
        <v>8</v>
      </c>
      <c r="E136" s="11"/>
      <c r="F136" s="1" t="s">
        <v>39</v>
      </c>
      <c r="G136" s="11">
        <v>1</v>
      </c>
    </row>
    <row r="137" spans="1:7" x14ac:dyDescent="0.2">
      <c r="A137" s="1" t="s">
        <v>972</v>
      </c>
      <c r="B137" s="1" t="s">
        <v>950</v>
      </c>
      <c r="C137" s="1" t="s">
        <v>124</v>
      </c>
      <c r="D137" s="11">
        <v>1</v>
      </c>
      <c r="E137" s="11"/>
      <c r="F137" s="1" t="s">
        <v>9</v>
      </c>
      <c r="G137" s="11">
        <v>99</v>
      </c>
    </row>
    <row r="138" spans="1:7" x14ac:dyDescent="0.2">
      <c r="A138" s="1" t="s">
        <v>236</v>
      </c>
      <c r="B138" s="1" t="s">
        <v>115</v>
      </c>
      <c r="C138" s="1" t="s">
        <v>190</v>
      </c>
      <c r="D138" s="11"/>
      <c r="E138" s="1">
        <v>150</v>
      </c>
      <c r="F138" s="1" t="s">
        <v>39</v>
      </c>
      <c r="G138" s="1">
        <v>1</v>
      </c>
    </row>
    <row r="139" spans="1:7" x14ac:dyDescent="0.2">
      <c r="A139" s="1" t="s">
        <v>236</v>
      </c>
      <c r="B139" s="1" t="s">
        <v>115</v>
      </c>
      <c r="C139" s="1" t="s">
        <v>662</v>
      </c>
      <c r="D139" s="8"/>
      <c r="E139" s="1">
        <v>200</v>
      </c>
      <c r="F139" s="1" t="s">
        <v>9</v>
      </c>
      <c r="G139" s="1">
        <v>2</v>
      </c>
    </row>
    <row r="140" spans="1:7" x14ac:dyDescent="0.2">
      <c r="A140" s="1" t="s">
        <v>236</v>
      </c>
      <c r="B140" s="1" t="s">
        <v>115</v>
      </c>
      <c r="C140" s="1" t="s">
        <v>192</v>
      </c>
      <c r="D140" s="8"/>
      <c r="E140" s="4" t="s">
        <v>209</v>
      </c>
      <c r="F140" s="4" t="s">
        <v>9</v>
      </c>
      <c r="G140" s="4" t="s">
        <v>210</v>
      </c>
    </row>
    <row r="141" spans="1:7" x14ac:dyDescent="0.2">
      <c r="A141" s="1" t="s">
        <v>236</v>
      </c>
      <c r="B141" s="1" t="s">
        <v>115</v>
      </c>
      <c r="C141" s="1" t="s">
        <v>126</v>
      </c>
      <c r="D141" s="8"/>
      <c r="E141" s="4" t="s">
        <v>22</v>
      </c>
      <c r="F141" s="4" t="s">
        <v>9</v>
      </c>
      <c r="G141" s="4" t="s">
        <v>178</v>
      </c>
    </row>
    <row r="142" spans="1:7" x14ac:dyDescent="0.2">
      <c r="A142" s="1" t="s">
        <v>326</v>
      </c>
      <c r="B142" s="1" t="s">
        <v>115</v>
      </c>
      <c r="C142" s="1" t="s">
        <v>130</v>
      </c>
      <c r="D142" s="8"/>
      <c r="E142" s="4" t="s">
        <v>331</v>
      </c>
      <c r="F142" s="4" t="s">
        <v>39</v>
      </c>
      <c r="G142" s="4" t="s">
        <v>22</v>
      </c>
    </row>
    <row r="143" spans="1:7" x14ac:dyDescent="0.2">
      <c r="A143" s="1" t="s">
        <v>326</v>
      </c>
      <c r="B143" s="1" t="s">
        <v>115</v>
      </c>
      <c r="C143" s="1" t="s">
        <v>656</v>
      </c>
      <c r="D143" s="8"/>
      <c r="E143" s="4" t="s">
        <v>209</v>
      </c>
      <c r="F143" s="4" t="s">
        <v>9</v>
      </c>
      <c r="G143" s="4" t="s">
        <v>333</v>
      </c>
    </row>
    <row r="144" spans="1:7" x14ac:dyDescent="0.2">
      <c r="A144" s="1" t="s">
        <v>326</v>
      </c>
      <c r="B144" s="1" t="s">
        <v>115</v>
      </c>
      <c r="C144" s="1" t="s">
        <v>287</v>
      </c>
      <c r="D144" s="8"/>
      <c r="E144" s="4" t="s">
        <v>332</v>
      </c>
      <c r="F144" s="4" t="s">
        <v>9</v>
      </c>
      <c r="G144" s="4" t="s">
        <v>210</v>
      </c>
    </row>
    <row r="145" spans="1:7" x14ac:dyDescent="0.2">
      <c r="A145" s="1" t="s">
        <v>326</v>
      </c>
      <c r="B145" s="1" t="s">
        <v>115</v>
      </c>
      <c r="C145" s="1" t="s">
        <v>183</v>
      </c>
      <c r="D145" s="8"/>
      <c r="E145" s="4" t="s">
        <v>334</v>
      </c>
      <c r="F145" s="4" t="s">
        <v>9</v>
      </c>
      <c r="G145" s="4" t="s">
        <v>335</v>
      </c>
    </row>
    <row r="146" spans="1:7" x14ac:dyDescent="0.2">
      <c r="A146" s="1" t="s">
        <v>326</v>
      </c>
      <c r="B146" s="1" t="s">
        <v>115</v>
      </c>
      <c r="C146" s="1" t="s">
        <v>126</v>
      </c>
      <c r="D146" s="8"/>
      <c r="E146" s="4" t="s">
        <v>22</v>
      </c>
      <c r="F146" s="4" t="s">
        <v>9</v>
      </c>
      <c r="G146" s="4" t="s">
        <v>178</v>
      </c>
    </row>
    <row r="147" spans="1:7" x14ac:dyDescent="0.2">
      <c r="A147" s="1" t="s">
        <v>336</v>
      </c>
      <c r="B147" s="1" t="s">
        <v>115</v>
      </c>
      <c r="C147" s="1" t="s">
        <v>130</v>
      </c>
      <c r="D147" s="8"/>
      <c r="E147" s="4" t="s">
        <v>331</v>
      </c>
      <c r="F147" s="4" t="s">
        <v>39</v>
      </c>
      <c r="G147" s="4" t="s">
        <v>22</v>
      </c>
    </row>
    <row r="148" spans="1:7" x14ac:dyDescent="0.2">
      <c r="A148" s="1" t="s">
        <v>336</v>
      </c>
      <c r="B148" s="1" t="s">
        <v>115</v>
      </c>
      <c r="C148" s="1" t="s">
        <v>656</v>
      </c>
      <c r="D148" s="8"/>
      <c r="E148" s="4" t="s">
        <v>209</v>
      </c>
      <c r="F148" s="4" t="s">
        <v>9</v>
      </c>
      <c r="G148" s="4" t="s">
        <v>333</v>
      </c>
    </row>
    <row r="149" spans="1:7" x14ac:dyDescent="0.2">
      <c r="A149" s="1" t="s">
        <v>336</v>
      </c>
      <c r="B149" s="1" t="s">
        <v>115</v>
      </c>
      <c r="C149" s="1" t="s">
        <v>287</v>
      </c>
      <c r="D149" s="8"/>
      <c r="E149" s="4" t="s">
        <v>332</v>
      </c>
      <c r="F149" s="4" t="s">
        <v>9</v>
      </c>
      <c r="G149" s="4" t="s">
        <v>210</v>
      </c>
    </row>
    <row r="150" spans="1:7" x14ac:dyDescent="0.2">
      <c r="A150" s="1" t="s">
        <v>336</v>
      </c>
      <c r="B150" s="1" t="s">
        <v>115</v>
      </c>
      <c r="C150" s="1" t="s">
        <v>183</v>
      </c>
      <c r="D150" s="8"/>
      <c r="E150" s="4" t="s">
        <v>334</v>
      </c>
      <c r="F150" s="4" t="s">
        <v>9</v>
      </c>
      <c r="G150" s="4" t="s">
        <v>335</v>
      </c>
    </row>
    <row r="151" spans="1:7" x14ac:dyDescent="0.2">
      <c r="A151" s="1" t="s">
        <v>336</v>
      </c>
      <c r="B151" s="1" t="s">
        <v>115</v>
      </c>
      <c r="C151" s="1" t="s">
        <v>126</v>
      </c>
      <c r="D151" s="8"/>
      <c r="E151" s="4" t="s">
        <v>22</v>
      </c>
      <c r="F151" s="4" t="s">
        <v>9</v>
      </c>
      <c r="G151" s="4" t="s">
        <v>178</v>
      </c>
    </row>
    <row r="152" spans="1:7" x14ac:dyDescent="0.2">
      <c r="A152" s="1" t="s">
        <v>328</v>
      </c>
      <c r="B152" s="1" t="s">
        <v>115</v>
      </c>
      <c r="C152" s="1" t="s">
        <v>130</v>
      </c>
      <c r="D152" s="8"/>
      <c r="E152" s="4" t="s">
        <v>331</v>
      </c>
      <c r="F152" s="4" t="s">
        <v>39</v>
      </c>
      <c r="G152" s="4" t="s">
        <v>22</v>
      </c>
    </row>
    <row r="153" spans="1:7" x14ac:dyDescent="0.2">
      <c r="A153" s="1" t="s">
        <v>328</v>
      </c>
      <c r="B153" s="1" t="s">
        <v>115</v>
      </c>
      <c r="C153" s="1" t="s">
        <v>656</v>
      </c>
      <c r="D153" s="8"/>
      <c r="E153" s="4" t="s">
        <v>209</v>
      </c>
      <c r="F153" s="4" t="s">
        <v>9</v>
      </c>
      <c r="G153" s="4" t="s">
        <v>333</v>
      </c>
    </row>
    <row r="154" spans="1:7" x14ac:dyDescent="0.2">
      <c r="A154" s="1" t="s">
        <v>328</v>
      </c>
      <c r="B154" s="1" t="s">
        <v>115</v>
      </c>
      <c r="C154" s="1" t="s">
        <v>287</v>
      </c>
      <c r="D154" s="8"/>
      <c r="E154" s="4" t="s">
        <v>332</v>
      </c>
      <c r="F154" s="4" t="s">
        <v>9</v>
      </c>
      <c r="G154" s="4" t="s">
        <v>210</v>
      </c>
    </row>
    <row r="155" spans="1:7" x14ac:dyDescent="0.2">
      <c r="A155" s="1" t="s">
        <v>328</v>
      </c>
      <c r="B155" s="1" t="s">
        <v>115</v>
      </c>
      <c r="C155" s="1" t="s">
        <v>183</v>
      </c>
      <c r="D155" s="8"/>
      <c r="E155" s="4" t="s">
        <v>334</v>
      </c>
      <c r="F155" s="4" t="s">
        <v>9</v>
      </c>
      <c r="G155" s="4" t="s">
        <v>335</v>
      </c>
    </row>
    <row r="156" spans="1:7" x14ac:dyDescent="0.2">
      <c r="A156" s="1" t="s">
        <v>328</v>
      </c>
      <c r="B156" s="1" t="s">
        <v>115</v>
      </c>
      <c r="C156" s="1" t="s">
        <v>126</v>
      </c>
      <c r="D156" s="8"/>
      <c r="E156" s="4" t="s">
        <v>22</v>
      </c>
      <c r="F156" s="4" t="s">
        <v>9</v>
      </c>
      <c r="G156" s="4" t="s">
        <v>178</v>
      </c>
    </row>
    <row r="157" spans="1:7" x14ac:dyDescent="0.2">
      <c r="A157" s="1" t="s">
        <v>490</v>
      </c>
      <c r="B157" s="1" t="s">
        <v>115</v>
      </c>
      <c r="C157" s="1" t="s">
        <v>128</v>
      </c>
      <c r="D157" s="11">
        <v>15</v>
      </c>
      <c r="E157" s="9"/>
      <c r="F157" s="4" t="s">
        <v>39</v>
      </c>
      <c r="G157" s="4" t="s">
        <v>22</v>
      </c>
    </row>
    <row r="158" spans="1:7" x14ac:dyDescent="0.2">
      <c r="A158" s="1" t="s">
        <v>490</v>
      </c>
      <c r="B158" s="1" t="s">
        <v>115</v>
      </c>
      <c r="C158" s="1" t="s">
        <v>472</v>
      </c>
      <c r="D158" s="11">
        <v>75</v>
      </c>
      <c r="E158" s="9"/>
      <c r="F158" s="4" t="s">
        <v>9</v>
      </c>
      <c r="G158" s="4" t="s">
        <v>333</v>
      </c>
    </row>
    <row r="159" spans="1:7" x14ac:dyDescent="0.2">
      <c r="A159" s="1" t="s">
        <v>490</v>
      </c>
      <c r="B159" s="1" t="s">
        <v>115</v>
      </c>
      <c r="C159" s="1" t="s">
        <v>124</v>
      </c>
      <c r="D159" s="11">
        <v>1</v>
      </c>
      <c r="E159" s="9"/>
      <c r="F159" s="9" t="s">
        <v>9</v>
      </c>
      <c r="G159" s="9" t="s">
        <v>178</v>
      </c>
    </row>
    <row r="160" spans="1:7" x14ac:dyDescent="0.2">
      <c r="A160" s="1" t="s">
        <v>1027</v>
      </c>
      <c r="B160" s="1" t="s">
        <v>363</v>
      </c>
      <c r="C160" s="1" t="s">
        <v>439</v>
      </c>
      <c r="D160" s="11">
        <v>35</v>
      </c>
      <c r="E160" s="9"/>
      <c r="F160" s="4" t="s">
        <v>39</v>
      </c>
      <c r="G160" s="4" t="s">
        <v>22</v>
      </c>
    </row>
    <row r="161" spans="1:7" x14ac:dyDescent="0.2">
      <c r="A161" s="1" t="s">
        <v>1027</v>
      </c>
      <c r="B161" s="1" t="s">
        <v>363</v>
      </c>
      <c r="C161" s="1" t="s">
        <v>124</v>
      </c>
      <c r="D161" s="11">
        <v>1</v>
      </c>
      <c r="E161" s="9"/>
      <c r="F161" s="4" t="s">
        <v>9</v>
      </c>
      <c r="G161" s="4" t="s">
        <v>178</v>
      </c>
    </row>
    <row r="162" spans="1:7" x14ac:dyDescent="0.2">
      <c r="A162" s="1" t="s">
        <v>1027</v>
      </c>
      <c r="B162" s="1" t="s">
        <v>1033</v>
      </c>
      <c r="C162" s="1" t="s">
        <v>717</v>
      </c>
      <c r="D162" s="11">
        <v>8</v>
      </c>
      <c r="E162" s="9"/>
      <c r="F162" s="4" t="s">
        <v>39</v>
      </c>
      <c r="G162" s="4" t="s">
        <v>22</v>
      </c>
    </row>
    <row r="163" spans="1:7" x14ac:dyDescent="0.2">
      <c r="A163" s="1" t="s">
        <v>1027</v>
      </c>
      <c r="B163" s="1" t="s">
        <v>1033</v>
      </c>
      <c r="C163" s="1" t="s">
        <v>439</v>
      </c>
      <c r="D163" s="11">
        <v>30</v>
      </c>
      <c r="E163" s="9"/>
      <c r="F163" s="4" t="s">
        <v>9</v>
      </c>
      <c r="G163" s="4" t="s">
        <v>333</v>
      </c>
    </row>
    <row r="164" spans="1:7" x14ac:dyDescent="0.2">
      <c r="A164" s="1" t="s">
        <v>1027</v>
      </c>
      <c r="B164" s="1" t="s">
        <v>1033</v>
      </c>
      <c r="C164" s="1" t="s">
        <v>124</v>
      </c>
      <c r="D164" s="11">
        <v>1</v>
      </c>
      <c r="E164" s="9"/>
      <c r="F164" s="4" t="s">
        <v>9</v>
      </c>
      <c r="G164" s="4" t="s">
        <v>178</v>
      </c>
    </row>
    <row r="165" spans="1:7" x14ac:dyDescent="0.2">
      <c r="A165" s="1" t="s">
        <v>1027</v>
      </c>
      <c r="B165" s="1" t="s">
        <v>1035</v>
      </c>
      <c r="C165" s="1" t="s">
        <v>717</v>
      </c>
      <c r="D165" s="11">
        <v>8</v>
      </c>
      <c r="E165" s="9"/>
      <c r="F165" s="4" t="s">
        <v>39</v>
      </c>
      <c r="G165" s="4" t="s">
        <v>22</v>
      </c>
    </row>
    <row r="166" spans="1:7" x14ac:dyDescent="0.2">
      <c r="A166" s="1" t="s">
        <v>1027</v>
      </c>
      <c r="B166" s="1" t="s">
        <v>1035</v>
      </c>
      <c r="C166" s="1" t="s">
        <v>439</v>
      </c>
      <c r="D166" s="11">
        <v>30</v>
      </c>
      <c r="E166" s="9"/>
      <c r="F166" s="4" t="s">
        <v>9</v>
      </c>
      <c r="G166" s="4" t="s">
        <v>333</v>
      </c>
    </row>
    <row r="167" spans="1:7" x14ac:dyDescent="0.2">
      <c r="A167" s="1" t="s">
        <v>1027</v>
      </c>
      <c r="B167" s="1" t="s">
        <v>1035</v>
      </c>
      <c r="C167" s="1" t="s">
        <v>124</v>
      </c>
      <c r="D167" s="11">
        <v>1</v>
      </c>
      <c r="E167" s="9"/>
      <c r="F167" s="4" t="s">
        <v>9</v>
      </c>
      <c r="G167" s="4" t="s">
        <v>178</v>
      </c>
    </row>
    <row r="168" spans="1:7" x14ac:dyDescent="0.2">
      <c r="A168" s="1" t="s">
        <v>964</v>
      </c>
      <c r="B168" s="1" t="s">
        <v>952</v>
      </c>
      <c r="C168" s="1" t="s">
        <v>128</v>
      </c>
      <c r="D168" s="11">
        <v>6</v>
      </c>
      <c r="E168" s="9"/>
      <c r="F168" s="4" t="s">
        <v>39</v>
      </c>
      <c r="G168" s="4" t="s">
        <v>22</v>
      </c>
    </row>
    <row r="169" spans="1:7" x14ac:dyDescent="0.2">
      <c r="A169" s="1" t="s">
        <v>964</v>
      </c>
      <c r="B169" s="1" t="s">
        <v>952</v>
      </c>
      <c r="C169" s="1" t="s">
        <v>124</v>
      </c>
      <c r="D169" s="11">
        <v>1</v>
      </c>
      <c r="E169" s="9"/>
      <c r="F169" s="4" t="s">
        <v>9</v>
      </c>
      <c r="G169" s="4" t="s">
        <v>178</v>
      </c>
    </row>
    <row r="170" spans="1:7" x14ac:dyDescent="0.2">
      <c r="A170" s="1" t="s">
        <v>964</v>
      </c>
      <c r="B170" s="1" t="s">
        <v>950</v>
      </c>
      <c r="C170" s="1" t="s">
        <v>128</v>
      </c>
      <c r="D170" s="11">
        <v>18</v>
      </c>
      <c r="E170" s="9"/>
      <c r="F170" s="4" t="s">
        <v>39</v>
      </c>
      <c r="G170" s="4" t="s">
        <v>22</v>
      </c>
    </row>
    <row r="171" spans="1:7" x14ac:dyDescent="0.2">
      <c r="A171" s="1" t="s">
        <v>964</v>
      </c>
      <c r="B171" s="1" t="s">
        <v>950</v>
      </c>
      <c r="C171" s="1" t="s">
        <v>124</v>
      </c>
      <c r="D171" s="11">
        <v>1</v>
      </c>
      <c r="E171" s="9"/>
      <c r="F171" s="4" t="s">
        <v>9</v>
      </c>
      <c r="G171" s="4" t="s">
        <v>178</v>
      </c>
    </row>
    <row r="172" spans="1:7" x14ac:dyDescent="0.2">
      <c r="A172" s="1" t="s">
        <v>944</v>
      </c>
      <c r="B172" s="1" t="s">
        <v>952</v>
      </c>
      <c r="C172" s="1" t="s">
        <v>128</v>
      </c>
      <c r="D172" s="11">
        <v>20</v>
      </c>
      <c r="E172" s="9"/>
      <c r="F172" s="4" t="s">
        <v>39</v>
      </c>
      <c r="G172" s="4" t="s">
        <v>22</v>
      </c>
    </row>
    <row r="173" spans="1:7" x14ac:dyDescent="0.2">
      <c r="A173" s="1" t="s">
        <v>944</v>
      </c>
      <c r="B173" s="1" t="s">
        <v>952</v>
      </c>
      <c r="C173" s="1" t="s">
        <v>124</v>
      </c>
      <c r="D173" s="11">
        <v>1</v>
      </c>
      <c r="E173" s="9"/>
      <c r="F173" s="4" t="s">
        <v>9</v>
      </c>
      <c r="G173" s="4" t="s">
        <v>178</v>
      </c>
    </row>
    <row r="174" spans="1:7" x14ac:dyDescent="0.2">
      <c r="A174" s="1" t="s">
        <v>944</v>
      </c>
      <c r="B174" s="1" t="s">
        <v>950</v>
      </c>
      <c r="C174" s="1" t="s">
        <v>128</v>
      </c>
      <c r="D174" s="11">
        <v>50</v>
      </c>
      <c r="E174" s="9"/>
      <c r="F174" s="4" t="s">
        <v>39</v>
      </c>
      <c r="G174" s="4" t="s">
        <v>22</v>
      </c>
    </row>
    <row r="175" spans="1:7" x14ac:dyDescent="0.2">
      <c r="A175" s="1" t="s">
        <v>944</v>
      </c>
      <c r="B175" s="1" t="s">
        <v>950</v>
      </c>
      <c r="C175" s="1" t="s">
        <v>124</v>
      </c>
      <c r="D175" s="11">
        <v>1</v>
      </c>
      <c r="E175" s="9"/>
      <c r="F175" s="4" t="s">
        <v>9</v>
      </c>
      <c r="G175" s="4" t="s">
        <v>178</v>
      </c>
    </row>
    <row r="176" spans="1:7" x14ac:dyDescent="0.2">
      <c r="A176" s="1" t="s">
        <v>920</v>
      </c>
      <c r="B176" s="1" t="s">
        <v>115</v>
      </c>
      <c r="C176" s="1" t="s">
        <v>457</v>
      </c>
      <c r="D176" s="11">
        <v>75</v>
      </c>
      <c r="E176" s="9"/>
      <c r="F176" s="4" t="s">
        <v>9</v>
      </c>
      <c r="G176" s="4" t="s">
        <v>22</v>
      </c>
    </row>
    <row r="177" spans="1:7" x14ac:dyDescent="0.2">
      <c r="A177" s="1" t="s">
        <v>920</v>
      </c>
      <c r="B177" s="1" t="s">
        <v>115</v>
      </c>
      <c r="C177" s="1" t="s">
        <v>784</v>
      </c>
      <c r="D177" s="11">
        <v>150</v>
      </c>
      <c r="E177" s="9"/>
      <c r="F177" s="4" t="s">
        <v>39</v>
      </c>
      <c r="G177" s="4" t="s">
        <v>333</v>
      </c>
    </row>
    <row r="178" spans="1:7" x14ac:dyDescent="0.2">
      <c r="A178" s="1" t="s">
        <v>920</v>
      </c>
      <c r="B178" s="1" t="s">
        <v>115</v>
      </c>
      <c r="C178" s="1" t="s">
        <v>124</v>
      </c>
      <c r="D178" s="11">
        <v>1</v>
      </c>
      <c r="E178" s="9"/>
      <c r="F178" s="4" t="s">
        <v>9</v>
      </c>
      <c r="G178" s="4" t="s">
        <v>178</v>
      </c>
    </row>
    <row r="179" spans="1:7" x14ac:dyDescent="0.2">
      <c r="A179" s="1" t="s">
        <v>634</v>
      </c>
      <c r="B179" s="1" t="s">
        <v>115</v>
      </c>
      <c r="C179" s="1" t="s">
        <v>128</v>
      </c>
      <c r="D179" s="11">
        <v>5</v>
      </c>
      <c r="E179" s="9"/>
      <c r="F179" s="4" t="s">
        <v>39</v>
      </c>
      <c r="G179" s="4" t="s">
        <v>22</v>
      </c>
    </row>
    <row r="180" spans="1:7" x14ac:dyDescent="0.2">
      <c r="A180" s="1" t="s">
        <v>634</v>
      </c>
      <c r="B180" s="1" t="s">
        <v>115</v>
      </c>
      <c r="C180" s="1" t="s">
        <v>663</v>
      </c>
      <c r="D180" s="11">
        <v>125</v>
      </c>
      <c r="E180" s="9"/>
      <c r="F180" s="4" t="s">
        <v>9</v>
      </c>
      <c r="G180" s="4" t="s">
        <v>333</v>
      </c>
    </row>
    <row r="181" spans="1:7" x14ac:dyDescent="0.2">
      <c r="A181" s="1" t="s">
        <v>634</v>
      </c>
      <c r="B181" s="1" t="s">
        <v>115</v>
      </c>
      <c r="C181" s="1" t="s">
        <v>124</v>
      </c>
      <c r="D181" s="11">
        <v>1</v>
      </c>
      <c r="E181" s="9"/>
      <c r="F181" s="4" t="s">
        <v>9</v>
      </c>
      <c r="G181" s="4" t="s">
        <v>178</v>
      </c>
    </row>
    <row r="182" spans="1:7" x14ac:dyDescent="0.2">
      <c r="A182" s="1" t="s">
        <v>636</v>
      </c>
      <c r="B182" s="1" t="s">
        <v>115</v>
      </c>
      <c r="C182" s="1" t="s">
        <v>128</v>
      </c>
      <c r="D182" s="11">
        <v>5</v>
      </c>
      <c r="E182" s="9"/>
      <c r="F182" s="4" t="s">
        <v>39</v>
      </c>
      <c r="G182" s="4" t="s">
        <v>22</v>
      </c>
    </row>
    <row r="183" spans="1:7" x14ac:dyDescent="0.2">
      <c r="A183" s="1" t="s">
        <v>636</v>
      </c>
      <c r="B183" s="1" t="s">
        <v>115</v>
      </c>
      <c r="C183" s="1" t="s">
        <v>663</v>
      </c>
      <c r="D183" s="11">
        <v>125</v>
      </c>
      <c r="E183" s="9"/>
      <c r="F183" s="4" t="s">
        <v>9</v>
      </c>
      <c r="G183" s="4" t="s">
        <v>333</v>
      </c>
    </row>
    <row r="184" spans="1:7" x14ac:dyDescent="0.2">
      <c r="A184" s="1" t="s">
        <v>636</v>
      </c>
      <c r="B184" s="1" t="s">
        <v>115</v>
      </c>
      <c r="C184" s="1" t="s">
        <v>124</v>
      </c>
      <c r="D184" s="11">
        <v>1</v>
      </c>
      <c r="E184" s="9"/>
      <c r="F184" s="4" t="s">
        <v>9</v>
      </c>
      <c r="G184" s="4" t="s">
        <v>178</v>
      </c>
    </row>
    <row r="185" spans="1:7" x14ac:dyDescent="0.2">
      <c r="A185" s="1" t="s">
        <v>637</v>
      </c>
      <c r="B185" s="1" t="s">
        <v>115</v>
      </c>
      <c r="C185" s="1" t="s">
        <v>128</v>
      </c>
      <c r="D185" s="11">
        <v>5</v>
      </c>
      <c r="E185" s="9"/>
      <c r="F185" s="4" t="s">
        <v>39</v>
      </c>
      <c r="G185" s="4" t="s">
        <v>22</v>
      </c>
    </row>
    <row r="186" spans="1:7" x14ac:dyDescent="0.2">
      <c r="A186" s="1" t="s">
        <v>637</v>
      </c>
      <c r="B186" s="1" t="s">
        <v>115</v>
      </c>
      <c r="C186" s="1" t="s">
        <v>663</v>
      </c>
      <c r="D186" s="11">
        <v>125</v>
      </c>
      <c r="E186" s="9"/>
      <c r="F186" s="4" t="s">
        <v>9</v>
      </c>
      <c r="G186" s="4" t="s">
        <v>333</v>
      </c>
    </row>
    <row r="187" spans="1:7" x14ac:dyDescent="0.2">
      <c r="A187" s="1" t="s">
        <v>637</v>
      </c>
      <c r="B187" s="1" t="s">
        <v>115</v>
      </c>
      <c r="C187" s="1" t="s">
        <v>124</v>
      </c>
      <c r="D187" s="11">
        <v>1</v>
      </c>
      <c r="E187" s="9"/>
      <c r="F187" s="4" t="s">
        <v>9</v>
      </c>
      <c r="G187" s="4" t="s">
        <v>178</v>
      </c>
    </row>
    <row r="188" spans="1:7" x14ac:dyDescent="0.2">
      <c r="A188" s="1" t="s">
        <v>540</v>
      </c>
      <c r="B188" s="1" t="s">
        <v>115</v>
      </c>
      <c r="C188" s="1" t="s">
        <v>128</v>
      </c>
      <c r="D188" s="11">
        <v>65</v>
      </c>
      <c r="E188" s="9"/>
      <c r="F188" s="4" t="s">
        <v>39</v>
      </c>
      <c r="G188" s="4" t="s">
        <v>22</v>
      </c>
    </row>
    <row r="189" spans="1:7" x14ac:dyDescent="0.2">
      <c r="A189" s="1" t="s">
        <v>540</v>
      </c>
      <c r="B189" s="1" t="s">
        <v>115</v>
      </c>
      <c r="C189" s="1" t="s">
        <v>124</v>
      </c>
      <c r="D189" s="11">
        <v>1</v>
      </c>
      <c r="E189" s="9"/>
      <c r="F189" s="4" t="s">
        <v>9</v>
      </c>
      <c r="G189" s="4" t="s">
        <v>178</v>
      </c>
    </row>
    <row r="190" spans="1:7" x14ac:dyDescent="0.2">
      <c r="A190" s="1" t="s">
        <v>791</v>
      </c>
      <c r="B190" s="1" t="s">
        <v>115</v>
      </c>
      <c r="C190" s="1" t="s">
        <v>810</v>
      </c>
      <c r="D190" s="11">
        <v>10</v>
      </c>
      <c r="E190" s="9"/>
      <c r="F190" s="4" t="s">
        <v>9</v>
      </c>
      <c r="G190" s="4" t="s">
        <v>22</v>
      </c>
    </row>
    <row r="191" spans="1:7" x14ac:dyDescent="0.2">
      <c r="A191" s="1" t="s">
        <v>791</v>
      </c>
      <c r="B191" s="1" t="s">
        <v>115</v>
      </c>
      <c r="C191" s="1" t="s">
        <v>128</v>
      </c>
      <c r="D191" s="11">
        <v>75</v>
      </c>
      <c r="E191" s="9"/>
      <c r="F191" s="4" t="s">
        <v>39</v>
      </c>
      <c r="G191" s="4" t="s">
        <v>333</v>
      </c>
    </row>
    <row r="192" spans="1:7" x14ac:dyDescent="0.2">
      <c r="A192" s="1" t="s">
        <v>791</v>
      </c>
      <c r="B192" s="1" t="s">
        <v>115</v>
      </c>
      <c r="C192" s="1" t="s">
        <v>124</v>
      </c>
      <c r="D192" s="11">
        <v>1</v>
      </c>
      <c r="E192" s="9"/>
      <c r="F192" s="4" t="s">
        <v>9</v>
      </c>
      <c r="G192" s="4" t="s">
        <v>178</v>
      </c>
    </row>
    <row r="193" spans="1:7" x14ac:dyDescent="0.2">
      <c r="A193" s="1" t="s">
        <v>793</v>
      </c>
      <c r="B193" s="1" t="s">
        <v>115</v>
      </c>
      <c r="C193" s="1" t="s">
        <v>810</v>
      </c>
      <c r="D193" s="11">
        <v>10</v>
      </c>
      <c r="E193" s="9"/>
      <c r="F193" s="4" t="s">
        <v>9</v>
      </c>
      <c r="G193" s="4" t="s">
        <v>22</v>
      </c>
    </row>
    <row r="194" spans="1:7" x14ac:dyDescent="0.2">
      <c r="A194" s="1" t="s">
        <v>793</v>
      </c>
      <c r="B194" s="1" t="s">
        <v>115</v>
      </c>
      <c r="C194" s="1" t="s">
        <v>128</v>
      </c>
      <c r="D194" s="11">
        <v>75</v>
      </c>
      <c r="E194" s="9"/>
      <c r="F194" s="4" t="s">
        <v>39</v>
      </c>
      <c r="G194" s="4" t="s">
        <v>333</v>
      </c>
    </row>
    <row r="195" spans="1:7" x14ac:dyDescent="0.2">
      <c r="A195" s="1" t="s">
        <v>793</v>
      </c>
      <c r="B195" s="1" t="s">
        <v>115</v>
      </c>
      <c r="C195" s="1" t="s">
        <v>124</v>
      </c>
      <c r="D195" s="11">
        <v>1</v>
      </c>
      <c r="E195" s="9"/>
      <c r="F195" s="4" t="s">
        <v>9</v>
      </c>
      <c r="G195" s="4" t="s">
        <v>178</v>
      </c>
    </row>
    <row r="196" spans="1:7" x14ac:dyDescent="0.2">
      <c r="A196" s="1" t="s">
        <v>794</v>
      </c>
      <c r="B196" s="1" t="s">
        <v>115</v>
      </c>
      <c r="C196" s="1" t="s">
        <v>810</v>
      </c>
      <c r="D196" s="11">
        <v>10</v>
      </c>
      <c r="E196" s="9"/>
      <c r="F196" s="4" t="s">
        <v>9</v>
      </c>
      <c r="G196" s="4" t="s">
        <v>22</v>
      </c>
    </row>
    <row r="197" spans="1:7" x14ac:dyDescent="0.2">
      <c r="A197" s="1" t="s">
        <v>794</v>
      </c>
      <c r="B197" s="1" t="s">
        <v>115</v>
      </c>
      <c r="C197" s="1" t="s">
        <v>128</v>
      </c>
      <c r="D197" s="11">
        <v>75</v>
      </c>
      <c r="E197" s="9"/>
      <c r="F197" s="4" t="s">
        <v>39</v>
      </c>
      <c r="G197" s="4" t="s">
        <v>333</v>
      </c>
    </row>
    <row r="198" spans="1:7" x14ac:dyDescent="0.2">
      <c r="A198" s="1" t="s">
        <v>794</v>
      </c>
      <c r="B198" s="1" t="s">
        <v>115</v>
      </c>
      <c r="C198" s="1" t="s">
        <v>124</v>
      </c>
      <c r="D198" s="11">
        <v>1</v>
      </c>
      <c r="E198" s="9"/>
      <c r="F198" s="4" t="s">
        <v>9</v>
      </c>
      <c r="G198" s="4" t="s">
        <v>178</v>
      </c>
    </row>
    <row r="199" spans="1:7" x14ac:dyDescent="0.2">
      <c r="A199" s="1" t="s">
        <v>906</v>
      </c>
      <c r="B199" s="1" t="s">
        <v>115</v>
      </c>
      <c r="C199" s="1" t="s">
        <v>810</v>
      </c>
      <c r="D199" s="11">
        <v>6</v>
      </c>
      <c r="E199" s="9"/>
      <c r="F199" s="4" t="s">
        <v>39</v>
      </c>
      <c r="G199" s="4" t="s">
        <v>22</v>
      </c>
    </row>
    <row r="200" spans="1:7" x14ac:dyDescent="0.2">
      <c r="A200" s="1" t="s">
        <v>906</v>
      </c>
      <c r="B200" s="1" t="s">
        <v>115</v>
      </c>
      <c r="C200" s="1" t="s">
        <v>128</v>
      </c>
      <c r="D200" s="11">
        <v>67</v>
      </c>
      <c r="E200" s="9"/>
      <c r="F200" s="4" t="s">
        <v>9</v>
      </c>
      <c r="G200" s="4" t="s">
        <v>333</v>
      </c>
    </row>
    <row r="201" spans="1:7" x14ac:dyDescent="0.2">
      <c r="A201" s="1" t="s">
        <v>906</v>
      </c>
      <c r="B201" s="1" t="s">
        <v>115</v>
      </c>
      <c r="C201" s="1" t="s">
        <v>124</v>
      </c>
      <c r="D201" s="11">
        <v>1</v>
      </c>
      <c r="E201" s="9"/>
      <c r="F201" s="4" t="s">
        <v>9</v>
      </c>
      <c r="G201" s="4" t="s">
        <v>178</v>
      </c>
    </row>
    <row r="202" spans="1:7" x14ac:dyDescent="0.2">
      <c r="A202" s="1" t="s">
        <v>913</v>
      </c>
      <c r="B202" s="1" t="s">
        <v>115</v>
      </c>
      <c r="C202" s="1" t="s">
        <v>810</v>
      </c>
      <c r="D202" s="11">
        <v>6</v>
      </c>
      <c r="E202" s="9"/>
      <c r="F202" s="4" t="s">
        <v>39</v>
      </c>
      <c r="G202" s="4" t="s">
        <v>22</v>
      </c>
    </row>
    <row r="203" spans="1:7" x14ac:dyDescent="0.2">
      <c r="A203" s="1" t="s">
        <v>913</v>
      </c>
      <c r="B203" s="1" t="s">
        <v>115</v>
      </c>
      <c r="C203" s="1" t="s">
        <v>128</v>
      </c>
      <c r="D203" s="11">
        <v>60</v>
      </c>
      <c r="E203" s="9"/>
      <c r="F203" s="4" t="s">
        <v>9</v>
      </c>
      <c r="G203" s="4" t="s">
        <v>333</v>
      </c>
    </row>
    <row r="204" spans="1:7" x14ac:dyDescent="0.2">
      <c r="A204" s="1" t="s">
        <v>913</v>
      </c>
      <c r="B204" s="1" t="s">
        <v>115</v>
      </c>
      <c r="C204" s="1" t="s">
        <v>124</v>
      </c>
      <c r="D204" s="11">
        <v>1</v>
      </c>
      <c r="E204" s="9"/>
      <c r="F204" s="4" t="s">
        <v>9</v>
      </c>
      <c r="G204" s="4" t="s">
        <v>178</v>
      </c>
    </row>
    <row r="205" spans="1:7" x14ac:dyDescent="0.2">
      <c r="A205" s="1" t="s">
        <v>628</v>
      </c>
      <c r="B205" s="1" t="s">
        <v>115</v>
      </c>
      <c r="C205" s="1" t="s">
        <v>553</v>
      </c>
      <c r="D205" s="11">
        <v>40</v>
      </c>
      <c r="E205" s="9"/>
      <c r="F205" s="1" t="s">
        <v>9</v>
      </c>
      <c r="G205" s="1">
        <v>1</v>
      </c>
    </row>
    <row r="206" spans="1:7" x14ac:dyDescent="0.2">
      <c r="A206" s="1" t="s">
        <v>628</v>
      </c>
      <c r="B206" s="1" t="s">
        <v>115</v>
      </c>
      <c r="C206" s="1" t="s">
        <v>554</v>
      </c>
      <c r="D206" s="11">
        <v>80</v>
      </c>
      <c r="E206" s="9"/>
      <c r="F206" s="1" t="s">
        <v>39</v>
      </c>
      <c r="G206" s="1">
        <v>2</v>
      </c>
    </row>
    <row r="207" spans="1:7" x14ac:dyDescent="0.2">
      <c r="A207" s="1" t="s">
        <v>628</v>
      </c>
      <c r="B207" s="1" t="s">
        <v>115</v>
      </c>
      <c r="C207" s="1" t="s">
        <v>555</v>
      </c>
      <c r="D207" s="11">
        <v>107</v>
      </c>
      <c r="E207" s="9"/>
      <c r="F207" s="1" t="s">
        <v>9</v>
      </c>
      <c r="G207" s="1">
        <v>3</v>
      </c>
    </row>
    <row r="208" spans="1:7" x14ac:dyDescent="0.2">
      <c r="A208" s="1" t="s">
        <v>628</v>
      </c>
      <c r="B208" s="1" t="s">
        <v>115</v>
      </c>
      <c r="C208" s="1" t="s">
        <v>124</v>
      </c>
      <c r="D208" s="11">
        <v>1</v>
      </c>
      <c r="E208" s="9"/>
      <c r="F208" s="1" t="s">
        <v>9</v>
      </c>
      <c r="G208" s="1">
        <v>99</v>
      </c>
    </row>
    <row r="209" spans="1:7" x14ac:dyDescent="0.2">
      <c r="A209" s="1" t="s">
        <v>780</v>
      </c>
      <c r="B209" s="1" t="s">
        <v>115</v>
      </c>
      <c r="C209" s="1" t="s">
        <v>760</v>
      </c>
      <c r="D209" s="11">
        <v>10</v>
      </c>
      <c r="E209" s="9"/>
      <c r="F209" s="1" t="s">
        <v>39</v>
      </c>
      <c r="G209" s="1">
        <v>1</v>
      </c>
    </row>
    <row r="210" spans="1:7" x14ac:dyDescent="0.2">
      <c r="A210" s="1" t="s">
        <v>780</v>
      </c>
      <c r="B210" s="1" t="s">
        <v>115</v>
      </c>
      <c r="C210" s="1" t="s">
        <v>457</v>
      </c>
      <c r="D210" s="11">
        <v>140</v>
      </c>
      <c r="E210" s="9"/>
      <c r="F210" s="1" t="s">
        <v>9</v>
      </c>
      <c r="G210" s="1">
        <v>2</v>
      </c>
    </row>
    <row r="211" spans="1:7" x14ac:dyDescent="0.2">
      <c r="A211" s="1" t="s">
        <v>780</v>
      </c>
      <c r="B211" s="1" t="s">
        <v>115</v>
      </c>
      <c r="C211" s="1" t="s">
        <v>784</v>
      </c>
      <c r="D211" s="11">
        <v>280</v>
      </c>
      <c r="E211" s="9"/>
      <c r="F211" s="1" t="s">
        <v>9</v>
      </c>
      <c r="G211" s="1">
        <v>3</v>
      </c>
    </row>
    <row r="212" spans="1:7" x14ac:dyDescent="0.2">
      <c r="A212" s="1" t="s">
        <v>780</v>
      </c>
      <c r="B212" s="1" t="s">
        <v>115</v>
      </c>
      <c r="C212" s="1" t="s">
        <v>124</v>
      </c>
      <c r="D212" s="11">
        <v>1</v>
      </c>
      <c r="E212" s="9"/>
      <c r="F212" s="1" t="s">
        <v>9</v>
      </c>
      <c r="G212" s="1">
        <v>99</v>
      </c>
    </row>
    <row r="213" spans="1:7" x14ac:dyDescent="0.2">
      <c r="A213" s="1" t="s">
        <v>739</v>
      </c>
      <c r="B213" s="1" t="s">
        <v>115</v>
      </c>
      <c r="C213" s="1" t="s">
        <v>725</v>
      </c>
      <c r="D213" s="1">
        <v>125</v>
      </c>
      <c r="E213" s="1"/>
      <c r="F213" s="1" t="s">
        <v>9</v>
      </c>
      <c r="G213" s="1">
        <v>1</v>
      </c>
    </row>
    <row r="214" spans="1:7" x14ac:dyDescent="0.2">
      <c r="A214" s="1" t="s">
        <v>739</v>
      </c>
      <c r="B214" s="1" t="s">
        <v>115</v>
      </c>
      <c r="C214" s="1" t="s">
        <v>717</v>
      </c>
      <c r="D214" s="1">
        <v>200</v>
      </c>
      <c r="E214" s="1"/>
      <c r="F214" s="1" t="s">
        <v>39</v>
      </c>
      <c r="G214" s="1">
        <v>2</v>
      </c>
    </row>
    <row r="215" spans="1:7" x14ac:dyDescent="0.2">
      <c r="A215" s="1" t="s">
        <v>739</v>
      </c>
      <c r="B215" s="1" t="s">
        <v>115</v>
      </c>
      <c r="C215" s="1" t="s">
        <v>124</v>
      </c>
      <c r="D215" s="1">
        <v>1</v>
      </c>
      <c r="E215" s="1"/>
      <c r="F215" s="1" t="s">
        <v>9</v>
      </c>
      <c r="G215" s="1">
        <v>99</v>
      </c>
    </row>
    <row r="216" spans="1:7" x14ac:dyDescent="0.2">
      <c r="A216" s="1" t="s">
        <v>738</v>
      </c>
      <c r="B216" s="1" t="s">
        <v>115</v>
      </c>
      <c r="C216" s="1" t="s">
        <v>725</v>
      </c>
      <c r="D216" s="1">
        <v>125</v>
      </c>
      <c r="E216" s="1"/>
      <c r="F216" s="1" t="s">
        <v>9</v>
      </c>
      <c r="G216" s="1">
        <v>1</v>
      </c>
    </row>
    <row r="217" spans="1:7" x14ac:dyDescent="0.2">
      <c r="A217" s="1" t="s">
        <v>738</v>
      </c>
      <c r="B217" s="1" t="s">
        <v>115</v>
      </c>
      <c r="C217" s="1" t="s">
        <v>717</v>
      </c>
      <c r="D217" s="1">
        <v>200</v>
      </c>
      <c r="E217" s="1"/>
      <c r="F217" s="1" t="s">
        <v>39</v>
      </c>
      <c r="G217" s="1">
        <v>2</v>
      </c>
    </row>
    <row r="218" spans="1:7" x14ac:dyDescent="0.2">
      <c r="A218" s="1" t="s">
        <v>738</v>
      </c>
      <c r="B218" s="1" t="s">
        <v>115</v>
      </c>
      <c r="C218" s="1" t="s">
        <v>124</v>
      </c>
      <c r="D218" s="1">
        <v>1</v>
      </c>
      <c r="E218" s="1"/>
      <c r="F218" s="1" t="s">
        <v>9</v>
      </c>
      <c r="G218" s="1">
        <v>99</v>
      </c>
    </row>
    <row r="219" spans="1:7" x14ac:dyDescent="0.2">
      <c r="A219" s="1" t="s">
        <v>742</v>
      </c>
      <c r="B219" s="1" t="s">
        <v>115</v>
      </c>
      <c r="C219" s="1" t="s">
        <v>725</v>
      </c>
      <c r="D219" s="1">
        <v>125</v>
      </c>
      <c r="E219" s="1"/>
      <c r="F219" s="1" t="s">
        <v>9</v>
      </c>
      <c r="G219" s="1">
        <v>1</v>
      </c>
    </row>
    <row r="220" spans="1:7" x14ac:dyDescent="0.2">
      <c r="A220" s="1" t="s">
        <v>742</v>
      </c>
      <c r="B220" s="1" t="s">
        <v>115</v>
      </c>
      <c r="C220" s="1" t="s">
        <v>717</v>
      </c>
      <c r="D220" s="1">
        <v>200</v>
      </c>
      <c r="E220" s="1"/>
      <c r="F220" s="1" t="s">
        <v>39</v>
      </c>
      <c r="G220" s="1">
        <v>2</v>
      </c>
    </row>
    <row r="221" spans="1:7" x14ac:dyDescent="0.2">
      <c r="A221" s="1" t="s">
        <v>742</v>
      </c>
      <c r="B221" s="1" t="s">
        <v>115</v>
      </c>
      <c r="C221" s="1" t="s">
        <v>124</v>
      </c>
      <c r="D221" s="1">
        <v>1</v>
      </c>
      <c r="E221" s="1"/>
      <c r="F221" s="1" t="s">
        <v>9</v>
      </c>
      <c r="G221" s="1">
        <v>99</v>
      </c>
    </row>
    <row r="222" spans="1:7" x14ac:dyDescent="0.2">
      <c r="A222" s="1" t="s">
        <v>279</v>
      </c>
      <c r="B222" s="1" t="s">
        <v>115</v>
      </c>
      <c r="C222" s="1" t="s">
        <v>655</v>
      </c>
      <c r="D222" s="1"/>
      <c r="E222" s="1">
        <v>150</v>
      </c>
      <c r="F222" s="1" t="s">
        <v>9</v>
      </c>
      <c r="G222" s="1">
        <v>1</v>
      </c>
    </row>
    <row r="223" spans="1:7" x14ac:dyDescent="0.2">
      <c r="A223" s="1" t="s">
        <v>279</v>
      </c>
      <c r="B223" s="1" t="s">
        <v>115</v>
      </c>
      <c r="C223" s="1" t="s">
        <v>130</v>
      </c>
      <c r="D223" s="1"/>
      <c r="E223" s="1">
        <v>200</v>
      </c>
      <c r="F223" s="1" t="s">
        <v>39</v>
      </c>
      <c r="G223" s="1">
        <v>2</v>
      </c>
    </row>
    <row r="224" spans="1:7" x14ac:dyDescent="0.2">
      <c r="A224" s="1" t="s">
        <v>279</v>
      </c>
      <c r="B224" s="1" t="s">
        <v>115</v>
      </c>
      <c r="C224" s="1" t="s">
        <v>192</v>
      </c>
      <c r="D224" s="1"/>
      <c r="E224" s="1">
        <v>250</v>
      </c>
      <c r="F224" s="1" t="s">
        <v>9</v>
      </c>
      <c r="G224" s="1">
        <v>3</v>
      </c>
    </row>
    <row r="225" spans="1:7" x14ac:dyDescent="0.2">
      <c r="A225" s="1" t="s">
        <v>279</v>
      </c>
      <c r="B225" s="1" t="s">
        <v>115</v>
      </c>
      <c r="C225" s="1" t="s">
        <v>126</v>
      </c>
      <c r="D225" s="1"/>
      <c r="E225" s="1">
        <v>1</v>
      </c>
      <c r="F225" s="1" t="s">
        <v>9</v>
      </c>
      <c r="G225" s="1">
        <v>99</v>
      </c>
    </row>
    <row r="226" spans="1:7" x14ac:dyDescent="0.2">
      <c r="A226" s="1" t="s">
        <v>271</v>
      </c>
      <c r="B226" s="1" t="s">
        <v>115</v>
      </c>
      <c r="C226" s="1" t="s">
        <v>655</v>
      </c>
      <c r="D226" s="1"/>
      <c r="E226" s="1">
        <v>150</v>
      </c>
      <c r="F226" s="1" t="s">
        <v>9</v>
      </c>
      <c r="G226" s="1">
        <v>1</v>
      </c>
    </row>
    <row r="227" spans="1:7" x14ac:dyDescent="0.2">
      <c r="A227" s="1" t="s">
        <v>271</v>
      </c>
      <c r="B227" s="1" t="s">
        <v>115</v>
      </c>
      <c r="C227" s="1" t="s">
        <v>130</v>
      </c>
      <c r="D227" s="1"/>
      <c r="E227" s="1">
        <v>200</v>
      </c>
      <c r="F227" s="1" t="s">
        <v>39</v>
      </c>
      <c r="G227" s="1">
        <v>2</v>
      </c>
    </row>
    <row r="228" spans="1:7" x14ac:dyDescent="0.2">
      <c r="A228" s="1" t="s">
        <v>271</v>
      </c>
      <c r="B228" s="1" t="s">
        <v>115</v>
      </c>
      <c r="C228" s="1" t="s">
        <v>192</v>
      </c>
      <c r="D228" s="1"/>
      <c r="E228" s="1">
        <v>250</v>
      </c>
      <c r="F228" s="1" t="s">
        <v>9</v>
      </c>
      <c r="G228" s="1">
        <v>3</v>
      </c>
    </row>
    <row r="229" spans="1:7" x14ac:dyDescent="0.2">
      <c r="A229" s="1" t="s">
        <v>271</v>
      </c>
      <c r="B229" s="1" t="s">
        <v>115</v>
      </c>
      <c r="C229" s="1" t="s">
        <v>126</v>
      </c>
      <c r="D229" s="1"/>
      <c r="E229" s="1">
        <v>1</v>
      </c>
      <c r="F229" s="1" t="s">
        <v>9</v>
      </c>
      <c r="G229" s="1">
        <v>99</v>
      </c>
    </row>
    <row r="230" spans="1:7" x14ac:dyDescent="0.2">
      <c r="A230" s="1" t="s">
        <v>836</v>
      </c>
      <c r="B230" s="1" t="s">
        <v>115</v>
      </c>
      <c r="C230" s="1" t="s">
        <v>553</v>
      </c>
      <c r="D230" s="1">
        <v>73</v>
      </c>
      <c r="E230" s="1"/>
      <c r="F230" s="1" t="s">
        <v>9</v>
      </c>
      <c r="G230" s="1">
        <v>1</v>
      </c>
    </row>
    <row r="231" spans="1:7" x14ac:dyDescent="0.2">
      <c r="A231" s="1" t="s">
        <v>836</v>
      </c>
      <c r="B231" s="1" t="s">
        <v>115</v>
      </c>
      <c r="C231" s="1" t="s">
        <v>554</v>
      </c>
      <c r="D231" s="1">
        <v>109</v>
      </c>
      <c r="E231" s="1"/>
      <c r="F231" s="1" t="s">
        <v>39</v>
      </c>
      <c r="G231" s="1">
        <v>2</v>
      </c>
    </row>
    <row r="232" spans="1:7" x14ac:dyDescent="0.2">
      <c r="A232" s="1" t="s">
        <v>836</v>
      </c>
      <c r="B232" s="1" t="s">
        <v>115</v>
      </c>
      <c r="C232" s="1" t="s">
        <v>555</v>
      </c>
      <c r="D232" s="1">
        <v>142</v>
      </c>
      <c r="E232" s="1"/>
      <c r="F232" s="1" t="s">
        <v>9</v>
      </c>
      <c r="G232" s="1">
        <v>3</v>
      </c>
    </row>
    <row r="233" spans="1:7" x14ac:dyDescent="0.2">
      <c r="A233" s="1" t="s">
        <v>836</v>
      </c>
      <c r="B233" s="1" t="s">
        <v>115</v>
      </c>
      <c r="C233" s="1" t="s">
        <v>124</v>
      </c>
      <c r="D233" s="1">
        <v>1</v>
      </c>
      <c r="E233" s="1"/>
      <c r="F233" s="1" t="s">
        <v>9</v>
      </c>
      <c r="G233" s="1">
        <v>99</v>
      </c>
    </row>
    <row r="234" spans="1:7" x14ac:dyDescent="0.2">
      <c r="A234" s="1" t="s">
        <v>623</v>
      </c>
      <c r="B234" s="1" t="s">
        <v>115</v>
      </c>
      <c r="C234" s="1" t="s">
        <v>553</v>
      </c>
      <c r="D234" s="1">
        <v>70</v>
      </c>
      <c r="E234" s="1"/>
      <c r="F234" s="1" t="s">
        <v>9</v>
      </c>
      <c r="G234" s="1">
        <v>1</v>
      </c>
    </row>
    <row r="235" spans="1:7" x14ac:dyDescent="0.2">
      <c r="A235" s="1" t="s">
        <v>623</v>
      </c>
      <c r="B235" s="1" t="s">
        <v>115</v>
      </c>
      <c r="C235" s="1" t="s">
        <v>554</v>
      </c>
      <c r="D235" s="1">
        <v>130</v>
      </c>
      <c r="E235" s="1"/>
      <c r="F235" s="1" t="s">
        <v>39</v>
      </c>
      <c r="G235" s="1">
        <v>2</v>
      </c>
    </row>
    <row r="236" spans="1:7" x14ac:dyDescent="0.2">
      <c r="A236" s="1" t="s">
        <v>623</v>
      </c>
      <c r="B236" s="1" t="s">
        <v>115</v>
      </c>
      <c r="C236" s="1" t="s">
        <v>555</v>
      </c>
      <c r="D236" s="1">
        <v>170</v>
      </c>
      <c r="E236" s="1"/>
      <c r="F236" s="1" t="s">
        <v>9</v>
      </c>
      <c r="G236" s="1">
        <v>3</v>
      </c>
    </row>
    <row r="237" spans="1:7" x14ac:dyDescent="0.2">
      <c r="A237" s="1" t="s">
        <v>623</v>
      </c>
      <c r="B237" s="1" t="s">
        <v>115</v>
      </c>
      <c r="C237" s="1" t="s">
        <v>124</v>
      </c>
      <c r="D237" s="1">
        <v>1</v>
      </c>
      <c r="E237" s="1"/>
      <c r="F237" s="1" t="s">
        <v>9</v>
      </c>
      <c r="G237" s="1">
        <v>99</v>
      </c>
    </row>
    <row r="238" spans="1:7" x14ac:dyDescent="0.2">
      <c r="A238" s="1" t="s">
        <v>340</v>
      </c>
      <c r="B238" s="1" t="s">
        <v>115</v>
      </c>
      <c r="C238" s="1" t="s">
        <v>655</v>
      </c>
      <c r="D238" s="1"/>
      <c r="E238" s="1">
        <v>150</v>
      </c>
      <c r="F238" s="1" t="s">
        <v>9</v>
      </c>
      <c r="G238" s="1">
        <v>1</v>
      </c>
    </row>
    <row r="239" spans="1:7" x14ac:dyDescent="0.2">
      <c r="A239" s="1" t="s">
        <v>340</v>
      </c>
      <c r="B239" s="1" t="s">
        <v>115</v>
      </c>
      <c r="C239" s="1" t="s">
        <v>130</v>
      </c>
      <c r="D239" s="1"/>
      <c r="E239" s="1">
        <v>200</v>
      </c>
      <c r="F239" s="1" t="s">
        <v>39</v>
      </c>
      <c r="G239" s="1">
        <v>2</v>
      </c>
    </row>
    <row r="240" spans="1:7" x14ac:dyDescent="0.2">
      <c r="A240" s="1" t="s">
        <v>340</v>
      </c>
      <c r="B240" s="1" t="s">
        <v>115</v>
      </c>
      <c r="C240" s="1" t="s">
        <v>656</v>
      </c>
      <c r="D240" s="1"/>
      <c r="E240" s="1">
        <v>250</v>
      </c>
      <c r="F240" s="1" t="s">
        <v>9</v>
      </c>
      <c r="G240" s="1">
        <v>3</v>
      </c>
    </row>
    <row r="241" spans="1:7" x14ac:dyDescent="0.2">
      <c r="A241" s="1" t="s">
        <v>340</v>
      </c>
      <c r="B241" s="1" t="s">
        <v>115</v>
      </c>
      <c r="C241" s="1" t="s">
        <v>126</v>
      </c>
      <c r="D241" s="1"/>
      <c r="E241" s="1">
        <v>1</v>
      </c>
      <c r="F241" s="1" t="s">
        <v>9</v>
      </c>
      <c r="G241" s="1">
        <v>99</v>
      </c>
    </row>
    <row r="242" spans="1:7" x14ac:dyDescent="0.2">
      <c r="A242" s="1" t="s">
        <v>925</v>
      </c>
      <c r="B242" s="1" t="s">
        <v>115</v>
      </c>
      <c r="C242" s="1" t="s">
        <v>862</v>
      </c>
      <c r="D242" s="1">
        <v>150</v>
      </c>
      <c r="E242" s="1"/>
      <c r="F242" s="1" t="s">
        <v>39</v>
      </c>
      <c r="G242" s="1">
        <v>1</v>
      </c>
    </row>
    <row r="243" spans="1:7" x14ac:dyDescent="0.2">
      <c r="A243" s="1" t="s">
        <v>925</v>
      </c>
      <c r="B243" s="1" t="s">
        <v>115</v>
      </c>
      <c r="C243" s="1" t="s">
        <v>124</v>
      </c>
      <c r="D243" s="1">
        <v>1</v>
      </c>
      <c r="E243" s="1"/>
      <c r="F243" s="1" t="s">
        <v>9</v>
      </c>
      <c r="G243" s="1">
        <v>99</v>
      </c>
    </row>
    <row r="244" spans="1:7" x14ac:dyDescent="0.2">
      <c r="A244" s="1" t="s">
        <v>930</v>
      </c>
      <c r="B244" s="1" t="s">
        <v>115</v>
      </c>
      <c r="C244" s="1" t="s">
        <v>128</v>
      </c>
      <c r="D244" s="1">
        <v>15</v>
      </c>
      <c r="E244" s="1"/>
      <c r="F244" s="1" t="s">
        <v>39</v>
      </c>
      <c r="G244" s="1">
        <v>1</v>
      </c>
    </row>
    <row r="245" spans="1:7" x14ac:dyDescent="0.2">
      <c r="A245" s="1" t="s">
        <v>930</v>
      </c>
      <c r="B245" s="1" t="s">
        <v>115</v>
      </c>
      <c r="C245" s="1" t="s">
        <v>124</v>
      </c>
      <c r="D245" s="1">
        <v>1</v>
      </c>
      <c r="E245" s="1"/>
      <c r="F245" s="1" t="s">
        <v>9</v>
      </c>
      <c r="G245" s="1">
        <v>99</v>
      </c>
    </row>
    <row r="246" spans="1:7" x14ac:dyDescent="0.2">
      <c r="A246" s="1" t="s">
        <v>434</v>
      </c>
      <c r="B246" s="1" t="s">
        <v>115</v>
      </c>
      <c r="C246" s="1" t="s">
        <v>439</v>
      </c>
      <c r="D246" s="1">
        <v>20</v>
      </c>
      <c r="E246" s="1"/>
      <c r="F246" s="1" t="s">
        <v>9</v>
      </c>
      <c r="G246" s="1">
        <v>1</v>
      </c>
    </row>
    <row r="247" spans="1:7" x14ac:dyDescent="0.2">
      <c r="A247" s="1" t="s">
        <v>434</v>
      </c>
      <c r="B247" s="1" t="s">
        <v>115</v>
      </c>
      <c r="C247" s="1" t="s">
        <v>442</v>
      </c>
      <c r="D247" s="1">
        <v>20</v>
      </c>
      <c r="E247" s="1"/>
      <c r="F247" s="1" t="s">
        <v>39</v>
      </c>
      <c r="G247" s="1">
        <v>2</v>
      </c>
    </row>
    <row r="248" spans="1:7" x14ac:dyDescent="0.2">
      <c r="A248" s="1" t="s">
        <v>434</v>
      </c>
      <c r="B248" s="1" t="s">
        <v>115</v>
      </c>
      <c r="C248" s="1" t="s">
        <v>124</v>
      </c>
      <c r="D248" s="1">
        <v>1</v>
      </c>
      <c r="E248" s="1"/>
      <c r="F248" s="1" t="s">
        <v>9</v>
      </c>
      <c r="G248" s="1">
        <v>99</v>
      </c>
    </row>
    <row r="249" spans="1:7" x14ac:dyDescent="0.2">
      <c r="A249" s="1" t="s">
        <v>828</v>
      </c>
      <c r="B249" s="1" t="s">
        <v>579</v>
      </c>
      <c r="C249" s="1" t="s">
        <v>553</v>
      </c>
      <c r="D249" s="1">
        <v>90</v>
      </c>
      <c r="E249" s="1"/>
      <c r="F249" s="1" t="s">
        <v>9</v>
      </c>
      <c r="G249" s="1">
        <v>1</v>
      </c>
    </row>
    <row r="250" spans="1:7" x14ac:dyDescent="0.2">
      <c r="A250" s="1" t="s">
        <v>828</v>
      </c>
      <c r="B250" s="1" t="s">
        <v>579</v>
      </c>
      <c r="C250" s="1" t="s">
        <v>554</v>
      </c>
      <c r="D250" s="1">
        <v>135</v>
      </c>
      <c r="E250" s="1"/>
      <c r="F250" s="1" t="s">
        <v>39</v>
      </c>
      <c r="G250" s="1">
        <v>2</v>
      </c>
    </row>
    <row r="251" spans="1:7" x14ac:dyDescent="0.2">
      <c r="A251" s="1" t="s">
        <v>828</v>
      </c>
      <c r="B251" s="1" t="s">
        <v>579</v>
      </c>
      <c r="C251" s="1" t="s">
        <v>555</v>
      </c>
      <c r="D251" s="1">
        <v>175</v>
      </c>
      <c r="E251" s="1"/>
      <c r="F251" s="1" t="s">
        <v>9</v>
      </c>
      <c r="G251" s="1">
        <v>3</v>
      </c>
    </row>
    <row r="252" spans="1:7" x14ac:dyDescent="0.2">
      <c r="A252" s="1" t="s">
        <v>828</v>
      </c>
      <c r="B252" s="1" t="s">
        <v>579</v>
      </c>
      <c r="C252" s="1" t="s">
        <v>124</v>
      </c>
      <c r="D252" s="1">
        <v>1</v>
      </c>
      <c r="E252" s="1"/>
      <c r="F252" s="1" t="s">
        <v>9</v>
      </c>
      <c r="G252" s="1">
        <v>99</v>
      </c>
    </row>
    <row r="253" spans="1:7" x14ac:dyDescent="0.2">
      <c r="A253" s="1" t="s">
        <v>828</v>
      </c>
      <c r="B253" s="1" t="s">
        <v>581</v>
      </c>
      <c r="C253" s="1" t="s">
        <v>553</v>
      </c>
      <c r="D253" s="1">
        <v>74</v>
      </c>
      <c r="E253" s="1"/>
      <c r="F253" s="1" t="s">
        <v>9</v>
      </c>
      <c r="G253" s="1">
        <v>1</v>
      </c>
    </row>
    <row r="254" spans="1:7" x14ac:dyDescent="0.2">
      <c r="A254" s="1" t="s">
        <v>828</v>
      </c>
      <c r="B254" s="1" t="s">
        <v>581</v>
      </c>
      <c r="C254" s="1" t="s">
        <v>554</v>
      </c>
      <c r="D254" s="1">
        <v>111</v>
      </c>
      <c r="E254" s="1"/>
      <c r="F254" s="1" t="s">
        <v>39</v>
      </c>
      <c r="G254" s="1">
        <v>2</v>
      </c>
    </row>
    <row r="255" spans="1:7" x14ac:dyDescent="0.2">
      <c r="A255" s="1" t="s">
        <v>828</v>
      </c>
      <c r="B255" s="1" t="s">
        <v>581</v>
      </c>
      <c r="C255" s="1" t="s">
        <v>555</v>
      </c>
      <c r="D255" s="1">
        <v>144</v>
      </c>
      <c r="E255" s="1"/>
      <c r="F255" s="1" t="s">
        <v>9</v>
      </c>
      <c r="G255" s="1">
        <v>3</v>
      </c>
    </row>
    <row r="256" spans="1:7" x14ac:dyDescent="0.2">
      <c r="A256" s="1" t="s">
        <v>828</v>
      </c>
      <c r="B256" s="1" t="s">
        <v>581</v>
      </c>
      <c r="C256" s="1" t="s">
        <v>124</v>
      </c>
      <c r="D256" s="1">
        <v>1</v>
      </c>
      <c r="E256" s="1"/>
      <c r="F256" s="1" t="s">
        <v>9</v>
      </c>
      <c r="G256" s="1">
        <v>99</v>
      </c>
    </row>
    <row r="257" spans="1:7" x14ac:dyDescent="0.2">
      <c r="A257" s="1" t="s">
        <v>573</v>
      </c>
      <c r="B257" s="1" t="s">
        <v>579</v>
      </c>
      <c r="C257" s="1" t="s">
        <v>128</v>
      </c>
      <c r="D257" s="1">
        <v>214</v>
      </c>
      <c r="E257" s="1"/>
      <c r="F257" s="1" t="s">
        <v>39</v>
      </c>
      <c r="G257" s="1">
        <v>1</v>
      </c>
    </row>
    <row r="258" spans="1:7" x14ac:dyDescent="0.2">
      <c r="A258" s="1" t="s">
        <v>573</v>
      </c>
      <c r="B258" s="1" t="s">
        <v>579</v>
      </c>
      <c r="C258" s="1" t="s">
        <v>457</v>
      </c>
      <c r="D258" s="1">
        <v>107</v>
      </c>
      <c r="E258" s="1"/>
      <c r="F258" s="1" t="s">
        <v>9</v>
      </c>
      <c r="G258" s="1">
        <v>2</v>
      </c>
    </row>
    <row r="259" spans="1:7" x14ac:dyDescent="0.2">
      <c r="A259" s="1" t="s">
        <v>573</v>
      </c>
      <c r="B259" s="1" t="s">
        <v>579</v>
      </c>
      <c r="C259" s="1" t="s">
        <v>124</v>
      </c>
      <c r="D259" s="1">
        <v>1</v>
      </c>
      <c r="E259" s="1"/>
      <c r="F259" s="1" t="s">
        <v>9</v>
      </c>
      <c r="G259" s="1">
        <v>99</v>
      </c>
    </row>
    <row r="260" spans="1:7" x14ac:dyDescent="0.2">
      <c r="A260" s="1" t="s">
        <v>573</v>
      </c>
      <c r="B260" s="1" t="s">
        <v>581</v>
      </c>
      <c r="C260" s="1" t="s">
        <v>128</v>
      </c>
      <c r="D260" s="1">
        <v>180</v>
      </c>
      <c r="E260" s="1"/>
      <c r="F260" s="1" t="s">
        <v>39</v>
      </c>
      <c r="G260" s="1">
        <v>1</v>
      </c>
    </row>
    <row r="261" spans="1:7" x14ac:dyDescent="0.2">
      <c r="A261" s="1" t="s">
        <v>573</v>
      </c>
      <c r="B261" s="1" t="s">
        <v>581</v>
      </c>
      <c r="C261" s="1" t="s">
        <v>457</v>
      </c>
      <c r="D261" s="1">
        <v>90</v>
      </c>
      <c r="E261" s="1"/>
      <c r="F261" s="1" t="s">
        <v>9</v>
      </c>
      <c r="G261" s="1">
        <v>2</v>
      </c>
    </row>
    <row r="262" spans="1:7" x14ac:dyDescent="0.2">
      <c r="A262" s="1" t="s">
        <v>573</v>
      </c>
      <c r="B262" s="1" t="s">
        <v>581</v>
      </c>
      <c r="C262" s="1" t="s">
        <v>124</v>
      </c>
      <c r="D262" s="1">
        <v>1</v>
      </c>
      <c r="E262" s="1"/>
      <c r="F262" s="1" t="s">
        <v>9</v>
      </c>
      <c r="G262" s="1">
        <v>99</v>
      </c>
    </row>
    <row r="263" spans="1:7" x14ac:dyDescent="0.2">
      <c r="A263" s="1" t="s">
        <v>756</v>
      </c>
      <c r="B263" s="1" t="s">
        <v>115</v>
      </c>
      <c r="C263" s="1" t="s">
        <v>760</v>
      </c>
      <c r="D263" s="1">
        <v>5</v>
      </c>
      <c r="E263" s="1"/>
      <c r="F263" s="1" t="s">
        <v>39</v>
      </c>
      <c r="G263" s="1">
        <v>1</v>
      </c>
    </row>
    <row r="264" spans="1:7" x14ac:dyDescent="0.2">
      <c r="A264" s="1" t="s">
        <v>756</v>
      </c>
      <c r="B264" s="1" t="s">
        <v>115</v>
      </c>
      <c r="C264" s="1" t="s">
        <v>717</v>
      </c>
      <c r="D264" s="1">
        <v>100</v>
      </c>
      <c r="E264" s="1"/>
      <c r="F264" s="1" t="s">
        <v>9</v>
      </c>
      <c r="G264" s="1">
        <v>2</v>
      </c>
    </row>
    <row r="265" spans="1:7" x14ac:dyDescent="0.2">
      <c r="A265" s="1" t="s">
        <v>756</v>
      </c>
      <c r="B265" s="1" t="s">
        <v>115</v>
      </c>
      <c r="C265" s="1" t="s">
        <v>124</v>
      </c>
      <c r="D265" s="1">
        <v>1</v>
      </c>
      <c r="E265" s="1"/>
      <c r="F265" s="1" t="s">
        <v>9</v>
      </c>
      <c r="G265" s="1">
        <v>99</v>
      </c>
    </row>
    <row r="266" spans="1:7" x14ac:dyDescent="0.2">
      <c r="A266" s="1" t="s">
        <v>841</v>
      </c>
      <c r="B266" s="1" t="s">
        <v>115</v>
      </c>
      <c r="C266" s="1" t="s">
        <v>553</v>
      </c>
      <c r="D266" s="1">
        <v>24</v>
      </c>
      <c r="E266" s="1"/>
      <c r="F266" s="1" t="s">
        <v>9</v>
      </c>
      <c r="G266" s="1">
        <v>1</v>
      </c>
    </row>
    <row r="267" spans="1:7" x14ac:dyDescent="0.2">
      <c r="A267" s="1" t="s">
        <v>841</v>
      </c>
      <c r="B267" s="1" t="s">
        <v>115</v>
      </c>
      <c r="C267" s="1" t="s">
        <v>554</v>
      </c>
      <c r="D267" s="1">
        <v>47</v>
      </c>
      <c r="E267" s="1"/>
      <c r="F267" s="1" t="s">
        <v>39</v>
      </c>
      <c r="G267" s="1">
        <v>2</v>
      </c>
    </row>
    <row r="268" spans="1:7" x14ac:dyDescent="0.2">
      <c r="A268" s="1" t="s">
        <v>841</v>
      </c>
      <c r="B268" s="1" t="s">
        <v>115</v>
      </c>
      <c r="C268" s="1" t="s">
        <v>555</v>
      </c>
      <c r="D268" s="1">
        <v>90</v>
      </c>
      <c r="E268" s="1"/>
      <c r="F268" s="1" t="s">
        <v>9</v>
      </c>
      <c r="G268" s="1">
        <v>3</v>
      </c>
    </row>
    <row r="269" spans="1:7" x14ac:dyDescent="0.2">
      <c r="A269" s="1" t="s">
        <v>841</v>
      </c>
      <c r="B269" s="1" t="s">
        <v>115</v>
      </c>
      <c r="C269" s="1" t="s">
        <v>124</v>
      </c>
      <c r="D269" s="1">
        <v>1</v>
      </c>
      <c r="E269" s="1"/>
      <c r="F269" s="1" t="s">
        <v>9</v>
      </c>
      <c r="G269" s="1">
        <v>99</v>
      </c>
    </row>
    <row r="270" spans="1:7" x14ac:dyDescent="0.2">
      <c r="A270" s="1" t="s">
        <v>937</v>
      </c>
      <c r="B270" s="1" t="s">
        <v>115</v>
      </c>
      <c r="C270" s="1" t="s">
        <v>128</v>
      </c>
      <c r="D270" s="1">
        <v>150</v>
      </c>
      <c r="E270" s="1"/>
      <c r="F270" s="1" t="s">
        <v>39</v>
      </c>
      <c r="G270" s="1">
        <v>1</v>
      </c>
    </row>
    <row r="271" spans="1:7" x14ac:dyDescent="0.2">
      <c r="A271" s="1" t="s">
        <v>937</v>
      </c>
      <c r="B271" s="1" t="s">
        <v>115</v>
      </c>
      <c r="C271" s="1" t="s">
        <v>124</v>
      </c>
      <c r="D271" s="1">
        <v>1</v>
      </c>
      <c r="E271" s="1"/>
      <c r="F271" s="1" t="s">
        <v>9</v>
      </c>
      <c r="G271" s="1">
        <v>99</v>
      </c>
    </row>
    <row r="272" spans="1:7" x14ac:dyDescent="0.2">
      <c r="A272" s="1" t="s">
        <v>701</v>
      </c>
      <c r="B272" s="1" t="s">
        <v>115</v>
      </c>
      <c r="C272" s="1" t="s">
        <v>128</v>
      </c>
      <c r="D272" s="1">
        <v>4</v>
      </c>
      <c r="E272" s="1"/>
      <c r="F272" s="1" t="s">
        <v>39</v>
      </c>
      <c r="G272" s="1">
        <v>1</v>
      </c>
    </row>
    <row r="273" spans="1:7" x14ac:dyDescent="0.2">
      <c r="A273" s="1" t="s">
        <v>701</v>
      </c>
      <c r="B273" s="1" t="s">
        <v>115</v>
      </c>
      <c r="C273" s="1" t="s">
        <v>665</v>
      </c>
      <c r="D273" s="1">
        <v>100</v>
      </c>
      <c r="E273" s="1"/>
      <c r="F273" s="1" t="s">
        <v>9</v>
      </c>
      <c r="G273" s="1">
        <v>2</v>
      </c>
    </row>
    <row r="274" spans="1:7" x14ac:dyDescent="0.2">
      <c r="A274" s="1" t="s">
        <v>701</v>
      </c>
      <c r="B274" s="1" t="s">
        <v>115</v>
      </c>
      <c r="C274" s="1" t="s">
        <v>663</v>
      </c>
      <c r="D274" s="1">
        <v>125</v>
      </c>
      <c r="E274" s="1"/>
      <c r="F274" s="1" t="s">
        <v>9</v>
      </c>
      <c r="G274" s="1">
        <v>3</v>
      </c>
    </row>
    <row r="275" spans="1:7" x14ac:dyDescent="0.2">
      <c r="A275" s="1" t="s">
        <v>701</v>
      </c>
      <c r="B275" s="1" t="s">
        <v>115</v>
      </c>
      <c r="C275" s="1" t="s">
        <v>664</v>
      </c>
      <c r="D275" s="1">
        <v>150</v>
      </c>
      <c r="E275" s="1"/>
      <c r="F275" s="1" t="s">
        <v>9</v>
      </c>
      <c r="G275" s="1">
        <v>4</v>
      </c>
    </row>
    <row r="276" spans="1:7" x14ac:dyDescent="0.2">
      <c r="A276" s="1" t="s">
        <v>701</v>
      </c>
      <c r="B276" s="1" t="s">
        <v>115</v>
      </c>
      <c r="C276" s="1" t="s">
        <v>124</v>
      </c>
      <c r="D276" s="1">
        <v>1</v>
      </c>
      <c r="E276" s="1"/>
      <c r="F276" s="1" t="s">
        <v>9</v>
      </c>
      <c r="G276" s="1">
        <v>99</v>
      </c>
    </row>
    <row r="277" spans="1:7" x14ac:dyDescent="0.2">
      <c r="A277" s="1" t="s">
        <v>467</v>
      </c>
      <c r="B277" s="1" t="s">
        <v>115</v>
      </c>
      <c r="C277" s="1" t="s">
        <v>474</v>
      </c>
      <c r="D277" s="1" t="s">
        <v>489</v>
      </c>
      <c r="E277" s="1"/>
      <c r="F277" s="1" t="s">
        <v>9</v>
      </c>
      <c r="G277" s="1">
        <v>1</v>
      </c>
    </row>
    <row r="278" spans="1:7" x14ac:dyDescent="0.2">
      <c r="A278" s="1" t="s">
        <v>467</v>
      </c>
      <c r="B278" s="1" t="s">
        <v>115</v>
      </c>
      <c r="C278" s="1" t="s">
        <v>472</v>
      </c>
      <c r="D278" s="1">
        <v>37</v>
      </c>
      <c r="E278" s="1"/>
      <c r="F278" s="1" t="s">
        <v>39</v>
      </c>
      <c r="G278" s="1">
        <v>2</v>
      </c>
    </row>
    <row r="279" spans="1:7" x14ac:dyDescent="0.2">
      <c r="A279" s="1" t="s">
        <v>467</v>
      </c>
      <c r="B279" s="1" t="s">
        <v>115</v>
      </c>
      <c r="C279" s="1" t="s">
        <v>124</v>
      </c>
      <c r="D279" s="1">
        <v>1</v>
      </c>
      <c r="E279" s="1"/>
      <c r="F279" s="1" t="s">
        <v>9</v>
      </c>
      <c r="G279" s="1">
        <v>99</v>
      </c>
    </row>
    <row r="280" spans="1:7" x14ac:dyDescent="0.2">
      <c r="A280" s="1" t="s">
        <v>687</v>
      </c>
      <c r="B280" s="1" t="s">
        <v>115</v>
      </c>
      <c r="C280" s="1" t="s">
        <v>128</v>
      </c>
      <c r="D280" s="1">
        <v>19</v>
      </c>
      <c r="E280" s="1"/>
      <c r="F280" s="1" t="s">
        <v>39</v>
      </c>
      <c r="G280" s="1">
        <v>1</v>
      </c>
    </row>
    <row r="281" spans="1:7" x14ac:dyDescent="0.2">
      <c r="A281" s="1" t="s">
        <v>687</v>
      </c>
      <c r="B281" s="1" t="s">
        <v>115</v>
      </c>
      <c r="C281" s="1" t="s">
        <v>665</v>
      </c>
      <c r="D281" s="1">
        <v>238</v>
      </c>
      <c r="E281" s="1"/>
      <c r="F281" s="1" t="s">
        <v>9</v>
      </c>
      <c r="G281" s="1">
        <v>2</v>
      </c>
    </row>
    <row r="282" spans="1:7" x14ac:dyDescent="0.2">
      <c r="A282" s="1" t="s">
        <v>687</v>
      </c>
      <c r="B282" s="1" t="s">
        <v>115</v>
      </c>
      <c r="C282" s="1" t="s">
        <v>663</v>
      </c>
      <c r="D282" s="1">
        <v>380</v>
      </c>
      <c r="E282" s="1"/>
      <c r="F282" s="1" t="s">
        <v>9</v>
      </c>
      <c r="G282" s="1">
        <v>3</v>
      </c>
    </row>
    <row r="283" spans="1:7" x14ac:dyDescent="0.2">
      <c r="A283" s="1" t="s">
        <v>687</v>
      </c>
      <c r="B283" s="1" t="s">
        <v>115</v>
      </c>
      <c r="C283" s="1" t="s">
        <v>664</v>
      </c>
      <c r="D283" s="1">
        <v>475</v>
      </c>
      <c r="E283" s="1"/>
      <c r="F283" s="1" t="s">
        <v>9</v>
      </c>
      <c r="G283" s="1">
        <v>4</v>
      </c>
    </row>
    <row r="284" spans="1:7" x14ac:dyDescent="0.2">
      <c r="A284" s="1" t="s">
        <v>687</v>
      </c>
      <c r="B284" s="1" t="s">
        <v>115</v>
      </c>
      <c r="C284" s="1" t="s">
        <v>124</v>
      </c>
      <c r="D284" s="1">
        <v>1</v>
      </c>
      <c r="E284" s="1"/>
      <c r="F284" s="1" t="s">
        <v>9</v>
      </c>
      <c r="G284" s="1">
        <v>99</v>
      </c>
    </row>
    <row r="285" spans="1:7" x14ac:dyDescent="0.2">
      <c r="A285" s="1" t="s">
        <v>117</v>
      </c>
      <c r="B285" s="1" t="s">
        <v>115</v>
      </c>
      <c r="C285" s="1" t="s">
        <v>190</v>
      </c>
      <c r="D285" s="1"/>
      <c r="E285" s="1">
        <v>150</v>
      </c>
      <c r="F285" s="1" t="s">
        <v>39</v>
      </c>
      <c r="G285" s="1">
        <v>1</v>
      </c>
    </row>
    <row r="286" spans="1:7" x14ac:dyDescent="0.2">
      <c r="A286" s="1" t="s">
        <v>117</v>
      </c>
      <c r="B286" s="1" t="s">
        <v>115</v>
      </c>
      <c r="C286" s="1" t="s">
        <v>662</v>
      </c>
      <c r="D286" s="1"/>
      <c r="E286" s="1">
        <v>200</v>
      </c>
      <c r="F286" s="1" t="s">
        <v>9</v>
      </c>
      <c r="G286" s="1">
        <v>2</v>
      </c>
    </row>
    <row r="287" spans="1:7" x14ac:dyDescent="0.2">
      <c r="A287" s="1" t="s">
        <v>117</v>
      </c>
      <c r="B287" s="1" t="s">
        <v>115</v>
      </c>
      <c r="C287" s="1" t="s">
        <v>192</v>
      </c>
      <c r="E287" s="4" t="s">
        <v>209</v>
      </c>
      <c r="F287" s="4" t="s">
        <v>9</v>
      </c>
      <c r="G287" s="4" t="s">
        <v>210</v>
      </c>
    </row>
    <row r="288" spans="1:7" x14ac:dyDescent="0.2">
      <c r="A288" s="1" t="s">
        <v>117</v>
      </c>
      <c r="B288" s="1" t="s">
        <v>115</v>
      </c>
      <c r="C288" s="1" t="s">
        <v>126</v>
      </c>
      <c r="E288" s="4" t="s">
        <v>22</v>
      </c>
      <c r="F288" s="4" t="s">
        <v>9</v>
      </c>
      <c r="G288" s="4" t="s">
        <v>178</v>
      </c>
    </row>
    <row r="289" spans="1:7" x14ac:dyDescent="0.2">
      <c r="A289" s="1" t="s">
        <v>7</v>
      </c>
      <c r="B289" s="1" t="s">
        <v>115</v>
      </c>
      <c r="C289" s="1" t="s">
        <v>655</v>
      </c>
      <c r="D289" s="1"/>
      <c r="E289" s="1">
        <v>150</v>
      </c>
      <c r="F289" s="1" t="s">
        <v>9</v>
      </c>
      <c r="G289" s="1">
        <v>1</v>
      </c>
    </row>
    <row r="290" spans="1:7" x14ac:dyDescent="0.2">
      <c r="A290" s="1" t="s">
        <v>7</v>
      </c>
      <c r="B290" s="1" t="s">
        <v>115</v>
      </c>
      <c r="C290" s="1" t="s">
        <v>130</v>
      </c>
      <c r="D290" s="1"/>
      <c r="E290" s="1">
        <v>200</v>
      </c>
      <c r="F290" s="1" t="s">
        <v>39</v>
      </c>
      <c r="G290" s="1">
        <v>2</v>
      </c>
    </row>
    <row r="291" spans="1:7" x14ac:dyDescent="0.2">
      <c r="A291" s="1" t="s">
        <v>7</v>
      </c>
      <c r="B291" s="1" t="s">
        <v>115</v>
      </c>
      <c r="C291" s="1" t="s">
        <v>132</v>
      </c>
      <c r="D291" s="1"/>
      <c r="E291" s="1">
        <v>250</v>
      </c>
      <c r="F291" s="1" t="s">
        <v>9</v>
      </c>
      <c r="G291" s="1">
        <v>3</v>
      </c>
    </row>
    <row r="292" spans="1:7" x14ac:dyDescent="0.2">
      <c r="A292" s="1" t="s">
        <v>7</v>
      </c>
      <c r="B292" s="1" t="s">
        <v>115</v>
      </c>
      <c r="C292" s="1" t="s">
        <v>183</v>
      </c>
      <c r="D292" s="1"/>
      <c r="E292" s="1">
        <v>500</v>
      </c>
      <c r="F292" s="1" t="s">
        <v>9</v>
      </c>
      <c r="G292" s="1">
        <v>4</v>
      </c>
    </row>
    <row r="293" spans="1:7" x14ac:dyDescent="0.2">
      <c r="A293" s="1" t="s">
        <v>7</v>
      </c>
      <c r="B293" s="1" t="s">
        <v>115</v>
      </c>
      <c r="C293" s="1" t="s">
        <v>126</v>
      </c>
      <c r="D293" s="1"/>
      <c r="E293" s="1">
        <v>1</v>
      </c>
      <c r="F293" s="1" t="s">
        <v>9</v>
      </c>
      <c r="G293" s="1">
        <v>99</v>
      </c>
    </row>
    <row r="294" spans="1:7" x14ac:dyDescent="0.2">
      <c r="A294" s="1" t="s">
        <v>346</v>
      </c>
      <c r="B294" s="1" t="s">
        <v>115</v>
      </c>
      <c r="C294" s="1" t="s">
        <v>655</v>
      </c>
      <c r="D294" s="1"/>
      <c r="E294" s="1">
        <v>100</v>
      </c>
      <c r="F294" s="1" t="s">
        <v>9</v>
      </c>
      <c r="G294" s="1">
        <v>1</v>
      </c>
    </row>
    <row r="295" spans="1:7" x14ac:dyDescent="0.2">
      <c r="A295" s="1" t="s">
        <v>346</v>
      </c>
      <c r="B295" s="1" t="s">
        <v>115</v>
      </c>
      <c r="C295" s="1" t="s">
        <v>130</v>
      </c>
      <c r="D295" s="1"/>
      <c r="E295" s="1">
        <v>150</v>
      </c>
      <c r="F295" s="1" t="s">
        <v>39</v>
      </c>
      <c r="G295" s="1">
        <v>2</v>
      </c>
    </row>
    <row r="296" spans="1:7" x14ac:dyDescent="0.2">
      <c r="A296" s="1" t="s">
        <v>346</v>
      </c>
      <c r="B296" s="1" t="s">
        <v>115</v>
      </c>
      <c r="C296" s="1" t="s">
        <v>656</v>
      </c>
      <c r="D296" s="1"/>
      <c r="E296" s="1">
        <v>200</v>
      </c>
      <c r="F296" s="1" t="s">
        <v>9</v>
      </c>
      <c r="G296" s="1">
        <v>3</v>
      </c>
    </row>
    <row r="297" spans="1:7" x14ac:dyDescent="0.2">
      <c r="A297" s="1" t="s">
        <v>346</v>
      </c>
      <c r="B297" s="1" t="s">
        <v>115</v>
      </c>
      <c r="C297" s="1" t="s">
        <v>183</v>
      </c>
      <c r="D297" s="1"/>
      <c r="E297" s="1">
        <v>750</v>
      </c>
      <c r="F297" s="1" t="s">
        <v>9</v>
      </c>
      <c r="G297" s="1">
        <v>4</v>
      </c>
    </row>
    <row r="298" spans="1:7" x14ac:dyDescent="0.2">
      <c r="A298" s="1" t="s">
        <v>346</v>
      </c>
      <c r="B298" s="1" t="s">
        <v>115</v>
      </c>
      <c r="C298" s="1" t="s">
        <v>126</v>
      </c>
      <c r="D298" s="1"/>
      <c r="E298" s="1">
        <v>1</v>
      </c>
      <c r="F298" s="1" t="s">
        <v>9</v>
      </c>
      <c r="G298" s="1">
        <v>99</v>
      </c>
    </row>
    <row r="299" spans="1:7" x14ac:dyDescent="0.2">
      <c r="A299" s="1" t="s">
        <v>354</v>
      </c>
      <c r="B299" s="1" t="s">
        <v>115</v>
      </c>
      <c r="C299" s="1" t="s">
        <v>655</v>
      </c>
      <c r="D299" s="1"/>
      <c r="E299" s="1">
        <v>100</v>
      </c>
      <c r="F299" s="1" t="s">
        <v>9</v>
      </c>
      <c r="G299" s="1">
        <v>1</v>
      </c>
    </row>
    <row r="300" spans="1:7" x14ac:dyDescent="0.2">
      <c r="A300" s="1" t="s">
        <v>354</v>
      </c>
      <c r="B300" s="1" t="s">
        <v>115</v>
      </c>
      <c r="C300" s="1" t="s">
        <v>130</v>
      </c>
      <c r="D300" s="1"/>
      <c r="E300" s="1">
        <v>150</v>
      </c>
      <c r="F300" s="1" t="s">
        <v>39</v>
      </c>
      <c r="G300" s="1">
        <v>2</v>
      </c>
    </row>
    <row r="301" spans="1:7" x14ac:dyDescent="0.2">
      <c r="A301" s="1" t="s">
        <v>354</v>
      </c>
      <c r="B301" s="1" t="s">
        <v>115</v>
      </c>
      <c r="C301" s="1" t="s">
        <v>656</v>
      </c>
      <c r="D301" s="1"/>
      <c r="E301" s="1">
        <v>200</v>
      </c>
      <c r="F301" s="1" t="s">
        <v>9</v>
      </c>
      <c r="G301" s="1">
        <v>3</v>
      </c>
    </row>
    <row r="302" spans="1:7" x14ac:dyDescent="0.2">
      <c r="A302" s="1" t="s">
        <v>354</v>
      </c>
      <c r="B302" s="1" t="s">
        <v>115</v>
      </c>
      <c r="C302" s="1" t="s">
        <v>183</v>
      </c>
      <c r="D302" s="1"/>
      <c r="E302" s="1">
        <v>750</v>
      </c>
      <c r="F302" s="1" t="s">
        <v>9</v>
      </c>
      <c r="G302" s="1">
        <v>4</v>
      </c>
    </row>
    <row r="303" spans="1:7" x14ac:dyDescent="0.2">
      <c r="A303" s="1" t="s">
        <v>354</v>
      </c>
      <c r="B303" s="1" t="s">
        <v>115</v>
      </c>
      <c r="C303" s="1" t="s">
        <v>126</v>
      </c>
      <c r="D303" s="1"/>
      <c r="E303" s="1">
        <v>1</v>
      </c>
      <c r="F303" s="1" t="s">
        <v>9</v>
      </c>
      <c r="G303" s="1">
        <v>99</v>
      </c>
    </row>
    <row r="304" spans="1:7" x14ac:dyDescent="0.2">
      <c r="A304" s="1" t="s">
        <v>350</v>
      </c>
      <c r="B304" s="1" t="s">
        <v>115</v>
      </c>
      <c r="C304" s="1" t="s">
        <v>655</v>
      </c>
      <c r="D304" s="1"/>
      <c r="E304" s="1">
        <v>100</v>
      </c>
      <c r="F304" s="1" t="s">
        <v>9</v>
      </c>
      <c r="G304" s="1">
        <v>1</v>
      </c>
    </row>
    <row r="305" spans="1:7" x14ac:dyDescent="0.2">
      <c r="A305" s="1" t="s">
        <v>350</v>
      </c>
      <c r="B305" s="1" t="s">
        <v>115</v>
      </c>
      <c r="C305" s="1" t="s">
        <v>130</v>
      </c>
      <c r="D305" s="1"/>
      <c r="E305" s="1">
        <v>150</v>
      </c>
      <c r="F305" s="1" t="s">
        <v>39</v>
      </c>
      <c r="G305" s="1">
        <v>2</v>
      </c>
    </row>
    <row r="306" spans="1:7" x14ac:dyDescent="0.2">
      <c r="A306" s="1" t="s">
        <v>350</v>
      </c>
      <c r="B306" s="1" t="s">
        <v>115</v>
      </c>
      <c r="C306" s="1" t="s">
        <v>656</v>
      </c>
      <c r="D306" s="1"/>
      <c r="E306" s="1">
        <v>200</v>
      </c>
      <c r="F306" s="1" t="s">
        <v>9</v>
      </c>
      <c r="G306" s="1">
        <v>3</v>
      </c>
    </row>
    <row r="307" spans="1:7" x14ac:dyDescent="0.2">
      <c r="A307" s="1" t="s">
        <v>350</v>
      </c>
      <c r="B307" s="1" t="s">
        <v>115</v>
      </c>
      <c r="C307" s="1" t="s">
        <v>183</v>
      </c>
      <c r="D307" s="1"/>
      <c r="E307" s="1">
        <v>750</v>
      </c>
      <c r="F307" s="1" t="s">
        <v>9</v>
      </c>
      <c r="G307" s="1">
        <v>4</v>
      </c>
    </row>
    <row r="308" spans="1:7" x14ac:dyDescent="0.2">
      <c r="A308" s="1" t="s">
        <v>350</v>
      </c>
      <c r="B308" s="1" t="s">
        <v>115</v>
      </c>
      <c r="C308" s="1" t="s">
        <v>126</v>
      </c>
      <c r="D308" s="1"/>
      <c r="E308" s="1">
        <v>1</v>
      </c>
      <c r="F308" s="1" t="s">
        <v>9</v>
      </c>
      <c r="G308" s="1">
        <v>99</v>
      </c>
    </row>
    <row r="309" spans="1:7" x14ac:dyDescent="0.2">
      <c r="A309" s="1" t="s">
        <v>351</v>
      </c>
      <c r="B309" s="1" t="s">
        <v>115</v>
      </c>
      <c r="C309" s="1" t="s">
        <v>655</v>
      </c>
      <c r="D309" s="1"/>
      <c r="E309" s="1">
        <v>100</v>
      </c>
      <c r="F309" s="1" t="s">
        <v>9</v>
      </c>
      <c r="G309" s="1">
        <v>1</v>
      </c>
    </row>
    <row r="310" spans="1:7" x14ac:dyDescent="0.2">
      <c r="A310" s="1" t="s">
        <v>351</v>
      </c>
      <c r="B310" s="1" t="s">
        <v>115</v>
      </c>
      <c r="C310" s="1" t="s">
        <v>130</v>
      </c>
      <c r="D310" s="1"/>
      <c r="E310" s="1">
        <v>150</v>
      </c>
      <c r="F310" s="1" t="s">
        <v>39</v>
      </c>
      <c r="G310" s="1">
        <v>2</v>
      </c>
    </row>
    <row r="311" spans="1:7" x14ac:dyDescent="0.2">
      <c r="A311" s="1" t="s">
        <v>351</v>
      </c>
      <c r="B311" s="1" t="s">
        <v>115</v>
      </c>
      <c r="C311" s="1" t="s">
        <v>656</v>
      </c>
      <c r="D311" s="1"/>
      <c r="E311" s="1">
        <v>200</v>
      </c>
      <c r="F311" s="1" t="s">
        <v>9</v>
      </c>
      <c r="G311" s="1">
        <v>3</v>
      </c>
    </row>
    <row r="312" spans="1:7" x14ac:dyDescent="0.2">
      <c r="A312" s="1" t="s">
        <v>351</v>
      </c>
      <c r="B312" s="1" t="s">
        <v>115</v>
      </c>
      <c r="C312" s="1" t="s">
        <v>183</v>
      </c>
      <c r="D312" s="1"/>
      <c r="E312" s="1">
        <v>750</v>
      </c>
      <c r="F312" s="1" t="s">
        <v>9</v>
      </c>
      <c r="G312" s="1">
        <v>4</v>
      </c>
    </row>
    <row r="313" spans="1:7" x14ac:dyDescent="0.2">
      <c r="A313" s="1" t="s">
        <v>351</v>
      </c>
      <c r="B313" s="1" t="s">
        <v>115</v>
      </c>
      <c r="C313" s="1" t="s">
        <v>126</v>
      </c>
      <c r="D313" s="1"/>
      <c r="E313" s="1">
        <v>1</v>
      </c>
      <c r="F313" s="1" t="s">
        <v>9</v>
      </c>
      <c r="G313" s="1">
        <v>99</v>
      </c>
    </row>
  </sheetData>
  <sheetProtection selectLockedCells="1" selectUnlockedCells="1"/>
  <phoneticPr fontId="2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1A61B8A-362C-1D46-89FD-435F3D801FC3}">
          <x14:formula1>
            <xm:f>UNITS!$A$2:$A$43</xm:f>
          </x14:formula1>
          <xm:sqref>C2:C313</xm:sqref>
        </x14:dataValidation>
        <x14:dataValidation type="list" allowBlank="1" showInputMessage="1" showErrorMessage="1" xr:uid="{80AD8A2E-C1FE-344D-9E2C-E70F4BF74F19}">
          <x14:formula1>
            <xm:f>PREPARATIONS!$A$2:$A$16</xm:f>
          </x14:formula1>
          <xm:sqref>B2:B313</xm:sqref>
        </x14:dataValidation>
        <x14:dataValidation type="list" allowBlank="1" showInputMessage="1" showErrorMessage="1" xr:uid="{F0009F69-2F54-DD4D-8D10-2D89C068EBEE}">
          <x14:formula1>
            <xm:f>PRODUCTS!$A$2:$A$75</xm:f>
          </x14:formula1>
          <xm:sqref>A2:A313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41298-F0F6-6F4D-AE18-9D0778A64C50}">
  <dimension ref="B1:N19"/>
  <sheetViews>
    <sheetView zoomScale="120" zoomScaleNormal="120" workbookViewId="0">
      <selection activeCell="L24" sqref="L24"/>
    </sheetView>
  </sheetViews>
  <sheetFormatPr baseColWidth="10" defaultRowHeight="16" x14ac:dyDescent="0.2"/>
  <cols>
    <col min="1" max="1" width="3.33203125" style="1" customWidth="1"/>
    <col min="2" max="2" width="25" style="1" customWidth="1"/>
    <col min="3" max="3" width="11.5" style="1" bestFit="1" customWidth="1"/>
    <col min="4" max="4" width="3.33203125" style="1" customWidth="1"/>
    <col min="5" max="5" width="25" style="1" customWidth="1"/>
    <col min="6" max="6" width="11.5" style="1" bestFit="1" customWidth="1"/>
    <col min="7" max="7" width="3.33203125" style="1" customWidth="1"/>
    <col min="8" max="8" width="25" style="1" customWidth="1"/>
    <col min="9" max="9" width="11.5" style="1" bestFit="1" customWidth="1"/>
    <col min="10" max="10" width="3.33203125" style="1" customWidth="1"/>
    <col min="11" max="11" width="25" style="1" customWidth="1"/>
    <col min="12" max="14" width="30" style="1" customWidth="1"/>
    <col min="15" max="16384" width="10.83203125" style="1"/>
  </cols>
  <sheetData>
    <row r="1" spans="2:14" ht="10" customHeight="1" x14ac:dyDescent="0.2"/>
    <row r="2" spans="2:14" s="5" customFormat="1" x14ac:dyDescent="0.2">
      <c r="B2" s="5" t="s">
        <v>983</v>
      </c>
      <c r="E2" s="5" t="s">
        <v>982</v>
      </c>
      <c r="H2" s="5" t="s">
        <v>981</v>
      </c>
      <c r="K2" s="5" t="s">
        <v>980</v>
      </c>
    </row>
    <row r="3" spans="2:14" ht="10" customHeight="1" x14ac:dyDescent="0.2"/>
    <row r="4" spans="2:14" x14ac:dyDescent="0.2">
      <c r="B4" s="1" t="s">
        <v>890</v>
      </c>
      <c r="C4" s="1" t="s">
        <v>891</v>
      </c>
      <c r="E4" s="1" t="s">
        <v>890</v>
      </c>
      <c r="F4" s="1" t="s">
        <v>891</v>
      </c>
      <c r="H4" s="1" t="s">
        <v>890</v>
      </c>
      <c r="I4" s="1" t="s">
        <v>891</v>
      </c>
      <c r="K4" s="1" t="s">
        <v>40</v>
      </c>
      <c r="L4" s="1" t="s">
        <v>984</v>
      </c>
      <c r="M4" s="1" t="s">
        <v>985</v>
      </c>
      <c r="N4" s="1" t="s">
        <v>986</v>
      </c>
    </row>
    <row r="5" spans="2:14" x14ac:dyDescent="0.2">
      <c r="B5" s="1" t="s">
        <v>893</v>
      </c>
      <c r="C5" s="44">
        <v>-10</v>
      </c>
      <c r="E5" s="1" t="s">
        <v>893</v>
      </c>
      <c r="F5" s="44">
        <v>-8</v>
      </c>
      <c r="H5" s="1" t="s">
        <v>893</v>
      </c>
      <c r="I5" s="44">
        <v>-7</v>
      </c>
      <c r="K5" s="4" t="s">
        <v>363</v>
      </c>
      <c r="L5" s="44">
        <v>0</v>
      </c>
      <c r="M5" s="44">
        <v>0</v>
      </c>
      <c r="N5" s="44">
        <v>0</v>
      </c>
    </row>
    <row r="6" spans="2:14" x14ac:dyDescent="0.2">
      <c r="B6" s="1" t="s">
        <v>894</v>
      </c>
      <c r="C6" s="44">
        <v>-10</v>
      </c>
      <c r="E6" s="1" t="s">
        <v>894</v>
      </c>
      <c r="F6" s="44">
        <v>-6</v>
      </c>
      <c r="H6" s="1" t="s">
        <v>900</v>
      </c>
      <c r="I6" s="44">
        <v>5</v>
      </c>
      <c r="K6" s="4" t="s">
        <v>115</v>
      </c>
      <c r="L6" s="44">
        <v>0</v>
      </c>
      <c r="M6" s="44">
        <v>0</v>
      </c>
      <c r="N6" s="44">
        <v>0</v>
      </c>
    </row>
    <row r="7" spans="2:14" x14ac:dyDescent="0.2">
      <c r="B7" s="1" t="s">
        <v>897</v>
      </c>
      <c r="C7" s="44">
        <v>3</v>
      </c>
      <c r="E7" s="1" t="s">
        <v>897</v>
      </c>
      <c r="F7" s="44">
        <v>2</v>
      </c>
      <c r="H7" s="1" t="s">
        <v>894</v>
      </c>
      <c r="I7" s="44">
        <v>5</v>
      </c>
      <c r="K7" s="4" t="s">
        <v>952</v>
      </c>
      <c r="L7" s="44">
        <v>0</v>
      </c>
      <c r="M7" s="44">
        <v>0</v>
      </c>
      <c r="N7" s="44">
        <v>0</v>
      </c>
    </row>
    <row r="8" spans="2:14" x14ac:dyDescent="0.2">
      <c r="B8" s="1" t="s">
        <v>898</v>
      </c>
      <c r="C8" s="44">
        <v>0</v>
      </c>
      <c r="E8" s="1" t="s">
        <v>898</v>
      </c>
      <c r="F8" s="44">
        <v>0</v>
      </c>
      <c r="H8" s="1" t="s">
        <v>897</v>
      </c>
      <c r="I8" s="44">
        <v>1</v>
      </c>
      <c r="K8" s="4" t="s">
        <v>950</v>
      </c>
      <c r="L8" s="44">
        <v>0</v>
      </c>
      <c r="M8" s="44">
        <v>0</v>
      </c>
      <c r="N8" s="44">
        <v>0</v>
      </c>
    </row>
    <row r="9" spans="2:14" x14ac:dyDescent="0.2">
      <c r="B9" s="1" t="s">
        <v>895</v>
      </c>
      <c r="C9" s="44">
        <v>-15</v>
      </c>
      <c r="E9" s="1" t="s">
        <v>895</v>
      </c>
      <c r="F9" s="44">
        <v>-10</v>
      </c>
      <c r="H9" s="1" t="s">
        <v>905</v>
      </c>
      <c r="I9" s="44">
        <v>-15</v>
      </c>
      <c r="K9" s="4" t="s">
        <v>526</v>
      </c>
      <c r="L9" s="44">
        <v>0</v>
      </c>
      <c r="M9" s="44">
        <v>0</v>
      </c>
      <c r="N9" s="44">
        <v>0</v>
      </c>
    </row>
    <row r="10" spans="2:14" x14ac:dyDescent="0.2">
      <c r="B10" s="1" t="s">
        <v>896</v>
      </c>
      <c r="C10" s="44">
        <v>-8</v>
      </c>
      <c r="E10" s="1" t="s">
        <v>896</v>
      </c>
      <c r="F10" s="44">
        <v>-4</v>
      </c>
      <c r="H10" s="1" t="s">
        <v>898</v>
      </c>
      <c r="I10" s="44">
        <v>0</v>
      </c>
      <c r="K10" s="4" t="s">
        <v>532</v>
      </c>
      <c r="L10" s="44">
        <v>0</v>
      </c>
      <c r="M10" s="44">
        <v>0</v>
      </c>
      <c r="N10" s="44">
        <v>0</v>
      </c>
    </row>
    <row r="11" spans="2:14" x14ac:dyDescent="0.2">
      <c r="B11" s="1" t="s">
        <v>10</v>
      </c>
      <c r="C11" s="44">
        <v>5</v>
      </c>
      <c r="E11" s="1" t="s">
        <v>10</v>
      </c>
      <c r="F11" s="44">
        <v>3</v>
      </c>
      <c r="H11" s="1" t="s">
        <v>56</v>
      </c>
      <c r="I11" s="44">
        <v>6</v>
      </c>
      <c r="K11" s="4" t="s">
        <v>365</v>
      </c>
      <c r="L11" s="44">
        <v>0</v>
      </c>
      <c r="M11" s="44">
        <v>0</v>
      </c>
      <c r="N11" s="44">
        <v>0</v>
      </c>
    </row>
    <row r="12" spans="2:14" x14ac:dyDescent="0.2">
      <c r="H12" s="1" t="s">
        <v>895</v>
      </c>
      <c r="I12" s="44">
        <v>-5</v>
      </c>
      <c r="K12" s="4" t="s">
        <v>1033</v>
      </c>
      <c r="L12" s="44">
        <v>0</v>
      </c>
      <c r="M12" s="44">
        <v>0</v>
      </c>
      <c r="N12" s="44">
        <v>0</v>
      </c>
    </row>
    <row r="13" spans="2:14" x14ac:dyDescent="0.2">
      <c r="H13" s="1" t="s">
        <v>896</v>
      </c>
      <c r="I13" s="44">
        <v>-2</v>
      </c>
      <c r="K13" s="4" t="s">
        <v>1035</v>
      </c>
      <c r="L13" s="44">
        <v>0</v>
      </c>
      <c r="M13" s="44">
        <v>0</v>
      </c>
      <c r="N13" s="44">
        <v>0</v>
      </c>
    </row>
    <row r="14" spans="2:14" x14ac:dyDescent="0.2">
      <c r="H14" s="1" t="s">
        <v>10</v>
      </c>
      <c r="I14" s="44">
        <v>-2</v>
      </c>
      <c r="K14" s="1" t="s">
        <v>213</v>
      </c>
      <c r="L14" s="44">
        <v>0</v>
      </c>
      <c r="M14" s="44">
        <v>0</v>
      </c>
      <c r="N14" s="44">
        <v>0</v>
      </c>
    </row>
    <row r="15" spans="2:14" x14ac:dyDescent="0.2">
      <c r="K15" s="1" t="s">
        <v>215</v>
      </c>
      <c r="L15" s="44">
        <v>0</v>
      </c>
      <c r="M15" s="44">
        <v>0</v>
      </c>
      <c r="N15" s="44">
        <v>0</v>
      </c>
    </row>
    <row r="16" spans="2:14" x14ac:dyDescent="0.2">
      <c r="K16" s="4" t="s">
        <v>579</v>
      </c>
      <c r="L16" s="44">
        <v>0</v>
      </c>
      <c r="M16" s="44">
        <v>0</v>
      </c>
      <c r="N16" s="44">
        <v>0</v>
      </c>
    </row>
    <row r="17" spans="11:14" x14ac:dyDescent="0.2">
      <c r="K17" s="1" t="s">
        <v>211</v>
      </c>
      <c r="L17" s="44">
        <v>0</v>
      </c>
      <c r="M17" s="44">
        <v>0</v>
      </c>
      <c r="N17" s="44">
        <v>0</v>
      </c>
    </row>
    <row r="18" spans="11:14" x14ac:dyDescent="0.2">
      <c r="K18" s="1" t="s">
        <v>217</v>
      </c>
      <c r="L18" s="44">
        <v>0</v>
      </c>
      <c r="M18" s="44">
        <v>0</v>
      </c>
      <c r="N18" s="44">
        <v>0</v>
      </c>
    </row>
    <row r="19" spans="11:14" x14ac:dyDescent="0.2">
      <c r="K19" s="4" t="s">
        <v>581</v>
      </c>
      <c r="L19" s="44">
        <v>0</v>
      </c>
      <c r="M19" s="44">
        <v>0</v>
      </c>
      <c r="N19" s="44">
        <v>0</v>
      </c>
    </row>
  </sheetData>
  <sheetProtection sheet="1" objects="1" scenarios="1" selectLockedCells="1" selectUnlockedCells="1"/>
  <sortState xmlns:xlrd2="http://schemas.microsoft.com/office/spreadsheetml/2017/richdata2" ref="K5:K19">
    <sortCondition ref="K5:K19"/>
  </sortState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17000-325C-3349-9621-592CB840F3DF}">
  <dimension ref="A1:F10"/>
  <sheetViews>
    <sheetView zoomScale="120" zoomScaleNormal="120" workbookViewId="0">
      <selection activeCell="E15" sqref="E15"/>
    </sheetView>
  </sheetViews>
  <sheetFormatPr baseColWidth="10" defaultRowHeight="16" x14ac:dyDescent="0.2"/>
  <cols>
    <col min="1" max="1" width="19.33203125" style="1" customWidth="1"/>
    <col min="2" max="2" width="26.1640625" style="1" bestFit="1" customWidth="1"/>
    <col min="3" max="3" width="10.83203125" style="1"/>
    <col min="4" max="4" width="12.6640625" style="1" customWidth="1"/>
    <col min="5" max="5" width="24" style="4" bestFit="1" customWidth="1"/>
    <col min="6" max="6" width="12.83203125" style="1" bestFit="1" customWidth="1"/>
    <col min="7" max="16384" width="10.83203125" style="1"/>
  </cols>
  <sheetData>
    <row r="1" spans="1:6" x14ac:dyDescent="0.2">
      <c r="A1" s="8" t="s">
        <v>153</v>
      </c>
      <c r="B1" s="8" t="s">
        <v>12</v>
      </c>
      <c r="C1" s="8" t="s">
        <v>154</v>
      </c>
      <c r="D1" s="8" t="s">
        <v>49</v>
      </c>
      <c r="E1" s="6" t="s">
        <v>155</v>
      </c>
      <c r="F1" s="8" t="s">
        <v>156</v>
      </c>
    </row>
    <row r="2" spans="1:6" x14ac:dyDescent="0.2">
      <c r="A2" s="1" t="s">
        <v>166</v>
      </c>
      <c r="B2" s="1" t="s">
        <v>167</v>
      </c>
      <c r="C2" s="1" t="s">
        <v>168</v>
      </c>
      <c r="D2" s="1" t="s">
        <v>158</v>
      </c>
      <c r="E2" s="4" t="s">
        <v>169</v>
      </c>
      <c r="F2" s="1" t="s">
        <v>39</v>
      </c>
    </row>
    <row r="3" spans="1:6" x14ac:dyDescent="0.2">
      <c r="A3" s="1" t="s">
        <v>176</v>
      </c>
      <c r="B3" s="1" t="s">
        <v>177</v>
      </c>
      <c r="C3" s="1" t="s">
        <v>172</v>
      </c>
      <c r="D3" s="1" t="s">
        <v>118</v>
      </c>
      <c r="F3" s="1" t="s">
        <v>9</v>
      </c>
    </row>
    <row r="4" spans="1:6" x14ac:dyDescent="0.2">
      <c r="A4" s="1" t="s">
        <v>163</v>
      </c>
      <c r="B4" s="1" t="s">
        <v>163</v>
      </c>
      <c r="C4" s="1" t="s">
        <v>164</v>
      </c>
      <c r="D4" s="1" t="s">
        <v>158</v>
      </c>
      <c r="E4" s="4" t="s">
        <v>165</v>
      </c>
      <c r="F4" s="1" t="s">
        <v>39</v>
      </c>
    </row>
    <row r="5" spans="1:6" x14ac:dyDescent="0.2">
      <c r="A5" s="1" t="s">
        <v>174</v>
      </c>
      <c r="B5" s="1" t="s">
        <v>175</v>
      </c>
      <c r="C5" s="1" t="s">
        <v>172</v>
      </c>
      <c r="D5" s="1" t="s">
        <v>174</v>
      </c>
      <c r="F5" s="1" t="s">
        <v>9</v>
      </c>
    </row>
    <row r="6" spans="1:6" x14ac:dyDescent="0.2">
      <c r="A6" s="1" t="s">
        <v>275</v>
      </c>
      <c r="B6" s="1" t="s">
        <v>276</v>
      </c>
      <c r="C6" s="1" t="s">
        <v>172</v>
      </c>
      <c r="D6" s="1" t="s">
        <v>277</v>
      </c>
      <c r="F6" s="1" t="s">
        <v>9</v>
      </c>
    </row>
    <row r="7" spans="1:6" x14ac:dyDescent="0.2">
      <c r="A7" s="1" t="s">
        <v>170</v>
      </c>
      <c r="B7" s="1" t="s">
        <v>171</v>
      </c>
      <c r="C7" s="1" t="s">
        <v>172</v>
      </c>
      <c r="D7" s="1" t="s">
        <v>173</v>
      </c>
      <c r="F7" s="1" t="s">
        <v>9</v>
      </c>
    </row>
    <row r="8" spans="1:6" x14ac:dyDescent="0.2">
      <c r="A8" s="1" t="s">
        <v>160</v>
      </c>
      <c r="B8" s="1" t="s">
        <v>160</v>
      </c>
      <c r="C8" s="1" t="s">
        <v>161</v>
      </c>
      <c r="D8" s="1" t="s">
        <v>158</v>
      </c>
      <c r="E8" s="4" t="s">
        <v>162</v>
      </c>
      <c r="F8" s="1" t="s">
        <v>39</v>
      </c>
    </row>
    <row r="9" spans="1:6" x14ac:dyDescent="0.2">
      <c r="A9" s="1" t="s">
        <v>242</v>
      </c>
      <c r="B9" s="1" t="s">
        <v>243</v>
      </c>
      <c r="C9" s="1" t="s">
        <v>157</v>
      </c>
      <c r="D9" s="1" t="s">
        <v>158</v>
      </c>
      <c r="E9" s="4" t="s">
        <v>159</v>
      </c>
      <c r="F9" s="1" t="s">
        <v>39</v>
      </c>
    </row>
    <row r="10" spans="1:6" x14ac:dyDescent="0.2">
      <c r="A10" s="1" t="s">
        <v>245</v>
      </c>
      <c r="B10" s="1" t="s">
        <v>244</v>
      </c>
      <c r="C10" s="1" t="s">
        <v>157</v>
      </c>
      <c r="D10" s="1" t="s">
        <v>158</v>
      </c>
      <c r="E10" s="4" t="s">
        <v>159</v>
      </c>
      <c r="F10" s="1" t="s">
        <v>39</v>
      </c>
    </row>
  </sheetData>
  <sheetProtection sheet="1" objects="1" scenarios="1" selectLockedCells="1" selectUnlockedCells="1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91547-239B-C34D-8F39-FF2A85A9E98B}">
  <dimension ref="A1:C7"/>
  <sheetViews>
    <sheetView zoomScale="120" zoomScaleNormal="120" workbookViewId="0">
      <selection activeCell="C15" sqref="C15"/>
    </sheetView>
  </sheetViews>
  <sheetFormatPr baseColWidth="10" defaultRowHeight="16" x14ac:dyDescent="0.2"/>
  <cols>
    <col min="1" max="1" width="33.33203125" style="1" bestFit="1" customWidth="1"/>
    <col min="2" max="2" width="15" style="1" bestFit="1" customWidth="1"/>
    <col min="3" max="3" width="43.1640625" style="1" bestFit="1" customWidth="1"/>
    <col min="4" max="16384" width="10.83203125" style="1"/>
  </cols>
  <sheetData>
    <row r="1" spans="1:3" x14ac:dyDescent="0.2">
      <c r="A1" s="8" t="s">
        <v>246</v>
      </c>
      <c r="B1" s="8" t="s">
        <v>247</v>
      </c>
      <c r="C1" s="8" t="s">
        <v>106</v>
      </c>
    </row>
    <row r="2" spans="1:3" x14ac:dyDescent="0.2">
      <c r="A2" s="1" t="s">
        <v>253</v>
      </c>
      <c r="B2" s="1" t="s">
        <v>254</v>
      </c>
      <c r="C2" s="1" t="s">
        <v>255</v>
      </c>
    </row>
    <row r="3" spans="1:3" x14ac:dyDescent="0.2">
      <c r="A3" s="1" t="s">
        <v>250</v>
      </c>
      <c r="B3" s="1" t="s">
        <v>251</v>
      </c>
      <c r="C3" s="1" t="s">
        <v>252</v>
      </c>
    </row>
    <row r="4" spans="1:3" x14ac:dyDescent="0.2">
      <c r="A4" s="1" t="s">
        <v>248</v>
      </c>
      <c r="B4" s="1">
        <v>17</v>
      </c>
      <c r="C4" s="1" t="s">
        <v>249</v>
      </c>
    </row>
    <row r="5" spans="1:3" ht="17" x14ac:dyDescent="0.2">
      <c r="A5" s="16" t="s">
        <v>263</v>
      </c>
      <c r="B5" s="1">
        <v>5</v>
      </c>
    </row>
    <row r="6" spans="1:3" x14ac:dyDescent="0.2">
      <c r="A6" s="1" t="s">
        <v>256</v>
      </c>
      <c r="B6" s="1" t="s">
        <v>257</v>
      </c>
      <c r="C6" s="1" t="s">
        <v>258</v>
      </c>
    </row>
    <row r="7" spans="1:3" x14ac:dyDescent="0.2">
      <c r="A7" s="1" t="s">
        <v>259</v>
      </c>
      <c r="B7" s="1">
        <v>2</v>
      </c>
      <c r="C7" s="1" t="s">
        <v>260</v>
      </c>
    </row>
  </sheetData>
  <sheetProtection sheet="1" objects="1" scenarios="1" selectLockedCells="1" selectUnlockedCells="1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B0314-CCD7-6E43-A0F0-317689B7A7B8}">
  <dimension ref="B1:L14"/>
  <sheetViews>
    <sheetView zoomScale="120" zoomScaleNormal="120" workbookViewId="0">
      <selection activeCell="L14" sqref="L14"/>
    </sheetView>
  </sheetViews>
  <sheetFormatPr baseColWidth="10" defaultRowHeight="16" x14ac:dyDescent="0.2"/>
  <cols>
    <col min="1" max="1" width="1.6640625" style="1" customWidth="1"/>
    <col min="2" max="2" width="13.83203125" style="1" bestFit="1" customWidth="1"/>
    <col min="3" max="3" width="1.6640625" style="1" customWidth="1"/>
    <col min="4" max="4" width="13.5" style="1" bestFit="1" customWidth="1"/>
    <col min="5" max="5" width="1.6640625" style="1" customWidth="1"/>
    <col min="6" max="6" width="18.83203125" style="1" bestFit="1" customWidth="1"/>
    <col min="7" max="7" width="1.6640625" style="1" customWidth="1"/>
    <col min="8" max="8" width="15.83203125" style="1" bestFit="1" customWidth="1"/>
    <col min="9" max="9" width="26" style="1" bestFit="1" customWidth="1"/>
    <col min="10" max="10" width="1.6640625" style="1" customWidth="1"/>
    <col min="11" max="11" width="17" style="1" bestFit="1" customWidth="1"/>
    <col min="12" max="12" width="19.33203125" style="1" customWidth="1"/>
    <col min="13" max="16384" width="10.83203125" style="1"/>
  </cols>
  <sheetData>
    <row r="1" spans="2:12" s="5" customFormat="1" ht="10" customHeight="1" x14ac:dyDescent="0.2"/>
    <row r="2" spans="2:12" x14ac:dyDescent="0.2">
      <c r="B2" s="7" t="s">
        <v>5</v>
      </c>
      <c r="D2" s="1" t="s">
        <v>116</v>
      </c>
      <c r="F2" s="28" t="s">
        <v>153</v>
      </c>
      <c r="H2" s="1" t="s">
        <v>593</v>
      </c>
      <c r="I2" s="1" t="s">
        <v>597</v>
      </c>
      <c r="K2" s="1" t="s">
        <v>604</v>
      </c>
      <c r="L2" s="1" t="s">
        <v>597</v>
      </c>
    </row>
    <row r="3" spans="2:12" x14ac:dyDescent="0.2">
      <c r="B3" s="29" t="s">
        <v>21</v>
      </c>
      <c r="D3" s="1" t="s">
        <v>9</v>
      </c>
      <c r="F3" s="29" t="s">
        <v>166</v>
      </c>
      <c r="H3" s="1" t="s">
        <v>176</v>
      </c>
      <c r="I3" s="1" t="s">
        <v>598</v>
      </c>
      <c r="K3" s="1" t="s">
        <v>605</v>
      </c>
      <c r="L3" s="1" t="s">
        <v>607</v>
      </c>
    </row>
    <row r="4" spans="2:12" x14ac:dyDescent="0.2">
      <c r="B4" s="29" t="s">
        <v>54</v>
      </c>
      <c r="D4" s="1" t="s">
        <v>39</v>
      </c>
      <c r="F4" s="29" t="s">
        <v>176</v>
      </c>
      <c r="H4" s="1" t="s">
        <v>115</v>
      </c>
      <c r="I4" s="1" t="s">
        <v>599</v>
      </c>
      <c r="K4" s="1" t="s">
        <v>157</v>
      </c>
      <c r="L4" s="1" t="s">
        <v>608</v>
      </c>
    </row>
    <row r="5" spans="2:12" x14ac:dyDescent="0.2">
      <c r="B5" s="29" t="s">
        <v>52</v>
      </c>
      <c r="F5" s="29" t="s">
        <v>163</v>
      </c>
      <c r="H5" s="1" t="s">
        <v>595</v>
      </c>
      <c r="I5" s="1" t="s">
        <v>600</v>
      </c>
      <c r="K5" s="1" t="s">
        <v>606</v>
      </c>
      <c r="L5" s="1" t="s">
        <v>609</v>
      </c>
    </row>
    <row r="6" spans="2:12" x14ac:dyDescent="0.2">
      <c r="B6" s="29" t="s">
        <v>50</v>
      </c>
      <c r="F6" s="29" t="s">
        <v>174</v>
      </c>
      <c r="H6" s="1" t="s">
        <v>596</v>
      </c>
      <c r="I6" s="1" t="s">
        <v>601</v>
      </c>
    </row>
    <row r="7" spans="2:12" x14ac:dyDescent="0.2">
      <c r="B7" s="29" t="s">
        <v>53</v>
      </c>
      <c r="F7" s="29" t="s">
        <v>275</v>
      </c>
      <c r="H7" s="1" t="s">
        <v>170</v>
      </c>
      <c r="I7" s="1" t="s">
        <v>602</v>
      </c>
    </row>
    <row r="8" spans="2:12" x14ac:dyDescent="0.2">
      <c r="B8" s="29" t="s">
        <v>55</v>
      </c>
      <c r="F8" s="29" t="s">
        <v>170</v>
      </c>
      <c r="H8" s="1" t="s">
        <v>594</v>
      </c>
      <c r="I8" s="1" t="s">
        <v>603</v>
      </c>
    </row>
    <row r="9" spans="2:12" x14ac:dyDescent="0.2">
      <c r="B9" s="29" t="s">
        <v>51</v>
      </c>
      <c r="F9" s="29" t="s">
        <v>160</v>
      </c>
    </row>
    <row r="10" spans="2:12" x14ac:dyDescent="0.2">
      <c r="B10" s="29" t="s">
        <v>56</v>
      </c>
      <c r="F10" s="29" t="s">
        <v>360</v>
      </c>
    </row>
    <row r="11" spans="2:12" x14ac:dyDescent="0.2">
      <c r="B11" s="29" t="s">
        <v>57</v>
      </c>
      <c r="F11" s="29" t="s">
        <v>242</v>
      </c>
    </row>
    <row r="12" spans="2:12" x14ac:dyDescent="0.2">
      <c r="B12" s="29" t="s">
        <v>58</v>
      </c>
      <c r="F12" s="30" t="s">
        <v>245</v>
      </c>
    </row>
    <row r="13" spans="2:12" x14ac:dyDescent="0.2">
      <c r="B13" s="29" t="s">
        <v>107</v>
      </c>
    </row>
    <row r="14" spans="2:12" x14ac:dyDescent="0.2">
      <c r="B14" s="30" t="s">
        <v>10</v>
      </c>
    </row>
  </sheetData>
  <sheetProtection sheet="1" objects="1" scenarios="1" selectLockedCells="1" selectUnlockedCells="1"/>
  <sortState xmlns:xlrd2="http://schemas.microsoft.com/office/spreadsheetml/2017/richdata2" ref="H3:H8">
    <sortCondition ref="H3:H8"/>
  </sortState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18</vt:i4>
      </vt:variant>
    </vt:vector>
  </HeadingPairs>
  <TitlesOfParts>
    <vt:vector size="18" baseType="lpstr">
      <vt:lpstr>PRODUCT_GROUPS</vt:lpstr>
      <vt:lpstr>PRODUCT_GROUP_TRANSLATIONS</vt:lpstr>
      <vt:lpstr>GROUP_GOAL_MODEL</vt:lpstr>
      <vt:lpstr>PRODUCTS</vt:lpstr>
      <vt:lpstr>DB_PRODUCTS</vt:lpstr>
      <vt:lpstr>PRODUCT_TRANSLATIONS</vt:lpstr>
      <vt:lpstr>PREPARATIONS</vt:lpstr>
      <vt:lpstr>PREPARATION_TRANSLATIONS</vt:lpstr>
      <vt:lpstr>PRODUCT_PREPARATIONS</vt:lpstr>
      <vt:lpstr>DB_PRODUCT_PREPARATIONS</vt:lpstr>
      <vt:lpstr>PRODUCT_SCORES</vt:lpstr>
      <vt:lpstr>UNITS</vt:lpstr>
      <vt:lpstr>UNIT_TRANSLATIONS</vt:lpstr>
      <vt:lpstr>PORTIONS</vt:lpstr>
      <vt:lpstr>BONUS_MALUS</vt:lpstr>
      <vt:lpstr>DATA_SOURCES</vt:lpstr>
      <vt:lpstr>CONFIG</vt:lpstr>
      <vt:lpstr>DROPDOWN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Castelijns</dc:creator>
  <cp:lastModifiedBy>Paul Castelijns</cp:lastModifiedBy>
  <dcterms:created xsi:type="dcterms:W3CDTF">2026-02-15T14:21:22Z</dcterms:created>
  <dcterms:modified xsi:type="dcterms:W3CDTF">2026-07-08T17:39:23Z</dcterms:modified>
</cp:coreProperties>
</file>